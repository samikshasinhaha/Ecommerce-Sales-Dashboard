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DFBEB403-8CAA-4559-A28A-03D78A8DC4F1}" xr6:coauthVersionLast="47" xr6:coauthVersionMax="47" xr10:uidLastSave="{00000000-0000-0000-0000-000000000000}"/>
  <bookViews>
    <workbookView xWindow="-108" yWindow="-108" windowWidth="23256" windowHeight="12576" activeTab="5" xr2:uid="{00000000-000D-0000-FFFF-FFFF00000000}"/>
  </bookViews>
  <sheets>
    <sheet name="Raw Data" sheetId="1" r:id="rId1"/>
    <sheet name="Tables" sheetId="2" r:id="rId2"/>
    <sheet name="Dictionary" sheetId="14" r:id="rId3"/>
    <sheet name="Conditional Fomatting" sheetId="8" r:id="rId4"/>
    <sheet name="Pivot Table" sheetId="5" r:id="rId5"/>
    <sheet name="Dashboard" sheetId="9" r:id="rId6"/>
    <sheet name="Report" sheetId="18" r:id="rId7"/>
  </sheets>
  <definedNames>
    <definedName name="Slicer_City">#N/A</definedName>
    <definedName name="Slicer_Product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T2"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R163" i="2"/>
  <c r="R983" i="2"/>
  <c r="R1106" i="2"/>
  <c r="R1190"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O2" i="2"/>
  <c r="P2" i="2" s="1"/>
  <c r="O3" i="2"/>
  <c r="P3" i="2" s="1"/>
  <c r="O4" i="2"/>
  <c r="P4" i="2" s="1"/>
  <c r="O5" i="2"/>
  <c r="P5" i="2" s="1"/>
  <c r="O6" i="2"/>
  <c r="P6" i="2" s="1"/>
  <c r="O7" i="2"/>
  <c r="P7"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7" i="2"/>
  <c r="P37"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O102" i="2"/>
  <c r="P102" i="2" s="1"/>
  <c r="O103" i="2"/>
  <c r="P103" i="2" s="1"/>
  <c r="O104" i="2"/>
  <c r="P104" i="2" s="1"/>
  <c r="O105" i="2"/>
  <c r="P105" i="2" s="1"/>
  <c r="O106" i="2"/>
  <c r="P106" i="2" s="1"/>
  <c r="O107" i="2"/>
  <c r="P107" i="2" s="1"/>
  <c r="O108" i="2"/>
  <c r="P108" i="2" s="1"/>
  <c r="O109" i="2"/>
  <c r="P109" i="2" s="1"/>
  <c r="O110" i="2"/>
  <c r="P110" i="2" s="1"/>
  <c r="O111" i="2"/>
  <c r="P111" i="2" s="1"/>
  <c r="O112" i="2"/>
  <c r="P112" i="2" s="1"/>
  <c r="O113" i="2"/>
  <c r="P113" i="2" s="1"/>
  <c r="O114" i="2"/>
  <c r="P114" i="2" s="1"/>
  <c r="O115" i="2"/>
  <c r="P115" i="2" s="1"/>
  <c r="O116" i="2"/>
  <c r="P116" i="2" s="1"/>
  <c r="O117" i="2"/>
  <c r="P117" i="2" s="1"/>
  <c r="O118" i="2"/>
  <c r="P118" i="2" s="1"/>
  <c r="O119" i="2"/>
  <c r="P119" i="2" s="1"/>
  <c r="O120" i="2"/>
  <c r="P120" i="2" s="1"/>
  <c r="O121" i="2"/>
  <c r="P121" i="2" s="1"/>
  <c r="O122" i="2"/>
  <c r="P122" i="2" s="1"/>
  <c r="O123" i="2"/>
  <c r="P123" i="2" s="1"/>
  <c r="O124" i="2"/>
  <c r="P124" i="2" s="1"/>
  <c r="O125" i="2"/>
  <c r="P125" i="2" s="1"/>
  <c r="O126" i="2"/>
  <c r="P126" i="2" s="1"/>
  <c r="O127" i="2"/>
  <c r="P127" i="2" s="1"/>
  <c r="O128" i="2"/>
  <c r="P128" i="2" s="1"/>
  <c r="O129" i="2"/>
  <c r="P129" i="2" s="1"/>
  <c r="O130" i="2"/>
  <c r="P130" i="2" s="1"/>
  <c r="O131" i="2"/>
  <c r="P131" i="2" s="1"/>
  <c r="O132" i="2"/>
  <c r="P132" i="2" s="1"/>
  <c r="O133" i="2"/>
  <c r="P133" i="2" s="1"/>
  <c r="O134" i="2"/>
  <c r="P134" i="2" s="1"/>
  <c r="O135" i="2"/>
  <c r="P135" i="2" s="1"/>
  <c r="O136" i="2"/>
  <c r="P136" i="2" s="1"/>
  <c r="O137" i="2"/>
  <c r="P137" i="2" s="1"/>
  <c r="O138" i="2"/>
  <c r="P138" i="2" s="1"/>
  <c r="O139" i="2"/>
  <c r="P139" i="2" s="1"/>
  <c r="O140" i="2"/>
  <c r="P140" i="2" s="1"/>
  <c r="O141" i="2"/>
  <c r="P141" i="2" s="1"/>
  <c r="O142" i="2"/>
  <c r="P142" i="2" s="1"/>
  <c r="O143" i="2"/>
  <c r="P143" i="2" s="1"/>
  <c r="O144" i="2"/>
  <c r="P144" i="2" s="1"/>
  <c r="O145" i="2"/>
  <c r="P145" i="2" s="1"/>
  <c r="O146" i="2"/>
  <c r="P146" i="2" s="1"/>
  <c r="O147" i="2"/>
  <c r="P147" i="2" s="1"/>
  <c r="O148" i="2"/>
  <c r="P148" i="2" s="1"/>
  <c r="O149" i="2"/>
  <c r="P149" i="2" s="1"/>
  <c r="O150" i="2"/>
  <c r="P150" i="2" s="1"/>
  <c r="O151" i="2"/>
  <c r="P151" i="2" s="1"/>
  <c r="O152" i="2"/>
  <c r="P152" i="2" s="1"/>
  <c r="O153" i="2"/>
  <c r="P153" i="2" s="1"/>
  <c r="O154" i="2"/>
  <c r="P154" i="2" s="1"/>
  <c r="O155" i="2"/>
  <c r="P155" i="2" s="1"/>
  <c r="O156" i="2"/>
  <c r="P156" i="2" s="1"/>
  <c r="O157" i="2"/>
  <c r="P157" i="2" s="1"/>
  <c r="O158" i="2"/>
  <c r="P158" i="2" s="1"/>
  <c r="O159" i="2"/>
  <c r="P159" i="2" s="1"/>
  <c r="O160" i="2"/>
  <c r="P160" i="2" s="1"/>
  <c r="O161" i="2"/>
  <c r="P161" i="2" s="1"/>
  <c r="O162" i="2"/>
  <c r="P162" i="2" s="1"/>
  <c r="O163" i="2"/>
  <c r="P163" i="2" s="1"/>
  <c r="O164" i="2"/>
  <c r="P164" i="2" s="1"/>
  <c r="O165" i="2"/>
  <c r="P165" i="2" s="1"/>
  <c r="O166" i="2"/>
  <c r="P166" i="2" s="1"/>
  <c r="O167" i="2"/>
  <c r="P167" i="2" s="1"/>
  <c r="O168" i="2"/>
  <c r="P168" i="2" s="1"/>
  <c r="O169" i="2"/>
  <c r="P169" i="2" s="1"/>
  <c r="O170" i="2"/>
  <c r="P170" i="2" s="1"/>
  <c r="O171" i="2"/>
  <c r="P171" i="2" s="1"/>
  <c r="O172" i="2"/>
  <c r="P172" i="2" s="1"/>
  <c r="O173" i="2"/>
  <c r="P173" i="2" s="1"/>
  <c r="O174" i="2"/>
  <c r="P174" i="2" s="1"/>
  <c r="O175" i="2"/>
  <c r="P175" i="2" s="1"/>
  <c r="O176" i="2"/>
  <c r="P176" i="2" s="1"/>
  <c r="O177" i="2"/>
  <c r="P177" i="2" s="1"/>
  <c r="O178" i="2"/>
  <c r="P178" i="2" s="1"/>
  <c r="O179" i="2"/>
  <c r="P179" i="2" s="1"/>
  <c r="O180" i="2"/>
  <c r="P180" i="2" s="1"/>
  <c r="O181" i="2"/>
  <c r="P181" i="2" s="1"/>
  <c r="O182" i="2"/>
  <c r="P182" i="2" s="1"/>
  <c r="O183" i="2"/>
  <c r="P183" i="2" s="1"/>
  <c r="O184" i="2"/>
  <c r="P184" i="2" s="1"/>
  <c r="O185" i="2"/>
  <c r="P185" i="2" s="1"/>
  <c r="O186" i="2"/>
  <c r="P186" i="2" s="1"/>
  <c r="O187" i="2"/>
  <c r="P187" i="2" s="1"/>
  <c r="O188" i="2"/>
  <c r="P188" i="2" s="1"/>
  <c r="O189" i="2"/>
  <c r="P189" i="2" s="1"/>
  <c r="O190" i="2"/>
  <c r="P190" i="2" s="1"/>
  <c r="O191" i="2"/>
  <c r="P191" i="2" s="1"/>
  <c r="O192" i="2"/>
  <c r="P192" i="2" s="1"/>
  <c r="O193" i="2"/>
  <c r="P193" i="2" s="1"/>
  <c r="O194" i="2"/>
  <c r="P194" i="2" s="1"/>
  <c r="O195" i="2"/>
  <c r="P195" i="2" s="1"/>
  <c r="O196" i="2"/>
  <c r="P196" i="2" s="1"/>
  <c r="O197" i="2"/>
  <c r="P197" i="2" s="1"/>
  <c r="O198" i="2"/>
  <c r="P198" i="2" s="1"/>
  <c r="O199" i="2"/>
  <c r="P199" i="2" s="1"/>
  <c r="O200" i="2"/>
  <c r="P200" i="2" s="1"/>
  <c r="O201" i="2"/>
  <c r="P201" i="2" s="1"/>
  <c r="O202" i="2"/>
  <c r="P202" i="2" s="1"/>
  <c r="O203" i="2"/>
  <c r="P203" i="2" s="1"/>
  <c r="O204" i="2"/>
  <c r="P204" i="2" s="1"/>
  <c r="O205" i="2"/>
  <c r="P205" i="2" s="1"/>
  <c r="O206" i="2"/>
  <c r="P206" i="2" s="1"/>
  <c r="O207" i="2"/>
  <c r="P207" i="2" s="1"/>
  <c r="O208" i="2"/>
  <c r="P208" i="2" s="1"/>
  <c r="O209" i="2"/>
  <c r="P209" i="2" s="1"/>
  <c r="O210" i="2"/>
  <c r="P210" i="2" s="1"/>
  <c r="O211" i="2"/>
  <c r="P211" i="2" s="1"/>
  <c r="O212" i="2"/>
  <c r="P212" i="2" s="1"/>
  <c r="O213" i="2"/>
  <c r="P213" i="2" s="1"/>
  <c r="O214" i="2"/>
  <c r="P214" i="2" s="1"/>
  <c r="O215" i="2"/>
  <c r="P215" i="2" s="1"/>
  <c r="O216" i="2"/>
  <c r="P216" i="2" s="1"/>
  <c r="O217" i="2"/>
  <c r="P217" i="2" s="1"/>
  <c r="O218" i="2"/>
  <c r="P218" i="2" s="1"/>
  <c r="O219" i="2"/>
  <c r="P219" i="2" s="1"/>
  <c r="O220" i="2"/>
  <c r="P220" i="2" s="1"/>
  <c r="O221" i="2"/>
  <c r="P221" i="2" s="1"/>
  <c r="O222" i="2"/>
  <c r="P222" i="2" s="1"/>
  <c r="O223" i="2"/>
  <c r="P223" i="2" s="1"/>
  <c r="O224" i="2"/>
  <c r="P224" i="2" s="1"/>
  <c r="O225" i="2"/>
  <c r="P225" i="2" s="1"/>
  <c r="O226" i="2"/>
  <c r="P226" i="2" s="1"/>
  <c r="O227" i="2"/>
  <c r="P227" i="2" s="1"/>
  <c r="O228" i="2"/>
  <c r="P228" i="2" s="1"/>
  <c r="O229" i="2"/>
  <c r="P229" i="2" s="1"/>
  <c r="O230" i="2"/>
  <c r="P230" i="2" s="1"/>
  <c r="O231" i="2"/>
  <c r="P231" i="2" s="1"/>
  <c r="O232" i="2"/>
  <c r="P232" i="2" s="1"/>
  <c r="O233" i="2"/>
  <c r="P233" i="2" s="1"/>
  <c r="O234" i="2"/>
  <c r="P234" i="2" s="1"/>
  <c r="O235" i="2"/>
  <c r="P235" i="2" s="1"/>
  <c r="O236" i="2"/>
  <c r="P236" i="2" s="1"/>
  <c r="O237" i="2"/>
  <c r="P237" i="2" s="1"/>
  <c r="O238" i="2"/>
  <c r="P238" i="2" s="1"/>
  <c r="O239" i="2"/>
  <c r="P239" i="2" s="1"/>
  <c r="O240" i="2"/>
  <c r="P240" i="2" s="1"/>
  <c r="O241" i="2"/>
  <c r="P241" i="2" s="1"/>
  <c r="O242" i="2"/>
  <c r="P242" i="2" s="1"/>
  <c r="O243" i="2"/>
  <c r="P243" i="2" s="1"/>
  <c r="O244" i="2"/>
  <c r="P244" i="2" s="1"/>
  <c r="O245" i="2"/>
  <c r="P245" i="2" s="1"/>
  <c r="O246" i="2"/>
  <c r="P246" i="2" s="1"/>
  <c r="O247" i="2"/>
  <c r="P247" i="2" s="1"/>
  <c r="O248" i="2"/>
  <c r="P248" i="2" s="1"/>
  <c r="O249" i="2"/>
  <c r="P249" i="2" s="1"/>
  <c r="O250" i="2"/>
  <c r="P250" i="2" s="1"/>
  <c r="O251" i="2"/>
  <c r="P251" i="2" s="1"/>
  <c r="O252" i="2"/>
  <c r="P252" i="2" s="1"/>
  <c r="O253" i="2"/>
  <c r="P253" i="2" s="1"/>
  <c r="O254" i="2"/>
  <c r="P254" i="2" s="1"/>
  <c r="O255" i="2"/>
  <c r="P255" i="2" s="1"/>
  <c r="O256" i="2"/>
  <c r="P256" i="2" s="1"/>
  <c r="O257" i="2"/>
  <c r="P257" i="2" s="1"/>
  <c r="O258" i="2"/>
  <c r="P258" i="2" s="1"/>
  <c r="O259" i="2"/>
  <c r="P259" i="2" s="1"/>
  <c r="O260" i="2"/>
  <c r="P260" i="2" s="1"/>
  <c r="O261" i="2"/>
  <c r="P261" i="2" s="1"/>
  <c r="O262" i="2"/>
  <c r="P262" i="2" s="1"/>
  <c r="O263" i="2"/>
  <c r="P263" i="2" s="1"/>
  <c r="O264" i="2"/>
  <c r="P264" i="2" s="1"/>
  <c r="O265" i="2"/>
  <c r="P265" i="2" s="1"/>
  <c r="O266" i="2"/>
  <c r="P266" i="2" s="1"/>
  <c r="O267" i="2"/>
  <c r="P267" i="2" s="1"/>
  <c r="O268" i="2"/>
  <c r="P268" i="2" s="1"/>
  <c r="O269" i="2"/>
  <c r="P269" i="2" s="1"/>
  <c r="O270" i="2"/>
  <c r="P270" i="2" s="1"/>
  <c r="O271" i="2"/>
  <c r="P271" i="2" s="1"/>
  <c r="O272" i="2"/>
  <c r="P272" i="2" s="1"/>
  <c r="O273" i="2"/>
  <c r="P273" i="2" s="1"/>
  <c r="O274" i="2"/>
  <c r="P274" i="2" s="1"/>
  <c r="O275" i="2"/>
  <c r="P275" i="2" s="1"/>
  <c r="O276" i="2"/>
  <c r="P276" i="2" s="1"/>
  <c r="O277" i="2"/>
  <c r="P277" i="2" s="1"/>
  <c r="O278" i="2"/>
  <c r="P278" i="2" s="1"/>
  <c r="O279" i="2"/>
  <c r="P279" i="2" s="1"/>
  <c r="O280" i="2"/>
  <c r="P280" i="2" s="1"/>
  <c r="O281" i="2"/>
  <c r="P281" i="2" s="1"/>
  <c r="O282" i="2"/>
  <c r="P282" i="2" s="1"/>
  <c r="O283" i="2"/>
  <c r="P283" i="2" s="1"/>
  <c r="O284" i="2"/>
  <c r="P284" i="2" s="1"/>
  <c r="O285" i="2"/>
  <c r="P285" i="2" s="1"/>
  <c r="O286" i="2"/>
  <c r="P286" i="2" s="1"/>
  <c r="O287" i="2"/>
  <c r="P287" i="2" s="1"/>
  <c r="O288" i="2"/>
  <c r="P288" i="2" s="1"/>
  <c r="O289" i="2"/>
  <c r="P289" i="2" s="1"/>
  <c r="O290" i="2"/>
  <c r="P290" i="2" s="1"/>
  <c r="O291" i="2"/>
  <c r="P291" i="2" s="1"/>
  <c r="O292" i="2"/>
  <c r="P292" i="2" s="1"/>
  <c r="O293" i="2"/>
  <c r="P293" i="2" s="1"/>
  <c r="O294" i="2"/>
  <c r="P294" i="2" s="1"/>
  <c r="O295" i="2"/>
  <c r="P295" i="2" s="1"/>
  <c r="O296" i="2"/>
  <c r="P296" i="2" s="1"/>
  <c r="O297" i="2"/>
  <c r="P297" i="2" s="1"/>
  <c r="O298" i="2"/>
  <c r="P298" i="2" s="1"/>
  <c r="O299" i="2"/>
  <c r="P299" i="2" s="1"/>
  <c r="O300" i="2"/>
  <c r="P300" i="2" s="1"/>
  <c r="O301" i="2"/>
  <c r="P301" i="2" s="1"/>
  <c r="O302" i="2"/>
  <c r="P302" i="2" s="1"/>
  <c r="O303" i="2"/>
  <c r="P303" i="2" s="1"/>
  <c r="O304" i="2"/>
  <c r="P304" i="2" s="1"/>
  <c r="O305" i="2"/>
  <c r="P305" i="2" s="1"/>
  <c r="O306" i="2"/>
  <c r="P306" i="2" s="1"/>
  <c r="O307" i="2"/>
  <c r="P307" i="2" s="1"/>
  <c r="O308" i="2"/>
  <c r="P308" i="2" s="1"/>
  <c r="O309" i="2"/>
  <c r="P309" i="2" s="1"/>
  <c r="O310" i="2"/>
  <c r="P310" i="2" s="1"/>
  <c r="O311" i="2"/>
  <c r="P311" i="2" s="1"/>
  <c r="O312" i="2"/>
  <c r="P312" i="2" s="1"/>
  <c r="O313" i="2"/>
  <c r="P313" i="2" s="1"/>
  <c r="O314" i="2"/>
  <c r="P314" i="2" s="1"/>
  <c r="O315" i="2"/>
  <c r="P315" i="2" s="1"/>
  <c r="O316" i="2"/>
  <c r="P316" i="2" s="1"/>
  <c r="O317" i="2"/>
  <c r="P317" i="2" s="1"/>
  <c r="O318" i="2"/>
  <c r="P318" i="2" s="1"/>
  <c r="O319" i="2"/>
  <c r="P319" i="2" s="1"/>
  <c r="O320" i="2"/>
  <c r="P320" i="2" s="1"/>
  <c r="O321" i="2"/>
  <c r="P321" i="2" s="1"/>
  <c r="O322" i="2"/>
  <c r="P322" i="2" s="1"/>
  <c r="O323" i="2"/>
  <c r="P323" i="2" s="1"/>
  <c r="O324" i="2"/>
  <c r="P324" i="2" s="1"/>
  <c r="O325" i="2"/>
  <c r="P325" i="2" s="1"/>
  <c r="O326" i="2"/>
  <c r="P326" i="2" s="1"/>
  <c r="O327" i="2"/>
  <c r="P327" i="2" s="1"/>
  <c r="O328" i="2"/>
  <c r="P328" i="2" s="1"/>
  <c r="O329" i="2"/>
  <c r="P329" i="2" s="1"/>
  <c r="O330" i="2"/>
  <c r="P330" i="2" s="1"/>
  <c r="O331" i="2"/>
  <c r="P331" i="2" s="1"/>
  <c r="O332" i="2"/>
  <c r="P332" i="2" s="1"/>
  <c r="O333" i="2"/>
  <c r="P333" i="2" s="1"/>
  <c r="O334" i="2"/>
  <c r="P334" i="2" s="1"/>
  <c r="O335" i="2"/>
  <c r="P335" i="2" s="1"/>
  <c r="O336" i="2"/>
  <c r="P336" i="2" s="1"/>
  <c r="O337" i="2"/>
  <c r="P337" i="2" s="1"/>
  <c r="O338" i="2"/>
  <c r="P338" i="2" s="1"/>
  <c r="O339" i="2"/>
  <c r="P339" i="2" s="1"/>
  <c r="O340" i="2"/>
  <c r="P340" i="2" s="1"/>
  <c r="O341" i="2"/>
  <c r="P341" i="2" s="1"/>
  <c r="O342" i="2"/>
  <c r="P342" i="2" s="1"/>
  <c r="O343" i="2"/>
  <c r="P343" i="2" s="1"/>
  <c r="O344" i="2"/>
  <c r="P344" i="2" s="1"/>
  <c r="O345" i="2"/>
  <c r="P345" i="2" s="1"/>
  <c r="O346" i="2"/>
  <c r="P346" i="2" s="1"/>
  <c r="O347" i="2"/>
  <c r="P347" i="2" s="1"/>
  <c r="O348" i="2"/>
  <c r="P348" i="2" s="1"/>
  <c r="O349" i="2"/>
  <c r="P349" i="2" s="1"/>
  <c r="O350" i="2"/>
  <c r="P350" i="2" s="1"/>
  <c r="O351" i="2"/>
  <c r="P351" i="2" s="1"/>
  <c r="O352" i="2"/>
  <c r="P352" i="2" s="1"/>
  <c r="O353" i="2"/>
  <c r="P353" i="2" s="1"/>
  <c r="O354" i="2"/>
  <c r="P354" i="2" s="1"/>
  <c r="O355" i="2"/>
  <c r="P355" i="2" s="1"/>
  <c r="O356" i="2"/>
  <c r="P356" i="2" s="1"/>
  <c r="O357" i="2"/>
  <c r="P357" i="2" s="1"/>
  <c r="O358" i="2"/>
  <c r="P358" i="2" s="1"/>
  <c r="O359" i="2"/>
  <c r="P359" i="2" s="1"/>
  <c r="O360" i="2"/>
  <c r="P360" i="2" s="1"/>
  <c r="O361" i="2"/>
  <c r="P361" i="2" s="1"/>
  <c r="O362" i="2"/>
  <c r="P362" i="2" s="1"/>
  <c r="O363" i="2"/>
  <c r="P363" i="2" s="1"/>
  <c r="O364" i="2"/>
  <c r="P364" i="2" s="1"/>
  <c r="O365" i="2"/>
  <c r="P365" i="2" s="1"/>
  <c r="O366" i="2"/>
  <c r="P366" i="2" s="1"/>
  <c r="O367" i="2"/>
  <c r="P367" i="2" s="1"/>
  <c r="O368" i="2"/>
  <c r="P368" i="2" s="1"/>
  <c r="O369" i="2"/>
  <c r="P369" i="2" s="1"/>
  <c r="O370" i="2"/>
  <c r="P370" i="2" s="1"/>
  <c r="O371" i="2"/>
  <c r="P371" i="2" s="1"/>
  <c r="O372" i="2"/>
  <c r="P372" i="2" s="1"/>
  <c r="O373" i="2"/>
  <c r="P373" i="2" s="1"/>
  <c r="O374" i="2"/>
  <c r="P374" i="2" s="1"/>
  <c r="O375" i="2"/>
  <c r="P375" i="2" s="1"/>
  <c r="O376" i="2"/>
  <c r="P376" i="2" s="1"/>
  <c r="O377" i="2"/>
  <c r="P377" i="2" s="1"/>
  <c r="O378" i="2"/>
  <c r="P378" i="2" s="1"/>
  <c r="O379" i="2"/>
  <c r="P379" i="2" s="1"/>
  <c r="O380" i="2"/>
  <c r="P380" i="2" s="1"/>
  <c r="O381" i="2"/>
  <c r="P381" i="2" s="1"/>
  <c r="O382" i="2"/>
  <c r="P382" i="2" s="1"/>
  <c r="O383" i="2"/>
  <c r="P383" i="2" s="1"/>
  <c r="O384" i="2"/>
  <c r="P384" i="2" s="1"/>
  <c r="O385" i="2"/>
  <c r="P385" i="2" s="1"/>
  <c r="O386" i="2"/>
  <c r="P386" i="2" s="1"/>
  <c r="O387" i="2"/>
  <c r="P387" i="2" s="1"/>
  <c r="O388" i="2"/>
  <c r="P388" i="2" s="1"/>
  <c r="O389" i="2"/>
  <c r="P389" i="2" s="1"/>
  <c r="O390" i="2"/>
  <c r="P390" i="2" s="1"/>
  <c r="O391" i="2"/>
  <c r="P391" i="2" s="1"/>
  <c r="O392" i="2"/>
  <c r="P392" i="2" s="1"/>
  <c r="O393" i="2"/>
  <c r="P393" i="2" s="1"/>
  <c r="O394" i="2"/>
  <c r="P394" i="2" s="1"/>
  <c r="O395" i="2"/>
  <c r="P395" i="2" s="1"/>
  <c r="O396" i="2"/>
  <c r="P396" i="2" s="1"/>
  <c r="O397" i="2"/>
  <c r="P397" i="2" s="1"/>
  <c r="O398" i="2"/>
  <c r="P398" i="2" s="1"/>
  <c r="O399" i="2"/>
  <c r="P399" i="2" s="1"/>
  <c r="O400" i="2"/>
  <c r="P400" i="2" s="1"/>
  <c r="O401" i="2"/>
  <c r="P401" i="2" s="1"/>
  <c r="O402" i="2"/>
  <c r="P402" i="2" s="1"/>
  <c r="O403" i="2"/>
  <c r="P403" i="2" s="1"/>
  <c r="O404" i="2"/>
  <c r="P404" i="2" s="1"/>
  <c r="O405" i="2"/>
  <c r="P405" i="2" s="1"/>
  <c r="O406" i="2"/>
  <c r="P406" i="2" s="1"/>
  <c r="O407" i="2"/>
  <c r="P407" i="2" s="1"/>
  <c r="O408" i="2"/>
  <c r="P408" i="2" s="1"/>
  <c r="O409" i="2"/>
  <c r="P409" i="2" s="1"/>
  <c r="O410" i="2"/>
  <c r="P410" i="2" s="1"/>
  <c r="O411" i="2"/>
  <c r="P411" i="2" s="1"/>
  <c r="O412" i="2"/>
  <c r="P412" i="2" s="1"/>
  <c r="O413" i="2"/>
  <c r="P413" i="2" s="1"/>
  <c r="O414" i="2"/>
  <c r="P414" i="2" s="1"/>
  <c r="O415" i="2"/>
  <c r="P415" i="2" s="1"/>
  <c r="O416" i="2"/>
  <c r="P416" i="2" s="1"/>
  <c r="O417" i="2"/>
  <c r="P417" i="2" s="1"/>
  <c r="O418" i="2"/>
  <c r="P418" i="2" s="1"/>
  <c r="O419" i="2"/>
  <c r="P419" i="2" s="1"/>
  <c r="O420" i="2"/>
  <c r="P420" i="2" s="1"/>
  <c r="O421" i="2"/>
  <c r="P421" i="2" s="1"/>
  <c r="O422" i="2"/>
  <c r="P422" i="2" s="1"/>
  <c r="O423" i="2"/>
  <c r="P423" i="2" s="1"/>
  <c r="O424" i="2"/>
  <c r="P424" i="2" s="1"/>
  <c r="O425" i="2"/>
  <c r="P425" i="2" s="1"/>
  <c r="O426" i="2"/>
  <c r="P426" i="2" s="1"/>
  <c r="O427" i="2"/>
  <c r="P427" i="2" s="1"/>
  <c r="O428" i="2"/>
  <c r="P428" i="2" s="1"/>
  <c r="O429" i="2"/>
  <c r="P429" i="2" s="1"/>
  <c r="O430" i="2"/>
  <c r="P430" i="2" s="1"/>
  <c r="O431" i="2"/>
  <c r="P431" i="2" s="1"/>
  <c r="O432" i="2"/>
  <c r="P432" i="2" s="1"/>
  <c r="O433" i="2"/>
  <c r="P433" i="2" s="1"/>
  <c r="O434" i="2"/>
  <c r="P434" i="2" s="1"/>
  <c r="O435" i="2"/>
  <c r="P435" i="2" s="1"/>
  <c r="O436" i="2"/>
  <c r="P436" i="2" s="1"/>
  <c r="O437" i="2"/>
  <c r="P437" i="2" s="1"/>
  <c r="O438" i="2"/>
  <c r="P438" i="2" s="1"/>
  <c r="O439" i="2"/>
  <c r="P439" i="2" s="1"/>
  <c r="O440" i="2"/>
  <c r="P440" i="2" s="1"/>
  <c r="O441" i="2"/>
  <c r="P441" i="2" s="1"/>
  <c r="O442" i="2"/>
  <c r="P442" i="2" s="1"/>
  <c r="O443" i="2"/>
  <c r="P443" i="2" s="1"/>
  <c r="O444" i="2"/>
  <c r="P444" i="2" s="1"/>
  <c r="O445" i="2"/>
  <c r="P445" i="2" s="1"/>
  <c r="O446" i="2"/>
  <c r="P446" i="2" s="1"/>
  <c r="O447" i="2"/>
  <c r="P447" i="2" s="1"/>
  <c r="O448" i="2"/>
  <c r="P448" i="2" s="1"/>
  <c r="O449" i="2"/>
  <c r="P449" i="2" s="1"/>
  <c r="O450" i="2"/>
  <c r="P450" i="2" s="1"/>
  <c r="O451" i="2"/>
  <c r="P451" i="2" s="1"/>
  <c r="O452" i="2"/>
  <c r="P452" i="2" s="1"/>
  <c r="O453" i="2"/>
  <c r="P453" i="2" s="1"/>
  <c r="O454" i="2"/>
  <c r="P454" i="2" s="1"/>
  <c r="O455" i="2"/>
  <c r="P455" i="2" s="1"/>
  <c r="O456" i="2"/>
  <c r="P456" i="2" s="1"/>
  <c r="O457" i="2"/>
  <c r="P457" i="2" s="1"/>
  <c r="O458" i="2"/>
  <c r="P458" i="2" s="1"/>
  <c r="O459" i="2"/>
  <c r="P459" i="2" s="1"/>
  <c r="O460" i="2"/>
  <c r="P460" i="2" s="1"/>
  <c r="O461" i="2"/>
  <c r="P461" i="2" s="1"/>
  <c r="O462" i="2"/>
  <c r="P462" i="2" s="1"/>
  <c r="O463" i="2"/>
  <c r="P463" i="2" s="1"/>
  <c r="O464" i="2"/>
  <c r="P464" i="2" s="1"/>
  <c r="O465" i="2"/>
  <c r="P465" i="2" s="1"/>
  <c r="O466" i="2"/>
  <c r="P466" i="2" s="1"/>
  <c r="O467" i="2"/>
  <c r="P467" i="2" s="1"/>
  <c r="O468" i="2"/>
  <c r="P468" i="2" s="1"/>
  <c r="O469" i="2"/>
  <c r="P469" i="2" s="1"/>
  <c r="O470" i="2"/>
  <c r="P470" i="2" s="1"/>
  <c r="O471" i="2"/>
  <c r="P471" i="2" s="1"/>
  <c r="O472" i="2"/>
  <c r="P472" i="2" s="1"/>
  <c r="O473" i="2"/>
  <c r="P473" i="2" s="1"/>
  <c r="O474" i="2"/>
  <c r="P474" i="2" s="1"/>
  <c r="O475" i="2"/>
  <c r="P475" i="2" s="1"/>
  <c r="O476" i="2"/>
  <c r="P476" i="2" s="1"/>
  <c r="O477" i="2"/>
  <c r="P477" i="2" s="1"/>
  <c r="O478" i="2"/>
  <c r="P478" i="2" s="1"/>
  <c r="O479" i="2"/>
  <c r="P479" i="2" s="1"/>
  <c r="O480" i="2"/>
  <c r="P480" i="2" s="1"/>
  <c r="O481" i="2"/>
  <c r="P481" i="2" s="1"/>
  <c r="O482" i="2"/>
  <c r="P482" i="2" s="1"/>
  <c r="O483" i="2"/>
  <c r="P483" i="2" s="1"/>
  <c r="O484" i="2"/>
  <c r="P484" i="2" s="1"/>
  <c r="O485" i="2"/>
  <c r="P485" i="2" s="1"/>
  <c r="O486" i="2"/>
  <c r="P486" i="2" s="1"/>
  <c r="O487" i="2"/>
  <c r="P487" i="2" s="1"/>
  <c r="O488" i="2"/>
  <c r="P488" i="2" s="1"/>
  <c r="O489" i="2"/>
  <c r="P489" i="2" s="1"/>
  <c r="O490" i="2"/>
  <c r="P490" i="2" s="1"/>
  <c r="O491" i="2"/>
  <c r="P491" i="2" s="1"/>
  <c r="O492" i="2"/>
  <c r="P492" i="2" s="1"/>
  <c r="O493" i="2"/>
  <c r="P493" i="2" s="1"/>
  <c r="O494" i="2"/>
  <c r="P494" i="2" s="1"/>
  <c r="O495" i="2"/>
  <c r="P495" i="2" s="1"/>
  <c r="O496" i="2"/>
  <c r="P496" i="2" s="1"/>
  <c r="O497" i="2"/>
  <c r="P497" i="2" s="1"/>
  <c r="O498" i="2"/>
  <c r="P498" i="2" s="1"/>
  <c r="O499" i="2"/>
  <c r="P499" i="2" s="1"/>
  <c r="O500" i="2"/>
  <c r="P500" i="2" s="1"/>
  <c r="O501" i="2"/>
  <c r="P501" i="2" s="1"/>
  <c r="O502" i="2"/>
  <c r="P502" i="2" s="1"/>
  <c r="O503" i="2"/>
  <c r="P503" i="2" s="1"/>
  <c r="O504" i="2"/>
  <c r="P504" i="2" s="1"/>
  <c r="O505" i="2"/>
  <c r="P505" i="2" s="1"/>
  <c r="O506" i="2"/>
  <c r="P506" i="2" s="1"/>
  <c r="O507" i="2"/>
  <c r="P507" i="2" s="1"/>
  <c r="O508" i="2"/>
  <c r="P508" i="2" s="1"/>
  <c r="O509" i="2"/>
  <c r="P509" i="2" s="1"/>
  <c r="O510" i="2"/>
  <c r="P510" i="2" s="1"/>
  <c r="O511" i="2"/>
  <c r="P511" i="2" s="1"/>
  <c r="O512" i="2"/>
  <c r="P512" i="2" s="1"/>
  <c r="O513" i="2"/>
  <c r="P513" i="2" s="1"/>
  <c r="O514" i="2"/>
  <c r="P514" i="2" s="1"/>
  <c r="O515" i="2"/>
  <c r="P515" i="2" s="1"/>
  <c r="O516" i="2"/>
  <c r="P516" i="2" s="1"/>
  <c r="O517" i="2"/>
  <c r="P517" i="2" s="1"/>
  <c r="O518" i="2"/>
  <c r="P518" i="2" s="1"/>
  <c r="O519" i="2"/>
  <c r="P519" i="2" s="1"/>
  <c r="O520" i="2"/>
  <c r="P520" i="2" s="1"/>
  <c r="O521" i="2"/>
  <c r="P521" i="2" s="1"/>
  <c r="O522" i="2"/>
  <c r="P522" i="2" s="1"/>
  <c r="O523" i="2"/>
  <c r="P523" i="2" s="1"/>
  <c r="O524" i="2"/>
  <c r="P524" i="2" s="1"/>
  <c r="O525" i="2"/>
  <c r="P525" i="2" s="1"/>
  <c r="O526" i="2"/>
  <c r="P526" i="2" s="1"/>
  <c r="O527" i="2"/>
  <c r="P527" i="2" s="1"/>
  <c r="O528" i="2"/>
  <c r="P528" i="2" s="1"/>
  <c r="O529" i="2"/>
  <c r="P529" i="2" s="1"/>
  <c r="O530" i="2"/>
  <c r="P530" i="2" s="1"/>
  <c r="O531" i="2"/>
  <c r="P531" i="2" s="1"/>
  <c r="O532" i="2"/>
  <c r="P532" i="2" s="1"/>
  <c r="O533" i="2"/>
  <c r="P533" i="2" s="1"/>
  <c r="O534" i="2"/>
  <c r="P534" i="2" s="1"/>
  <c r="O535" i="2"/>
  <c r="P535" i="2" s="1"/>
  <c r="O536" i="2"/>
  <c r="P536" i="2" s="1"/>
  <c r="O537" i="2"/>
  <c r="P537" i="2" s="1"/>
  <c r="O538" i="2"/>
  <c r="P538" i="2" s="1"/>
  <c r="O539" i="2"/>
  <c r="P539" i="2" s="1"/>
  <c r="O540" i="2"/>
  <c r="P540" i="2" s="1"/>
  <c r="O541" i="2"/>
  <c r="P541" i="2" s="1"/>
  <c r="O542" i="2"/>
  <c r="P542" i="2" s="1"/>
  <c r="O543" i="2"/>
  <c r="P543" i="2" s="1"/>
  <c r="O544" i="2"/>
  <c r="P544" i="2" s="1"/>
  <c r="O545" i="2"/>
  <c r="P545" i="2" s="1"/>
  <c r="O546" i="2"/>
  <c r="P546" i="2" s="1"/>
  <c r="O547" i="2"/>
  <c r="P547" i="2" s="1"/>
  <c r="O548" i="2"/>
  <c r="P548" i="2" s="1"/>
  <c r="O549" i="2"/>
  <c r="P549" i="2" s="1"/>
  <c r="O550" i="2"/>
  <c r="P550" i="2" s="1"/>
  <c r="O551" i="2"/>
  <c r="P551" i="2" s="1"/>
  <c r="O552" i="2"/>
  <c r="P552" i="2" s="1"/>
  <c r="O553" i="2"/>
  <c r="P553" i="2" s="1"/>
  <c r="O554" i="2"/>
  <c r="P554" i="2" s="1"/>
  <c r="O555" i="2"/>
  <c r="P555" i="2" s="1"/>
  <c r="O556" i="2"/>
  <c r="P556" i="2" s="1"/>
  <c r="O557" i="2"/>
  <c r="P557" i="2" s="1"/>
  <c r="O558" i="2"/>
  <c r="P558" i="2" s="1"/>
  <c r="O559" i="2"/>
  <c r="P559" i="2" s="1"/>
  <c r="O560" i="2"/>
  <c r="P560" i="2" s="1"/>
  <c r="O561" i="2"/>
  <c r="P561" i="2" s="1"/>
  <c r="O562" i="2"/>
  <c r="P562" i="2" s="1"/>
  <c r="O563" i="2"/>
  <c r="P563" i="2" s="1"/>
  <c r="O564" i="2"/>
  <c r="P564" i="2" s="1"/>
  <c r="O565" i="2"/>
  <c r="P565" i="2" s="1"/>
  <c r="O566" i="2"/>
  <c r="P566" i="2" s="1"/>
  <c r="O567" i="2"/>
  <c r="P567" i="2" s="1"/>
  <c r="O568" i="2"/>
  <c r="P568" i="2" s="1"/>
  <c r="O569" i="2"/>
  <c r="P569" i="2" s="1"/>
  <c r="O570" i="2"/>
  <c r="P570" i="2" s="1"/>
  <c r="O571" i="2"/>
  <c r="P571" i="2" s="1"/>
  <c r="O572" i="2"/>
  <c r="P572" i="2" s="1"/>
  <c r="O573" i="2"/>
  <c r="P573" i="2" s="1"/>
  <c r="O574" i="2"/>
  <c r="P574" i="2" s="1"/>
  <c r="O575" i="2"/>
  <c r="P575" i="2" s="1"/>
  <c r="O576" i="2"/>
  <c r="P576" i="2" s="1"/>
  <c r="O577" i="2"/>
  <c r="P577" i="2" s="1"/>
  <c r="O578" i="2"/>
  <c r="P578" i="2" s="1"/>
  <c r="O579" i="2"/>
  <c r="P579" i="2" s="1"/>
  <c r="O580" i="2"/>
  <c r="P580" i="2" s="1"/>
  <c r="O581" i="2"/>
  <c r="P581" i="2" s="1"/>
  <c r="O582" i="2"/>
  <c r="P582" i="2" s="1"/>
  <c r="O583" i="2"/>
  <c r="P583" i="2" s="1"/>
  <c r="O584" i="2"/>
  <c r="P584" i="2" s="1"/>
  <c r="O585" i="2"/>
  <c r="P585" i="2" s="1"/>
  <c r="O586" i="2"/>
  <c r="P586" i="2" s="1"/>
  <c r="O587" i="2"/>
  <c r="P587" i="2" s="1"/>
  <c r="O588" i="2"/>
  <c r="P588" i="2" s="1"/>
  <c r="O589" i="2"/>
  <c r="P589" i="2" s="1"/>
  <c r="O590" i="2"/>
  <c r="P590" i="2" s="1"/>
  <c r="O591" i="2"/>
  <c r="P591" i="2" s="1"/>
  <c r="O592" i="2"/>
  <c r="P592" i="2" s="1"/>
  <c r="O593" i="2"/>
  <c r="P593" i="2" s="1"/>
  <c r="O594" i="2"/>
  <c r="P594" i="2" s="1"/>
  <c r="O595" i="2"/>
  <c r="P595" i="2" s="1"/>
  <c r="O596" i="2"/>
  <c r="P596" i="2" s="1"/>
  <c r="O597" i="2"/>
  <c r="P597" i="2" s="1"/>
  <c r="O598" i="2"/>
  <c r="P598" i="2" s="1"/>
  <c r="O599" i="2"/>
  <c r="P599" i="2" s="1"/>
  <c r="O600" i="2"/>
  <c r="P600" i="2" s="1"/>
  <c r="O601" i="2"/>
  <c r="P601" i="2" s="1"/>
  <c r="O602" i="2"/>
  <c r="P602" i="2" s="1"/>
  <c r="O603" i="2"/>
  <c r="P603" i="2" s="1"/>
  <c r="O604" i="2"/>
  <c r="P604" i="2" s="1"/>
  <c r="O605" i="2"/>
  <c r="P605" i="2" s="1"/>
  <c r="O606" i="2"/>
  <c r="P606" i="2" s="1"/>
  <c r="O607" i="2"/>
  <c r="P607" i="2" s="1"/>
  <c r="O608" i="2"/>
  <c r="P608" i="2" s="1"/>
  <c r="O609" i="2"/>
  <c r="P609" i="2" s="1"/>
  <c r="O610" i="2"/>
  <c r="P610" i="2" s="1"/>
  <c r="O611" i="2"/>
  <c r="P611" i="2" s="1"/>
  <c r="O612" i="2"/>
  <c r="P612" i="2" s="1"/>
  <c r="O613" i="2"/>
  <c r="P613" i="2" s="1"/>
  <c r="O614" i="2"/>
  <c r="P614" i="2" s="1"/>
  <c r="O615" i="2"/>
  <c r="P615" i="2" s="1"/>
  <c r="O616" i="2"/>
  <c r="P616" i="2" s="1"/>
  <c r="O617" i="2"/>
  <c r="P617" i="2" s="1"/>
  <c r="O618" i="2"/>
  <c r="P618" i="2" s="1"/>
  <c r="O619" i="2"/>
  <c r="P619" i="2" s="1"/>
  <c r="O620" i="2"/>
  <c r="P620" i="2" s="1"/>
  <c r="O621" i="2"/>
  <c r="P621" i="2" s="1"/>
  <c r="O622" i="2"/>
  <c r="P622" i="2" s="1"/>
  <c r="O623" i="2"/>
  <c r="P623" i="2" s="1"/>
  <c r="O624" i="2"/>
  <c r="P624" i="2" s="1"/>
  <c r="O625" i="2"/>
  <c r="P625" i="2" s="1"/>
  <c r="O626" i="2"/>
  <c r="P626" i="2" s="1"/>
  <c r="O627" i="2"/>
  <c r="P627" i="2" s="1"/>
  <c r="O628" i="2"/>
  <c r="P628" i="2" s="1"/>
  <c r="O629" i="2"/>
  <c r="P629" i="2" s="1"/>
  <c r="O630" i="2"/>
  <c r="P630" i="2" s="1"/>
  <c r="O631" i="2"/>
  <c r="P631" i="2" s="1"/>
  <c r="O632" i="2"/>
  <c r="P632" i="2" s="1"/>
  <c r="O633" i="2"/>
  <c r="P633" i="2" s="1"/>
  <c r="O634" i="2"/>
  <c r="P634" i="2" s="1"/>
  <c r="O635" i="2"/>
  <c r="P635" i="2" s="1"/>
  <c r="O636" i="2"/>
  <c r="P636" i="2" s="1"/>
  <c r="O637" i="2"/>
  <c r="P637" i="2" s="1"/>
  <c r="O638" i="2"/>
  <c r="P638" i="2" s="1"/>
  <c r="O639" i="2"/>
  <c r="P639" i="2" s="1"/>
  <c r="O640" i="2"/>
  <c r="P640" i="2" s="1"/>
  <c r="O641" i="2"/>
  <c r="P641" i="2" s="1"/>
  <c r="O642" i="2"/>
  <c r="P642" i="2" s="1"/>
  <c r="O643" i="2"/>
  <c r="P643" i="2" s="1"/>
  <c r="O644" i="2"/>
  <c r="P644" i="2" s="1"/>
  <c r="O645" i="2"/>
  <c r="P645" i="2" s="1"/>
  <c r="O646" i="2"/>
  <c r="P646" i="2" s="1"/>
  <c r="O647" i="2"/>
  <c r="P647" i="2" s="1"/>
  <c r="O648" i="2"/>
  <c r="P648" i="2" s="1"/>
  <c r="O649" i="2"/>
  <c r="P649" i="2" s="1"/>
  <c r="O650" i="2"/>
  <c r="P650" i="2" s="1"/>
  <c r="O651" i="2"/>
  <c r="P651" i="2" s="1"/>
  <c r="O652" i="2"/>
  <c r="P652" i="2" s="1"/>
  <c r="O653" i="2"/>
  <c r="P653" i="2" s="1"/>
  <c r="O654" i="2"/>
  <c r="P654" i="2" s="1"/>
  <c r="O655" i="2"/>
  <c r="P655" i="2" s="1"/>
  <c r="O656" i="2"/>
  <c r="P656" i="2" s="1"/>
  <c r="O657" i="2"/>
  <c r="P657" i="2" s="1"/>
  <c r="O658" i="2"/>
  <c r="P658" i="2" s="1"/>
  <c r="O659" i="2"/>
  <c r="P659" i="2" s="1"/>
  <c r="O660" i="2"/>
  <c r="P660" i="2" s="1"/>
  <c r="O661" i="2"/>
  <c r="P661" i="2" s="1"/>
  <c r="O662" i="2"/>
  <c r="P662" i="2" s="1"/>
  <c r="O663" i="2"/>
  <c r="P663" i="2" s="1"/>
  <c r="O664" i="2"/>
  <c r="P664" i="2" s="1"/>
  <c r="O665" i="2"/>
  <c r="P665" i="2" s="1"/>
  <c r="O666" i="2"/>
  <c r="P666" i="2" s="1"/>
  <c r="O667" i="2"/>
  <c r="P667" i="2" s="1"/>
  <c r="O668" i="2"/>
  <c r="P668" i="2" s="1"/>
  <c r="O669" i="2"/>
  <c r="P669" i="2" s="1"/>
  <c r="O670" i="2"/>
  <c r="P670" i="2" s="1"/>
  <c r="O671" i="2"/>
  <c r="P671" i="2" s="1"/>
  <c r="O672" i="2"/>
  <c r="P672" i="2" s="1"/>
  <c r="O673" i="2"/>
  <c r="P673" i="2" s="1"/>
  <c r="O674" i="2"/>
  <c r="P674" i="2" s="1"/>
  <c r="O675" i="2"/>
  <c r="P675" i="2" s="1"/>
  <c r="O676" i="2"/>
  <c r="P676" i="2" s="1"/>
  <c r="O677" i="2"/>
  <c r="P677" i="2" s="1"/>
  <c r="O678" i="2"/>
  <c r="P678" i="2" s="1"/>
  <c r="O679" i="2"/>
  <c r="P679" i="2" s="1"/>
  <c r="O680" i="2"/>
  <c r="P680" i="2" s="1"/>
  <c r="O681" i="2"/>
  <c r="P681" i="2" s="1"/>
  <c r="O682" i="2"/>
  <c r="P682" i="2" s="1"/>
  <c r="O683" i="2"/>
  <c r="P683" i="2" s="1"/>
  <c r="O684" i="2"/>
  <c r="P684" i="2" s="1"/>
  <c r="O685" i="2"/>
  <c r="P685" i="2" s="1"/>
  <c r="O686" i="2"/>
  <c r="P686" i="2" s="1"/>
  <c r="O687" i="2"/>
  <c r="P687" i="2" s="1"/>
  <c r="O688" i="2"/>
  <c r="P688" i="2" s="1"/>
  <c r="O689" i="2"/>
  <c r="P689" i="2" s="1"/>
  <c r="O690" i="2"/>
  <c r="P690" i="2" s="1"/>
  <c r="O691" i="2"/>
  <c r="P691" i="2" s="1"/>
  <c r="O692" i="2"/>
  <c r="P692" i="2" s="1"/>
  <c r="O693" i="2"/>
  <c r="P693" i="2" s="1"/>
  <c r="O694" i="2"/>
  <c r="P694" i="2" s="1"/>
  <c r="O695" i="2"/>
  <c r="P695" i="2" s="1"/>
  <c r="O696" i="2"/>
  <c r="P696" i="2" s="1"/>
  <c r="O697" i="2"/>
  <c r="P697" i="2" s="1"/>
  <c r="O698" i="2"/>
  <c r="P698" i="2" s="1"/>
  <c r="O699" i="2"/>
  <c r="P699" i="2" s="1"/>
  <c r="O700" i="2"/>
  <c r="P700" i="2" s="1"/>
  <c r="O701" i="2"/>
  <c r="P701" i="2" s="1"/>
  <c r="O702" i="2"/>
  <c r="P702" i="2" s="1"/>
  <c r="O703" i="2"/>
  <c r="P703" i="2" s="1"/>
  <c r="O704" i="2"/>
  <c r="P704" i="2" s="1"/>
  <c r="O705" i="2"/>
  <c r="P705" i="2" s="1"/>
  <c r="O706" i="2"/>
  <c r="P706" i="2" s="1"/>
  <c r="O707" i="2"/>
  <c r="P707" i="2" s="1"/>
  <c r="O708" i="2"/>
  <c r="P708" i="2" s="1"/>
  <c r="O709" i="2"/>
  <c r="P709" i="2" s="1"/>
  <c r="O710" i="2"/>
  <c r="P710" i="2" s="1"/>
  <c r="O711" i="2"/>
  <c r="P711" i="2" s="1"/>
  <c r="O712" i="2"/>
  <c r="P712" i="2" s="1"/>
  <c r="O713" i="2"/>
  <c r="P713" i="2" s="1"/>
  <c r="O714" i="2"/>
  <c r="P714" i="2" s="1"/>
  <c r="O715" i="2"/>
  <c r="P715" i="2" s="1"/>
  <c r="O716" i="2"/>
  <c r="P716" i="2" s="1"/>
  <c r="O717" i="2"/>
  <c r="P717" i="2" s="1"/>
  <c r="O718" i="2"/>
  <c r="P718" i="2" s="1"/>
  <c r="O719" i="2"/>
  <c r="P719" i="2" s="1"/>
  <c r="O720" i="2"/>
  <c r="P720" i="2" s="1"/>
  <c r="O721" i="2"/>
  <c r="P721" i="2" s="1"/>
  <c r="O722" i="2"/>
  <c r="P722" i="2" s="1"/>
  <c r="O723" i="2"/>
  <c r="P723" i="2" s="1"/>
  <c r="O724" i="2"/>
  <c r="P724" i="2" s="1"/>
  <c r="O725" i="2"/>
  <c r="P725" i="2" s="1"/>
  <c r="O726" i="2"/>
  <c r="P726" i="2" s="1"/>
  <c r="O727" i="2"/>
  <c r="P727" i="2" s="1"/>
  <c r="O728" i="2"/>
  <c r="P728" i="2" s="1"/>
  <c r="O729" i="2"/>
  <c r="P729" i="2" s="1"/>
  <c r="O730" i="2"/>
  <c r="P730" i="2" s="1"/>
  <c r="O731" i="2"/>
  <c r="P731" i="2" s="1"/>
  <c r="O732" i="2"/>
  <c r="P732" i="2" s="1"/>
  <c r="O733" i="2"/>
  <c r="P733" i="2" s="1"/>
  <c r="O734" i="2"/>
  <c r="P734" i="2" s="1"/>
  <c r="O735" i="2"/>
  <c r="P735" i="2" s="1"/>
  <c r="O736" i="2"/>
  <c r="P736" i="2" s="1"/>
  <c r="O737" i="2"/>
  <c r="P737" i="2" s="1"/>
  <c r="O738" i="2"/>
  <c r="P738" i="2" s="1"/>
  <c r="O739" i="2"/>
  <c r="P739" i="2" s="1"/>
  <c r="O740" i="2"/>
  <c r="P740" i="2" s="1"/>
  <c r="O741" i="2"/>
  <c r="P741" i="2" s="1"/>
  <c r="O742" i="2"/>
  <c r="P742" i="2" s="1"/>
  <c r="O743" i="2"/>
  <c r="P743" i="2" s="1"/>
  <c r="O744" i="2"/>
  <c r="P744" i="2" s="1"/>
  <c r="O745" i="2"/>
  <c r="P745" i="2" s="1"/>
  <c r="O746" i="2"/>
  <c r="P746" i="2" s="1"/>
  <c r="O747" i="2"/>
  <c r="P747" i="2" s="1"/>
  <c r="O748" i="2"/>
  <c r="P748" i="2" s="1"/>
  <c r="O749" i="2"/>
  <c r="P749" i="2" s="1"/>
  <c r="O750" i="2"/>
  <c r="P750" i="2" s="1"/>
  <c r="O751" i="2"/>
  <c r="P751" i="2" s="1"/>
  <c r="O752" i="2"/>
  <c r="P752" i="2" s="1"/>
  <c r="O753" i="2"/>
  <c r="P753" i="2" s="1"/>
  <c r="O754" i="2"/>
  <c r="P754" i="2" s="1"/>
  <c r="O755" i="2"/>
  <c r="P755" i="2" s="1"/>
  <c r="O756" i="2"/>
  <c r="P756" i="2" s="1"/>
  <c r="O757" i="2"/>
  <c r="P757" i="2" s="1"/>
  <c r="O758" i="2"/>
  <c r="P758" i="2" s="1"/>
  <c r="O759" i="2"/>
  <c r="P759" i="2" s="1"/>
  <c r="O760" i="2"/>
  <c r="P760" i="2" s="1"/>
  <c r="O761" i="2"/>
  <c r="P761" i="2" s="1"/>
  <c r="O762" i="2"/>
  <c r="P762" i="2" s="1"/>
  <c r="O763" i="2"/>
  <c r="P763" i="2" s="1"/>
  <c r="O764" i="2"/>
  <c r="P764" i="2" s="1"/>
  <c r="O765" i="2"/>
  <c r="P765" i="2" s="1"/>
  <c r="O766" i="2"/>
  <c r="P766" i="2" s="1"/>
  <c r="O767" i="2"/>
  <c r="P767" i="2" s="1"/>
  <c r="O768" i="2"/>
  <c r="P768" i="2" s="1"/>
  <c r="O769" i="2"/>
  <c r="P769" i="2" s="1"/>
  <c r="O770" i="2"/>
  <c r="P770" i="2" s="1"/>
  <c r="O771" i="2"/>
  <c r="P771" i="2" s="1"/>
  <c r="O772" i="2"/>
  <c r="P772" i="2" s="1"/>
  <c r="O773" i="2"/>
  <c r="P773" i="2" s="1"/>
  <c r="O774" i="2"/>
  <c r="P774" i="2" s="1"/>
  <c r="O775" i="2"/>
  <c r="P775" i="2" s="1"/>
  <c r="O776" i="2"/>
  <c r="P776" i="2" s="1"/>
  <c r="O777" i="2"/>
  <c r="P777" i="2" s="1"/>
  <c r="O778" i="2"/>
  <c r="P778" i="2" s="1"/>
  <c r="O779" i="2"/>
  <c r="P779" i="2" s="1"/>
  <c r="O780" i="2"/>
  <c r="P780" i="2" s="1"/>
  <c r="O781" i="2"/>
  <c r="P781" i="2" s="1"/>
  <c r="O782" i="2"/>
  <c r="P782" i="2" s="1"/>
  <c r="O783" i="2"/>
  <c r="P783" i="2" s="1"/>
  <c r="O784" i="2"/>
  <c r="P784" i="2" s="1"/>
  <c r="O785" i="2"/>
  <c r="P785" i="2" s="1"/>
  <c r="O786" i="2"/>
  <c r="P786" i="2" s="1"/>
  <c r="O787" i="2"/>
  <c r="P787" i="2" s="1"/>
  <c r="O788" i="2"/>
  <c r="P788" i="2" s="1"/>
  <c r="O789" i="2"/>
  <c r="P789" i="2" s="1"/>
  <c r="O790" i="2"/>
  <c r="P790" i="2" s="1"/>
  <c r="O791" i="2"/>
  <c r="P791" i="2" s="1"/>
  <c r="O792" i="2"/>
  <c r="P792" i="2" s="1"/>
  <c r="O793" i="2"/>
  <c r="P793" i="2" s="1"/>
  <c r="O794" i="2"/>
  <c r="P794" i="2" s="1"/>
  <c r="O795" i="2"/>
  <c r="P795" i="2" s="1"/>
  <c r="O796" i="2"/>
  <c r="P796" i="2" s="1"/>
  <c r="O797" i="2"/>
  <c r="P797" i="2" s="1"/>
  <c r="O798" i="2"/>
  <c r="P798" i="2" s="1"/>
  <c r="O799" i="2"/>
  <c r="P799" i="2" s="1"/>
  <c r="O800" i="2"/>
  <c r="P800" i="2" s="1"/>
  <c r="O801" i="2"/>
  <c r="P801" i="2" s="1"/>
  <c r="O802" i="2"/>
  <c r="P802" i="2" s="1"/>
  <c r="O803" i="2"/>
  <c r="P803" i="2" s="1"/>
  <c r="O804" i="2"/>
  <c r="P804" i="2" s="1"/>
  <c r="O805" i="2"/>
  <c r="P805" i="2" s="1"/>
  <c r="O806" i="2"/>
  <c r="P806" i="2" s="1"/>
  <c r="O807" i="2"/>
  <c r="P807" i="2" s="1"/>
  <c r="O808" i="2"/>
  <c r="P808" i="2" s="1"/>
  <c r="O809" i="2"/>
  <c r="P809" i="2" s="1"/>
  <c r="O810" i="2"/>
  <c r="P810" i="2" s="1"/>
  <c r="O811" i="2"/>
  <c r="P811" i="2" s="1"/>
  <c r="O812" i="2"/>
  <c r="P812" i="2" s="1"/>
  <c r="O813" i="2"/>
  <c r="P813" i="2" s="1"/>
  <c r="O814" i="2"/>
  <c r="P814" i="2" s="1"/>
  <c r="O815" i="2"/>
  <c r="P815" i="2" s="1"/>
  <c r="O816" i="2"/>
  <c r="P816" i="2" s="1"/>
  <c r="O817" i="2"/>
  <c r="P817" i="2" s="1"/>
  <c r="O818" i="2"/>
  <c r="P818" i="2" s="1"/>
  <c r="O819" i="2"/>
  <c r="P819" i="2" s="1"/>
  <c r="O820" i="2"/>
  <c r="P820" i="2" s="1"/>
  <c r="O821" i="2"/>
  <c r="P821" i="2" s="1"/>
  <c r="O822" i="2"/>
  <c r="P822" i="2" s="1"/>
  <c r="O823" i="2"/>
  <c r="P823" i="2" s="1"/>
  <c r="O824" i="2"/>
  <c r="P824" i="2" s="1"/>
  <c r="O825" i="2"/>
  <c r="P825" i="2" s="1"/>
  <c r="O826" i="2"/>
  <c r="P826" i="2" s="1"/>
  <c r="O827" i="2"/>
  <c r="P827" i="2" s="1"/>
  <c r="O828" i="2"/>
  <c r="P828" i="2" s="1"/>
  <c r="O829" i="2"/>
  <c r="P829" i="2" s="1"/>
  <c r="O830" i="2"/>
  <c r="P830" i="2" s="1"/>
  <c r="O831" i="2"/>
  <c r="P831" i="2" s="1"/>
  <c r="O832" i="2"/>
  <c r="P832" i="2" s="1"/>
  <c r="O833" i="2"/>
  <c r="P833" i="2" s="1"/>
  <c r="O834" i="2"/>
  <c r="P834" i="2" s="1"/>
  <c r="O835" i="2"/>
  <c r="P835" i="2" s="1"/>
  <c r="O836" i="2"/>
  <c r="P836" i="2" s="1"/>
  <c r="O837" i="2"/>
  <c r="P837" i="2" s="1"/>
  <c r="O838" i="2"/>
  <c r="P838" i="2" s="1"/>
  <c r="O839" i="2"/>
  <c r="P839" i="2" s="1"/>
  <c r="O840" i="2"/>
  <c r="P840" i="2" s="1"/>
  <c r="O841" i="2"/>
  <c r="P841" i="2" s="1"/>
  <c r="O842" i="2"/>
  <c r="P842" i="2" s="1"/>
  <c r="O843" i="2"/>
  <c r="P843" i="2" s="1"/>
  <c r="O844" i="2"/>
  <c r="P844" i="2" s="1"/>
  <c r="O845" i="2"/>
  <c r="P845" i="2" s="1"/>
  <c r="O846" i="2"/>
  <c r="P846" i="2" s="1"/>
  <c r="O847" i="2"/>
  <c r="P847" i="2" s="1"/>
  <c r="O848" i="2"/>
  <c r="P848" i="2" s="1"/>
  <c r="O849" i="2"/>
  <c r="P849" i="2" s="1"/>
  <c r="O850" i="2"/>
  <c r="P850" i="2" s="1"/>
  <c r="O851" i="2"/>
  <c r="P851" i="2" s="1"/>
  <c r="O852" i="2"/>
  <c r="P852" i="2" s="1"/>
  <c r="O853" i="2"/>
  <c r="P853" i="2" s="1"/>
  <c r="O854" i="2"/>
  <c r="P854" i="2" s="1"/>
  <c r="O855" i="2"/>
  <c r="P855" i="2" s="1"/>
  <c r="O856" i="2"/>
  <c r="P856" i="2" s="1"/>
  <c r="O857" i="2"/>
  <c r="P857" i="2" s="1"/>
  <c r="O858" i="2"/>
  <c r="P858" i="2" s="1"/>
  <c r="O859" i="2"/>
  <c r="P859" i="2" s="1"/>
  <c r="O860" i="2"/>
  <c r="P860" i="2" s="1"/>
  <c r="O861" i="2"/>
  <c r="P861" i="2" s="1"/>
  <c r="O862" i="2"/>
  <c r="P862" i="2" s="1"/>
  <c r="O863" i="2"/>
  <c r="P863" i="2" s="1"/>
  <c r="O864" i="2"/>
  <c r="P864" i="2" s="1"/>
  <c r="O865" i="2"/>
  <c r="P865" i="2" s="1"/>
  <c r="O866" i="2"/>
  <c r="P866" i="2" s="1"/>
  <c r="O867" i="2"/>
  <c r="P867" i="2" s="1"/>
  <c r="O868" i="2"/>
  <c r="P868" i="2" s="1"/>
  <c r="O869" i="2"/>
  <c r="P869" i="2" s="1"/>
  <c r="O870" i="2"/>
  <c r="P870" i="2" s="1"/>
  <c r="O871" i="2"/>
  <c r="P871" i="2" s="1"/>
  <c r="O872" i="2"/>
  <c r="P872" i="2" s="1"/>
  <c r="O873" i="2"/>
  <c r="P873" i="2" s="1"/>
  <c r="O874" i="2"/>
  <c r="P874" i="2" s="1"/>
  <c r="O875" i="2"/>
  <c r="P875" i="2" s="1"/>
  <c r="O876" i="2"/>
  <c r="P876" i="2" s="1"/>
  <c r="O877" i="2"/>
  <c r="P877" i="2" s="1"/>
  <c r="O878" i="2"/>
  <c r="P878" i="2" s="1"/>
  <c r="O879" i="2"/>
  <c r="P879" i="2" s="1"/>
  <c r="O880" i="2"/>
  <c r="P880" i="2" s="1"/>
  <c r="O881" i="2"/>
  <c r="P881" i="2" s="1"/>
  <c r="O882" i="2"/>
  <c r="P882" i="2" s="1"/>
  <c r="O883" i="2"/>
  <c r="P883" i="2" s="1"/>
  <c r="O884" i="2"/>
  <c r="P884" i="2" s="1"/>
  <c r="O885" i="2"/>
  <c r="P885" i="2" s="1"/>
  <c r="O886" i="2"/>
  <c r="P886" i="2" s="1"/>
  <c r="O887" i="2"/>
  <c r="P887" i="2" s="1"/>
  <c r="O888" i="2"/>
  <c r="P888" i="2" s="1"/>
  <c r="O889" i="2"/>
  <c r="P889" i="2" s="1"/>
  <c r="O890" i="2"/>
  <c r="P890" i="2" s="1"/>
  <c r="O891" i="2"/>
  <c r="P891" i="2" s="1"/>
  <c r="O892" i="2"/>
  <c r="P892" i="2" s="1"/>
  <c r="O893" i="2"/>
  <c r="P893" i="2" s="1"/>
  <c r="O894" i="2"/>
  <c r="P894" i="2" s="1"/>
  <c r="O895" i="2"/>
  <c r="P895" i="2" s="1"/>
  <c r="O896" i="2"/>
  <c r="P896" i="2" s="1"/>
  <c r="O897" i="2"/>
  <c r="P897" i="2" s="1"/>
  <c r="O898" i="2"/>
  <c r="P898" i="2" s="1"/>
  <c r="O899" i="2"/>
  <c r="P899" i="2" s="1"/>
  <c r="O900" i="2"/>
  <c r="P900" i="2" s="1"/>
  <c r="O901" i="2"/>
  <c r="P901" i="2" s="1"/>
  <c r="O902" i="2"/>
  <c r="P902" i="2" s="1"/>
  <c r="O903" i="2"/>
  <c r="P903" i="2" s="1"/>
  <c r="O904" i="2"/>
  <c r="P904" i="2" s="1"/>
  <c r="O905" i="2"/>
  <c r="P905" i="2" s="1"/>
  <c r="O906" i="2"/>
  <c r="P906" i="2" s="1"/>
  <c r="O907" i="2"/>
  <c r="P907" i="2" s="1"/>
  <c r="O908" i="2"/>
  <c r="P908" i="2" s="1"/>
  <c r="O909" i="2"/>
  <c r="P909" i="2" s="1"/>
  <c r="O910" i="2"/>
  <c r="P910" i="2" s="1"/>
  <c r="O911" i="2"/>
  <c r="P911" i="2" s="1"/>
  <c r="O912" i="2"/>
  <c r="P912" i="2" s="1"/>
  <c r="O913" i="2"/>
  <c r="P913" i="2" s="1"/>
  <c r="O914" i="2"/>
  <c r="P914" i="2" s="1"/>
  <c r="O915" i="2"/>
  <c r="P915" i="2" s="1"/>
  <c r="O916" i="2"/>
  <c r="P916" i="2" s="1"/>
  <c r="O917" i="2"/>
  <c r="P917" i="2" s="1"/>
  <c r="O918" i="2"/>
  <c r="P918" i="2" s="1"/>
  <c r="O919" i="2"/>
  <c r="P919" i="2" s="1"/>
  <c r="O920" i="2"/>
  <c r="P920" i="2" s="1"/>
  <c r="O921" i="2"/>
  <c r="P921" i="2" s="1"/>
  <c r="O922" i="2"/>
  <c r="P922" i="2" s="1"/>
  <c r="O923" i="2"/>
  <c r="P923" i="2" s="1"/>
  <c r="O924" i="2"/>
  <c r="P924" i="2" s="1"/>
  <c r="O925" i="2"/>
  <c r="P925" i="2" s="1"/>
  <c r="O926" i="2"/>
  <c r="P926" i="2" s="1"/>
  <c r="O927" i="2"/>
  <c r="P927" i="2" s="1"/>
  <c r="O928" i="2"/>
  <c r="P928" i="2" s="1"/>
  <c r="O929" i="2"/>
  <c r="P929" i="2" s="1"/>
  <c r="O930" i="2"/>
  <c r="P930" i="2" s="1"/>
  <c r="O931" i="2"/>
  <c r="P931" i="2" s="1"/>
  <c r="O932" i="2"/>
  <c r="P932" i="2" s="1"/>
  <c r="O933" i="2"/>
  <c r="P933" i="2" s="1"/>
  <c r="O934" i="2"/>
  <c r="P934" i="2" s="1"/>
  <c r="O935" i="2"/>
  <c r="P935" i="2" s="1"/>
  <c r="O936" i="2"/>
  <c r="P936" i="2" s="1"/>
  <c r="O937" i="2"/>
  <c r="P937" i="2" s="1"/>
  <c r="O938" i="2"/>
  <c r="P938" i="2" s="1"/>
  <c r="O939" i="2"/>
  <c r="P939" i="2" s="1"/>
  <c r="O940" i="2"/>
  <c r="P940" i="2" s="1"/>
  <c r="O941" i="2"/>
  <c r="P941" i="2" s="1"/>
  <c r="O942" i="2"/>
  <c r="P942" i="2" s="1"/>
  <c r="O943" i="2"/>
  <c r="P943" i="2" s="1"/>
  <c r="O944" i="2"/>
  <c r="P944" i="2" s="1"/>
  <c r="O945" i="2"/>
  <c r="P945" i="2" s="1"/>
  <c r="O946" i="2"/>
  <c r="P946" i="2" s="1"/>
  <c r="O947" i="2"/>
  <c r="P947" i="2" s="1"/>
  <c r="O948" i="2"/>
  <c r="P948" i="2" s="1"/>
  <c r="O949" i="2"/>
  <c r="P949" i="2" s="1"/>
  <c r="O950" i="2"/>
  <c r="P950" i="2" s="1"/>
  <c r="O951" i="2"/>
  <c r="P951" i="2" s="1"/>
  <c r="O952" i="2"/>
  <c r="P952" i="2" s="1"/>
  <c r="O953" i="2"/>
  <c r="P953" i="2" s="1"/>
  <c r="O954" i="2"/>
  <c r="P954" i="2" s="1"/>
  <c r="O955" i="2"/>
  <c r="P955" i="2" s="1"/>
  <c r="O956" i="2"/>
  <c r="P956" i="2" s="1"/>
  <c r="O957" i="2"/>
  <c r="P957" i="2" s="1"/>
  <c r="O958" i="2"/>
  <c r="P958" i="2" s="1"/>
  <c r="O959" i="2"/>
  <c r="P959" i="2" s="1"/>
  <c r="O960" i="2"/>
  <c r="P960" i="2" s="1"/>
  <c r="O961" i="2"/>
  <c r="P961" i="2" s="1"/>
  <c r="O962" i="2"/>
  <c r="P962" i="2" s="1"/>
  <c r="O963" i="2"/>
  <c r="P963" i="2" s="1"/>
  <c r="O964" i="2"/>
  <c r="P964" i="2" s="1"/>
  <c r="O965" i="2"/>
  <c r="P965" i="2" s="1"/>
  <c r="O966" i="2"/>
  <c r="P966" i="2" s="1"/>
  <c r="O967" i="2"/>
  <c r="P967" i="2" s="1"/>
  <c r="O968" i="2"/>
  <c r="P968" i="2" s="1"/>
  <c r="O969" i="2"/>
  <c r="P969" i="2" s="1"/>
  <c r="O970" i="2"/>
  <c r="P970" i="2" s="1"/>
  <c r="O971" i="2"/>
  <c r="P971" i="2" s="1"/>
  <c r="O972" i="2"/>
  <c r="P972" i="2" s="1"/>
  <c r="O973" i="2"/>
  <c r="P973" i="2" s="1"/>
  <c r="O974" i="2"/>
  <c r="P974" i="2" s="1"/>
  <c r="O975" i="2"/>
  <c r="P975" i="2" s="1"/>
  <c r="O976" i="2"/>
  <c r="P976" i="2" s="1"/>
  <c r="O977" i="2"/>
  <c r="P977" i="2" s="1"/>
  <c r="O978" i="2"/>
  <c r="P978" i="2" s="1"/>
  <c r="O979" i="2"/>
  <c r="P979" i="2" s="1"/>
  <c r="O980" i="2"/>
  <c r="P980" i="2" s="1"/>
  <c r="O981" i="2"/>
  <c r="P981" i="2" s="1"/>
  <c r="O982" i="2"/>
  <c r="P982" i="2" s="1"/>
  <c r="O983" i="2"/>
  <c r="P983" i="2" s="1"/>
  <c r="O984" i="2"/>
  <c r="P984" i="2" s="1"/>
  <c r="O985" i="2"/>
  <c r="P985" i="2" s="1"/>
  <c r="O986" i="2"/>
  <c r="P986" i="2" s="1"/>
  <c r="O987" i="2"/>
  <c r="P987" i="2" s="1"/>
  <c r="O988" i="2"/>
  <c r="P988" i="2" s="1"/>
  <c r="O989" i="2"/>
  <c r="P989" i="2" s="1"/>
  <c r="O990" i="2"/>
  <c r="P990" i="2" s="1"/>
  <c r="O991" i="2"/>
  <c r="P991" i="2" s="1"/>
  <c r="O992" i="2"/>
  <c r="P992" i="2" s="1"/>
  <c r="O993" i="2"/>
  <c r="P993" i="2" s="1"/>
  <c r="O994" i="2"/>
  <c r="P994" i="2" s="1"/>
  <c r="O995" i="2"/>
  <c r="P995" i="2" s="1"/>
  <c r="O996" i="2"/>
  <c r="P996" i="2" s="1"/>
  <c r="O997" i="2"/>
  <c r="P997" i="2" s="1"/>
  <c r="O998" i="2"/>
  <c r="P998" i="2" s="1"/>
  <c r="O999" i="2"/>
  <c r="P999" i="2" s="1"/>
  <c r="O1000" i="2"/>
  <c r="P1000" i="2" s="1"/>
  <c r="O1001" i="2"/>
  <c r="P1001" i="2" s="1"/>
  <c r="O1002" i="2"/>
  <c r="P1002" i="2" s="1"/>
  <c r="O1003" i="2"/>
  <c r="P1003" i="2" s="1"/>
  <c r="O1004" i="2"/>
  <c r="P1004" i="2" s="1"/>
  <c r="O1005" i="2"/>
  <c r="P1005" i="2" s="1"/>
  <c r="O1006" i="2"/>
  <c r="P1006" i="2" s="1"/>
  <c r="O1007" i="2"/>
  <c r="P1007" i="2" s="1"/>
  <c r="O1008" i="2"/>
  <c r="P1008" i="2" s="1"/>
  <c r="O1009" i="2"/>
  <c r="P1009" i="2" s="1"/>
  <c r="O1010" i="2"/>
  <c r="P1010" i="2" s="1"/>
  <c r="O1011" i="2"/>
  <c r="P1011" i="2" s="1"/>
  <c r="O1012" i="2"/>
  <c r="P1012" i="2" s="1"/>
  <c r="O1013" i="2"/>
  <c r="P1013" i="2" s="1"/>
  <c r="O1014" i="2"/>
  <c r="P1014" i="2" s="1"/>
  <c r="O1015" i="2"/>
  <c r="P1015" i="2" s="1"/>
  <c r="O1016" i="2"/>
  <c r="P1016" i="2" s="1"/>
  <c r="O1017" i="2"/>
  <c r="P1017" i="2" s="1"/>
  <c r="O1018" i="2"/>
  <c r="P1018" i="2" s="1"/>
  <c r="O1019" i="2"/>
  <c r="P1019" i="2" s="1"/>
  <c r="O1020" i="2"/>
  <c r="P1020" i="2" s="1"/>
  <c r="O1021" i="2"/>
  <c r="P1021" i="2" s="1"/>
  <c r="O1022" i="2"/>
  <c r="P1022" i="2" s="1"/>
  <c r="O1023" i="2"/>
  <c r="P1023" i="2" s="1"/>
  <c r="O1024" i="2"/>
  <c r="P1024" i="2" s="1"/>
  <c r="O1025" i="2"/>
  <c r="P1025" i="2" s="1"/>
  <c r="O1026" i="2"/>
  <c r="P1026" i="2" s="1"/>
  <c r="O1027" i="2"/>
  <c r="P1027" i="2" s="1"/>
  <c r="O1028" i="2"/>
  <c r="P1028" i="2" s="1"/>
  <c r="O1029" i="2"/>
  <c r="P1029" i="2" s="1"/>
  <c r="O1030" i="2"/>
  <c r="P1030" i="2" s="1"/>
  <c r="O1031" i="2"/>
  <c r="P1031" i="2" s="1"/>
  <c r="O1032" i="2"/>
  <c r="P1032" i="2" s="1"/>
  <c r="O1033" i="2"/>
  <c r="P1033" i="2" s="1"/>
  <c r="O1034" i="2"/>
  <c r="P1034" i="2" s="1"/>
  <c r="O1035" i="2"/>
  <c r="P1035" i="2" s="1"/>
  <c r="O1036" i="2"/>
  <c r="P1036" i="2" s="1"/>
  <c r="O1037" i="2"/>
  <c r="P1037" i="2" s="1"/>
  <c r="O1038" i="2"/>
  <c r="P1038" i="2" s="1"/>
  <c r="O1039" i="2"/>
  <c r="P1039" i="2" s="1"/>
  <c r="O1040" i="2"/>
  <c r="P1040" i="2" s="1"/>
  <c r="O1041" i="2"/>
  <c r="P1041" i="2" s="1"/>
  <c r="O1042" i="2"/>
  <c r="P1042" i="2" s="1"/>
  <c r="O1043" i="2"/>
  <c r="P1043" i="2" s="1"/>
  <c r="O1044" i="2"/>
  <c r="P1044" i="2" s="1"/>
  <c r="O1045" i="2"/>
  <c r="P1045" i="2" s="1"/>
  <c r="O1046" i="2"/>
  <c r="P1046" i="2" s="1"/>
  <c r="O1047" i="2"/>
  <c r="P1047" i="2" s="1"/>
  <c r="O1048" i="2"/>
  <c r="P1048" i="2" s="1"/>
  <c r="O1049" i="2"/>
  <c r="P1049" i="2" s="1"/>
  <c r="O1050" i="2"/>
  <c r="P1050" i="2" s="1"/>
  <c r="O1051" i="2"/>
  <c r="P1051" i="2" s="1"/>
  <c r="O1052" i="2"/>
  <c r="P1052" i="2" s="1"/>
  <c r="O1053" i="2"/>
  <c r="P1053" i="2" s="1"/>
  <c r="O1054" i="2"/>
  <c r="P1054" i="2" s="1"/>
  <c r="O1055" i="2"/>
  <c r="P1055" i="2" s="1"/>
  <c r="O1056" i="2"/>
  <c r="P1056" i="2" s="1"/>
  <c r="O1057" i="2"/>
  <c r="P1057" i="2" s="1"/>
  <c r="O1058" i="2"/>
  <c r="P1058" i="2" s="1"/>
  <c r="O1059" i="2"/>
  <c r="P1059" i="2" s="1"/>
  <c r="O1060" i="2"/>
  <c r="P1060" i="2" s="1"/>
  <c r="O1061" i="2"/>
  <c r="P1061" i="2" s="1"/>
  <c r="O1062" i="2"/>
  <c r="P1062" i="2" s="1"/>
  <c r="O1063" i="2"/>
  <c r="P1063" i="2" s="1"/>
  <c r="O1064" i="2"/>
  <c r="P1064" i="2" s="1"/>
  <c r="O1065" i="2"/>
  <c r="P1065" i="2" s="1"/>
  <c r="O1066" i="2"/>
  <c r="P1066" i="2" s="1"/>
  <c r="O1067" i="2"/>
  <c r="P1067" i="2" s="1"/>
  <c r="O1068" i="2"/>
  <c r="P1068" i="2" s="1"/>
  <c r="O1069" i="2"/>
  <c r="P1069" i="2" s="1"/>
  <c r="O1070" i="2"/>
  <c r="P1070" i="2" s="1"/>
  <c r="O1071" i="2"/>
  <c r="P1071" i="2" s="1"/>
  <c r="O1072" i="2"/>
  <c r="P1072" i="2" s="1"/>
  <c r="O1073" i="2"/>
  <c r="P1073" i="2" s="1"/>
  <c r="O1074" i="2"/>
  <c r="P1074" i="2" s="1"/>
  <c r="O1075" i="2"/>
  <c r="P1075" i="2" s="1"/>
  <c r="O1076" i="2"/>
  <c r="P1076" i="2" s="1"/>
  <c r="O1077" i="2"/>
  <c r="P1077" i="2" s="1"/>
  <c r="O1078" i="2"/>
  <c r="P1078" i="2" s="1"/>
  <c r="O1079" i="2"/>
  <c r="P1079" i="2" s="1"/>
  <c r="O1080" i="2"/>
  <c r="P1080" i="2" s="1"/>
  <c r="O1081" i="2"/>
  <c r="P1081" i="2" s="1"/>
  <c r="O1082" i="2"/>
  <c r="P1082" i="2" s="1"/>
  <c r="O1083" i="2"/>
  <c r="P1083" i="2" s="1"/>
  <c r="O1084" i="2"/>
  <c r="P1084" i="2" s="1"/>
  <c r="O1085" i="2"/>
  <c r="P1085" i="2" s="1"/>
  <c r="O1086" i="2"/>
  <c r="P1086" i="2" s="1"/>
  <c r="O1087" i="2"/>
  <c r="P1087" i="2" s="1"/>
  <c r="O1088" i="2"/>
  <c r="P1088" i="2" s="1"/>
  <c r="O1089" i="2"/>
  <c r="P1089" i="2" s="1"/>
  <c r="O1090" i="2"/>
  <c r="P1090" i="2" s="1"/>
  <c r="O1091" i="2"/>
  <c r="P1091" i="2" s="1"/>
  <c r="O1092" i="2"/>
  <c r="P1092" i="2" s="1"/>
  <c r="O1093" i="2"/>
  <c r="P1093" i="2" s="1"/>
  <c r="O1094" i="2"/>
  <c r="P1094" i="2" s="1"/>
  <c r="O1095" i="2"/>
  <c r="P1095" i="2" s="1"/>
  <c r="O1096" i="2"/>
  <c r="P1096" i="2" s="1"/>
  <c r="O1097" i="2"/>
  <c r="P1097" i="2" s="1"/>
  <c r="O1098" i="2"/>
  <c r="P1098" i="2" s="1"/>
  <c r="O1099" i="2"/>
  <c r="P1099" i="2" s="1"/>
  <c r="O1100" i="2"/>
  <c r="P1100" i="2" s="1"/>
  <c r="O1101" i="2"/>
  <c r="P1101" i="2" s="1"/>
  <c r="O1102" i="2"/>
  <c r="P1102" i="2" s="1"/>
  <c r="O1103" i="2"/>
  <c r="P1103" i="2" s="1"/>
  <c r="O1104" i="2"/>
  <c r="P1104" i="2" s="1"/>
  <c r="O1105" i="2"/>
  <c r="P1105" i="2" s="1"/>
  <c r="O1106" i="2"/>
  <c r="P1106" i="2" s="1"/>
  <c r="O1107" i="2"/>
  <c r="P1107" i="2" s="1"/>
  <c r="O1108" i="2"/>
  <c r="P1108" i="2" s="1"/>
  <c r="O1109" i="2"/>
  <c r="P1109" i="2" s="1"/>
  <c r="O1110" i="2"/>
  <c r="P1110" i="2" s="1"/>
  <c r="O1111" i="2"/>
  <c r="P1111" i="2" s="1"/>
  <c r="O1112" i="2"/>
  <c r="P1112" i="2" s="1"/>
  <c r="O1113" i="2"/>
  <c r="P1113" i="2" s="1"/>
  <c r="O1114" i="2"/>
  <c r="P1114" i="2" s="1"/>
  <c r="O1115" i="2"/>
  <c r="P1115" i="2" s="1"/>
  <c r="O1116" i="2"/>
  <c r="P1116" i="2" s="1"/>
  <c r="O1117" i="2"/>
  <c r="P1117" i="2" s="1"/>
  <c r="O1118" i="2"/>
  <c r="P1118" i="2" s="1"/>
  <c r="O1119" i="2"/>
  <c r="P1119" i="2" s="1"/>
  <c r="O1120" i="2"/>
  <c r="P1120" i="2" s="1"/>
  <c r="O1121" i="2"/>
  <c r="P1121" i="2" s="1"/>
  <c r="O1122" i="2"/>
  <c r="P1122" i="2" s="1"/>
  <c r="O1123" i="2"/>
  <c r="P1123" i="2" s="1"/>
  <c r="O1124" i="2"/>
  <c r="P1124" i="2" s="1"/>
  <c r="O1125" i="2"/>
  <c r="P1125" i="2" s="1"/>
  <c r="O1126" i="2"/>
  <c r="P1126" i="2" s="1"/>
  <c r="O1127" i="2"/>
  <c r="P1127" i="2" s="1"/>
  <c r="O1128" i="2"/>
  <c r="P1128" i="2" s="1"/>
  <c r="O1129" i="2"/>
  <c r="P1129" i="2" s="1"/>
  <c r="O1130" i="2"/>
  <c r="P1130" i="2" s="1"/>
  <c r="O1131" i="2"/>
  <c r="P1131" i="2" s="1"/>
  <c r="O1132" i="2"/>
  <c r="P1132" i="2" s="1"/>
  <c r="O1133" i="2"/>
  <c r="P1133" i="2" s="1"/>
  <c r="O1134" i="2"/>
  <c r="P1134" i="2" s="1"/>
  <c r="O1135" i="2"/>
  <c r="P1135" i="2" s="1"/>
  <c r="O1136" i="2"/>
  <c r="P1136" i="2" s="1"/>
  <c r="O1137" i="2"/>
  <c r="P1137" i="2" s="1"/>
  <c r="O1138" i="2"/>
  <c r="P1138" i="2" s="1"/>
  <c r="O1139" i="2"/>
  <c r="P1139" i="2" s="1"/>
  <c r="O1140" i="2"/>
  <c r="P1140" i="2" s="1"/>
  <c r="O1141" i="2"/>
  <c r="P1141" i="2" s="1"/>
  <c r="O1142" i="2"/>
  <c r="P1142" i="2" s="1"/>
  <c r="O1143" i="2"/>
  <c r="P1143" i="2" s="1"/>
  <c r="O1144" i="2"/>
  <c r="P1144" i="2" s="1"/>
  <c r="O1145" i="2"/>
  <c r="P1145" i="2" s="1"/>
  <c r="O1146" i="2"/>
  <c r="P1146" i="2" s="1"/>
  <c r="O1147" i="2"/>
  <c r="P1147" i="2" s="1"/>
  <c r="O1148" i="2"/>
  <c r="P1148" i="2" s="1"/>
  <c r="O1149" i="2"/>
  <c r="P1149" i="2" s="1"/>
  <c r="O1150" i="2"/>
  <c r="P1150" i="2" s="1"/>
  <c r="O1151" i="2"/>
  <c r="P1151" i="2" s="1"/>
  <c r="O1152" i="2"/>
  <c r="P1152" i="2" s="1"/>
  <c r="O1153" i="2"/>
  <c r="P1153" i="2" s="1"/>
  <c r="O1154" i="2"/>
  <c r="P1154" i="2" s="1"/>
  <c r="O1155" i="2"/>
  <c r="P1155" i="2" s="1"/>
  <c r="O1156" i="2"/>
  <c r="P1156" i="2" s="1"/>
  <c r="O1157" i="2"/>
  <c r="P1157" i="2" s="1"/>
  <c r="O1158" i="2"/>
  <c r="P1158" i="2" s="1"/>
  <c r="O1159" i="2"/>
  <c r="P1159" i="2" s="1"/>
  <c r="O1160" i="2"/>
  <c r="P1160" i="2" s="1"/>
  <c r="O1161" i="2"/>
  <c r="P1161" i="2" s="1"/>
  <c r="O1162" i="2"/>
  <c r="P1162" i="2" s="1"/>
  <c r="O1163" i="2"/>
  <c r="P1163" i="2" s="1"/>
  <c r="O1164" i="2"/>
  <c r="P1164" i="2" s="1"/>
  <c r="O1165" i="2"/>
  <c r="P1165" i="2" s="1"/>
  <c r="O1166" i="2"/>
  <c r="P1166" i="2" s="1"/>
  <c r="O1167" i="2"/>
  <c r="P1167" i="2" s="1"/>
  <c r="O1168" i="2"/>
  <c r="P1168" i="2" s="1"/>
  <c r="O1169" i="2"/>
  <c r="P1169" i="2" s="1"/>
  <c r="O1170" i="2"/>
  <c r="P1170" i="2" s="1"/>
  <c r="O1171" i="2"/>
  <c r="P1171" i="2" s="1"/>
  <c r="O1172" i="2"/>
  <c r="P1172" i="2" s="1"/>
  <c r="O1173" i="2"/>
  <c r="P1173" i="2" s="1"/>
  <c r="O1174" i="2"/>
  <c r="P1174" i="2" s="1"/>
  <c r="O1175" i="2"/>
  <c r="P1175" i="2" s="1"/>
  <c r="O1176" i="2"/>
  <c r="P1176" i="2" s="1"/>
  <c r="O1177" i="2"/>
  <c r="P1177" i="2" s="1"/>
  <c r="O1178" i="2"/>
  <c r="P1178" i="2" s="1"/>
  <c r="O1179" i="2"/>
  <c r="P1179" i="2" s="1"/>
  <c r="O1180" i="2"/>
  <c r="P1180" i="2" s="1"/>
  <c r="O1181" i="2"/>
  <c r="P1181" i="2" s="1"/>
  <c r="O1182" i="2"/>
  <c r="P1182" i="2" s="1"/>
  <c r="O1183" i="2"/>
  <c r="P1183" i="2" s="1"/>
  <c r="O1184" i="2"/>
  <c r="P1184" i="2" s="1"/>
  <c r="O1185" i="2"/>
  <c r="P1185" i="2" s="1"/>
  <c r="O1186" i="2"/>
  <c r="P1186" i="2" s="1"/>
  <c r="O1187" i="2"/>
  <c r="P1187" i="2" s="1"/>
  <c r="O1188" i="2"/>
  <c r="P1188" i="2" s="1"/>
  <c r="O1189" i="2"/>
  <c r="P1189" i="2" s="1"/>
  <c r="O1190" i="2"/>
  <c r="P1190" i="2" s="1"/>
  <c r="O1191" i="2"/>
  <c r="P1191" i="2" s="1"/>
  <c r="O1192" i="2"/>
  <c r="P1192" i="2" s="1"/>
  <c r="O1193" i="2"/>
  <c r="P1193" i="2" s="1"/>
  <c r="O1194" i="2"/>
  <c r="P1194" i="2" s="1"/>
  <c r="O1195" i="2"/>
  <c r="P1195" i="2" s="1"/>
  <c r="O1196" i="2"/>
  <c r="P1196" i="2" s="1"/>
  <c r="O1197" i="2"/>
  <c r="P1197" i="2" s="1"/>
  <c r="O1198" i="2"/>
  <c r="P1198" i="2" s="1"/>
  <c r="O1199" i="2"/>
  <c r="P1199" i="2" s="1"/>
  <c r="O1200" i="2"/>
  <c r="P1200" i="2" s="1"/>
  <c r="O1201" i="2"/>
  <c r="P1201" i="2" s="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K2" i="2"/>
  <c r="R2" i="2" s="1"/>
  <c r="K3" i="2"/>
  <c r="R3" i="2" s="1"/>
  <c r="K4" i="2"/>
  <c r="R4" i="2" s="1"/>
  <c r="K5" i="2"/>
  <c r="R5" i="2" s="1"/>
  <c r="K6" i="2"/>
  <c r="R6" i="2" s="1"/>
  <c r="K7" i="2"/>
  <c r="R7" i="2" s="1"/>
  <c r="K8" i="2"/>
  <c r="R8" i="2" s="1"/>
  <c r="K9" i="2"/>
  <c r="R9" i="2" s="1"/>
  <c r="K10" i="2"/>
  <c r="R10" i="2" s="1"/>
  <c r="K11" i="2"/>
  <c r="R11" i="2" s="1"/>
  <c r="K12" i="2"/>
  <c r="R12" i="2" s="1"/>
  <c r="K13" i="2"/>
  <c r="R13" i="2" s="1"/>
  <c r="K14" i="2"/>
  <c r="R14" i="2" s="1"/>
  <c r="K15" i="2"/>
  <c r="R15" i="2" s="1"/>
  <c r="K16" i="2"/>
  <c r="R16" i="2" s="1"/>
  <c r="K17" i="2"/>
  <c r="R17" i="2" s="1"/>
  <c r="K18" i="2"/>
  <c r="R18" i="2" s="1"/>
  <c r="K19" i="2"/>
  <c r="R19" i="2" s="1"/>
  <c r="K20" i="2"/>
  <c r="R20" i="2" s="1"/>
  <c r="K21" i="2"/>
  <c r="R21" i="2" s="1"/>
  <c r="K22" i="2"/>
  <c r="R22" i="2" s="1"/>
  <c r="K23" i="2"/>
  <c r="R23" i="2" s="1"/>
  <c r="K24" i="2"/>
  <c r="R24" i="2" s="1"/>
  <c r="K25" i="2"/>
  <c r="R25" i="2" s="1"/>
  <c r="K26" i="2"/>
  <c r="R26" i="2" s="1"/>
  <c r="K27" i="2"/>
  <c r="R27" i="2" s="1"/>
  <c r="K28" i="2"/>
  <c r="R28" i="2" s="1"/>
  <c r="K29" i="2"/>
  <c r="R29" i="2" s="1"/>
  <c r="K30" i="2"/>
  <c r="R30" i="2" s="1"/>
  <c r="K31" i="2"/>
  <c r="R31" i="2" s="1"/>
  <c r="K32" i="2"/>
  <c r="R32" i="2" s="1"/>
  <c r="K33" i="2"/>
  <c r="R33" i="2" s="1"/>
  <c r="K34" i="2"/>
  <c r="R34" i="2" s="1"/>
  <c r="K35" i="2"/>
  <c r="R35" i="2" s="1"/>
  <c r="K36" i="2"/>
  <c r="R36" i="2" s="1"/>
  <c r="K37" i="2"/>
  <c r="R37" i="2" s="1"/>
  <c r="K38" i="2"/>
  <c r="R38" i="2" s="1"/>
  <c r="K39" i="2"/>
  <c r="R39" i="2" s="1"/>
  <c r="K40" i="2"/>
  <c r="R40" i="2" s="1"/>
  <c r="K41" i="2"/>
  <c r="R41" i="2" s="1"/>
  <c r="K42" i="2"/>
  <c r="R42" i="2" s="1"/>
  <c r="K43" i="2"/>
  <c r="R43" i="2" s="1"/>
  <c r="K44" i="2"/>
  <c r="R44" i="2" s="1"/>
  <c r="K45" i="2"/>
  <c r="R45" i="2" s="1"/>
  <c r="K46" i="2"/>
  <c r="R46" i="2" s="1"/>
  <c r="K47" i="2"/>
  <c r="R47" i="2" s="1"/>
  <c r="K48" i="2"/>
  <c r="R48" i="2" s="1"/>
  <c r="K49" i="2"/>
  <c r="R49" i="2" s="1"/>
  <c r="K50" i="2"/>
  <c r="R50" i="2" s="1"/>
  <c r="K51" i="2"/>
  <c r="R51" i="2" s="1"/>
  <c r="K52" i="2"/>
  <c r="R52" i="2" s="1"/>
  <c r="K53" i="2"/>
  <c r="R53" i="2" s="1"/>
  <c r="K54" i="2"/>
  <c r="R54" i="2" s="1"/>
  <c r="K55" i="2"/>
  <c r="R55" i="2" s="1"/>
  <c r="K56" i="2"/>
  <c r="R56" i="2" s="1"/>
  <c r="K57" i="2"/>
  <c r="R57" i="2" s="1"/>
  <c r="K58" i="2"/>
  <c r="R58" i="2" s="1"/>
  <c r="K59" i="2"/>
  <c r="R59" i="2" s="1"/>
  <c r="K60" i="2"/>
  <c r="R60" i="2" s="1"/>
  <c r="K61" i="2"/>
  <c r="R61" i="2" s="1"/>
  <c r="K62" i="2"/>
  <c r="R62" i="2" s="1"/>
  <c r="K63" i="2"/>
  <c r="R63" i="2" s="1"/>
  <c r="K64" i="2"/>
  <c r="R64" i="2" s="1"/>
  <c r="K65" i="2"/>
  <c r="R65" i="2" s="1"/>
  <c r="K66" i="2"/>
  <c r="R66" i="2" s="1"/>
  <c r="K67" i="2"/>
  <c r="R67" i="2" s="1"/>
  <c r="K68" i="2"/>
  <c r="R68" i="2" s="1"/>
  <c r="K69" i="2"/>
  <c r="R69" i="2" s="1"/>
  <c r="K70" i="2"/>
  <c r="R70" i="2" s="1"/>
  <c r="K71" i="2"/>
  <c r="R71" i="2" s="1"/>
  <c r="K72" i="2"/>
  <c r="R72" i="2" s="1"/>
  <c r="K73" i="2"/>
  <c r="R73" i="2" s="1"/>
  <c r="K74" i="2"/>
  <c r="R74" i="2" s="1"/>
  <c r="K75" i="2"/>
  <c r="R75" i="2" s="1"/>
  <c r="K76" i="2"/>
  <c r="R76" i="2" s="1"/>
  <c r="K77" i="2"/>
  <c r="R77" i="2" s="1"/>
  <c r="K78" i="2"/>
  <c r="R78" i="2" s="1"/>
  <c r="K79" i="2"/>
  <c r="R79" i="2" s="1"/>
  <c r="K80" i="2"/>
  <c r="R80" i="2" s="1"/>
  <c r="K81" i="2"/>
  <c r="R81" i="2" s="1"/>
  <c r="K82" i="2"/>
  <c r="R82" i="2" s="1"/>
  <c r="K83" i="2"/>
  <c r="R83" i="2" s="1"/>
  <c r="K84" i="2"/>
  <c r="R84" i="2" s="1"/>
  <c r="K85" i="2"/>
  <c r="R85" i="2" s="1"/>
  <c r="K86" i="2"/>
  <c r="R86" i="2" s="1"/>
  <c r="K87" i="2"/>
  <c r="R87" i="2" s="1"/>
  <c r="K88" i="2"/>
  <c r="R88" i="2" s="1"/>
  <c r="K89" i="2"/>
  <c r="R89" i="2" s="1"/>
  <c r="K90" i="2"/>
  <c r="R90" i="2" s="1"/>
  <c r="K91" i="2"/>
  <c r="R91" i="2" s="1"/>
  <c r="K92" i="2"/>
  <c r="R92" i="2" s="1"/>
  <c r="K93" i="2"/>
  <c r="R93" i="2" s="1"/>
  <c r="K94" i="2"/>
  <c r="R94" i="2" s="1"/>
  <c r="K95" i="2"/>
  <c r="R95" i="2" s="1"/>
  <c r="K96" i="2"/>
  <c r="R96" i="2" s="1"/>
  <c r="K97" i="2"/>
  <c r="R97" i="2" s="1"/>
  <c r="K98" i="2"/>
  <c r="R98" i="2" s="1"/>
  <c r="K99" i="2"/>
  <c r="R99" i="2" s="1"/>
  <c r="K100" i="2"/>
  <c r="R100" i="2" s="1"/>
  <c r="K101" i="2"/>
  <c r="R101" i="2" s="1"/>
  <c r="K102" i="2"/>
  <c r="R102" i="2" s="1"/>
  <c r="K103" i="2"/>
  <c r="R103" i="2" s="1"/>
  <c r="K104" i="2"/>
  <c r="R104" i="2" s="1"/>
  <c r="K105" i="2"/>
  <c r="R105" i="2" s="1"/>
  <c r="K106" i="2"/>
  <c r="R106" i="2" s="1"/>
  <c r="K107" i="2"/>
  <c r="R107" i="2" s="1"/>
  <c r="K108" i="2"/>
  <c r="R108" i="2" s="1"/>
  <c r="K109" i="2"/>
  <c r="R109" i="2" s="1"/>
  <c r="K110" i="2"/>
  <c r="R110" i="2" s="1"/>
  <c r="K111" i="2"/>
  <c r="R111" i="2" s="1"/>
  <c r="K112" i="2"/>
  <c r="R112" i="2" s="1"/>
  <c r="K113" i="2"/>
  <c r="R113" i="2" s="1"/>
  <c r="K114" i="2"/>
  <c r="R114" i="2" s="1"/>
  <c r="K115" i="2"/>
  <c r="R115" i="2" s="1"/>
  <c r="K116" i="2"/>
  <c r="R116" i="2" s="1"/>
  <c r="K117" i="2"/>
  <c r="R117" i="2" s="1"/>
  <c r="K118" i="2"/>
  <c r="R118" i="2" s="1"/>
  <c r="K119" i="2"/>
  <c r="R119" i="2" s="1"/>
  <c r="K120" i="2"/>
  <c r="R120" i="2" s="1"/>
  <c r="K121" i="2"/>
  <c r="R121" i="2" s="1"/>
  <c r="K122" i="2"/>
  <c r="R122" i="2" s="1"/>
  <c r="K123" i="2"/>
  <c r="R123" i="2" s="1"/>
  <c r="K124" i="2"/>
  <c r="R124" i="2" s="1"/>
  <c r="K125" i="2"/>
  <c r="R125" i="2" s="1"/>
  <c r="K126" i="2"/>
  <c r="R126" i="2" s="1"/>
  <c r="K127" i="2"/>
  <c r="R127" i="2" s="1"/>
  <c r="K128" i="2"/>
  <c r="R128" i="2" s="1"/>
  <c r="K129" i="2"/>
  <c r="R129" i="2" s="1"/>
  <c r="K130" i="2"/>
  <c r="R130" i="2" s="1"/>
  <c r="K131" i="2"/>
  <c r="R131" i="2" s="1"/>
  <c r="K132" i="2"/>
  <c r="R132" i="2" s="1"/>
  <c r="K133" i="2"/>
  <c r="R133" i="2" s="1"/>
  <c r="K134" i="2"/>
  <c r="R134" i="2" s="1"/>
  <c r="K135" i="2"/>
  <c r="R135" i="2" s="1"/>
  <c r="K136" i="2"/>
  <c r="R136" i="2" s="1"/>
  <c r="K137" i="2"/>
  <c r="R137" i="2" s="1"/>
  <c r="K138" i="2"/>
  <c r="R138" i="2" s="1"/>
  <c r="K139" i="2"/>
  <c r="R139" i="2" s="1"/>
  <c r="K140" i="2"/>
  <c r="R140" i="2" s="1"/>
  <c r="K141" i="2"/>
  <c r="R141" i="2" s="1"/>
  <c r="K142" i="2"/>
  <c r="R142" i="2" s="1"/>
  <c r="K143" i="2"/>
  <c r="R143" i="2" s="1"/>
  <c r="K144" i="2"/>
  <c r="R144" i="2" s="1"/>
  <c r="K145" i="2"/>
  <c r="R145" i="2" s="1"/>
  <c r="K146" i="2"/>
  <c r="R146" i="2" s="1"/>
  <c r="K147" i="2"/>
  <c r="R147" i="2" s="1"/>
  <c r="K148" i="2"/>
  <c r="R148" i="2" s="1"/>
  <c r="K149" i="2"/>
  <c r="R149" i="2" s="1"/>
  <c r="K150" i="2"/>
  <c r="R150" i="2" s="1"/>
  <c r="K151" i="2"/>
  <c r="R151" i="2" s="1"/>
  <c r="K152" i="2"/>
  <c r="R152" i="2" s="1"/>
  <c r="K153" i="2"/>
  <c r="R153" i="2" s="1"/>
  <c r="K154" i="2"/>
  <c r="R154" i="2" s="1"/>
  <c r="K155" i="2"/>
  <c r="R155" i="2" s="1"/>
  <c r="K156" i="2"/>
  <c r="R156" i="2" s="1"/>
  <c r="K157" i="2"/>
  <c r="R157" i="2" s="1"/>
  <c r="K158" i="2"/>
  <c r="R158" i="2" s="1"/>
  <c r="K159" i="2"/>
  <c r="R159" i="2" s="1"/>
  <c r="K160" i="2"/>
  <c r="R160" i="2" s="1"/>
  <c r="K161" i="2"/>
  <c r="R161" i="2" s="1"/>
  <c r="K162" i="2"/>
  <c r="R162" i="2" s="1"/>
  <c r="K163" i="2"/>
  <c r="K164" i="2"/>
  <c r="R164" i="2" s="1"/>
  <c r="K165" i="2"/>
  <c r="R165" i="2" s="1"/>
  <c r="K166" i="2"/>
  <c r="R166" i="2" s="1"/>
  <c r="K167" i="2"/>
  <c r="R167" i="2" s="1"/>
  <c r="K168" i="2"/>
  <c r="R168" i="2" s="1"/>
  <c r="K169" i="2"/>
  <c r="R169" i="2" s="1"/>
  <c r="K170" i="2"/>
  <c r="R170" i="2" s="1"/>
  <c r="K171" i="2"/>
  <c r="R171" i="2" s="1"/>
  <c r="K172" i="2"/>
  <c r="R172" i="2" s="1"/>
  <c r="K173" i="2"/>
  <c r="R173" i="2" s="1"/>
  <c r="K174" i="2"/>
  <c r="R174" i="2" s="1"/>
  <c r="K175" i="2"/>
  <c r="R175" i="2" s="1"/>
  <c r="K176" i="2"/>
  <c r="R176" i="2" s="1"/>
  <c r="K177" i="2"/>
  <c r="R177" i="2" s="1"/>
  <c r="K178" i="2"/>
  <c r="R178" i="2" s="1"/>
  <c r="K179" i="2"/>
  <c r="R179" i="2" s="1"/>
  <c r="K180" i="2"/>
  <c r="R180" i="2" s="1"/>
  <c r="K181" i="2"/>
  <c r="R181" i="2" s="1"/>
  <c r="K182" i="2"/>
  <c r="R182" i="2" s="1"/>
  <c r="K183" i="2"/>
  <c r="R183" i="2" s="1"/>
  <c r="K184" i="2"/>
  <c r="R184" i="2" s="1"/>
  <c r="K185" i="2"/>
  <c r="R185" i="2" s="1"/>
  <c r="K186" i="2"/>
  <c r="R186" i="2" s="1"/>
  <c r="K187" i="2"/>
  <c r="R187" i="2" s="1"/>
  <c r="K188" i="2"/>
  <c r="R188" i="2" s="1"/>
  <c r="K189" i="2"/>
  <c r="R189" i="2" s="1"/>
  <c r="K190" i="2"/>
  <c r="R190" i="2" s="1"/>
  <c r="K191" i="2"/>
  <c r="R191" i="2" s="1"/>
  <c r="K192" i="2"/>
  <c r="R192" i="2" s="1"/>
  <c r="K193" i="2"/>
  <c r="R193" i="2" s="1"/>
  <c r="K194" i="2"/>
  <c r="R194" i="2" s="1"/>
  <c r="K195" i="2"/>
  <c r="R195" i="2" s="1"/>
  <c r="K196" i="2"/>
  <c r="R196" i="2" s="1"/>
  <c r="K197" i="2"/>
  <c r="R197" i="2" s="1"/>
  <c r="K198" i="2"/>
  <c r="R198" i="2" s="1"/>
  <c r="K199" i="2"/>
  <c r="R199" i="2" s="1"/>
  <c r="K200" i="2"/>
  <c r="R200" i="2" s="1"/>
  <c r="K201" i="2"/>
  <c r="R201" i="2" s="1"/>
  <c r="K202" i="2"/>
  <c r="R202" i="2" s="1"/>
  <c r="K203" i="2"/>
  <c r="R203" i="2" s="1"/>
  <c r="K204" i="2"/>
  <c r="R204" i="2" s="1"/>
  <c r="K205" i="2"/>
  <c r="R205" i="2" s="1"/>
  <c r="K206" i="2"/>
  <c r="R206" i="2" s="1"/>
  <c r="K207" i="2"/>
  <c r="R207" i="2" s="1"/>
  <c r="K208" i="2"/>
  <c r="R208" i="2" s="1"/>
  <c r="K209" i="2"/>
  <c r="R209" i="2" s="1"/>
  <c r="K210" i="2"/>
  <c r="R210" i="2" s="1"/>
  <c r="K211" i="2"/>
  <c r="R211" i="2" s="1"/>
  <c r="K212" i="2"/>
  <c r="R212" i="2" s="1"/>
  <c r="K213" i="2"/>
  <c r="R213" i="2" s="1"/>
  <c r="K214" i="2"/>
  <c r="R214" i="2" s="1"/>
  <c r="K215" i="2"/>
  <c r="R215" i="2" s="1"/>
  <c r="K216" i="2"/>
  <c r="R216" i="2" s="1"/>
  <c r="K217" i="2"/>
  <c r="R217" i="2" s="1"/>
  <c r="K218" i="2"/>
  <c r="R218" i="2" s="1"/>
  <c r="K219" i="2"/>
  <c r="R219" i="2" s="1"/>
  <c r="K220" i="2"/>
  <c r="R220" i="2" s="1"/>
  <c r="K221" i="2"/>
  <c r="R221" i="2" s="1"/>
  <c r="K222" i="2"/>
  <c r="R222" i="2" s="1"/>
  <c r="K223" i="2"/>
  <c r="R223" i="2" s="1"/>
  <c r="K224" i="2"/>
  <c r="R224" i="2" s="1"/>
  <c r="K225" i="2"/>
  <c r="R225" i="2" s="1"/>
  <c r="K226" i="2"/>
  <c r="R226" i="2" s="1"/>
  <c r="K227" i="2"/>
  <c r="R227" i="2" s="1"/>
  <c r="K228" i="2"/>
  <c r="R228" i="2" s="1"/>
  <c r="K229" i="2"/>
  <c r="R229" i="2" s="1"/>
  <c r="K230" i="2"/>
  <c r="R230" i="2" s="1"/>
  <c r="K231" i="2"/>
  <c r="R231" i="2" s="1"/>
  <c r="K232" i="2"/>
  <c r="R232" i="2" s="1"/>
  <c r="K233" i="2"/>
  <c r="R233" i="2" s="1"/>
  <c r="K234" i="2"/>
  <c r="R234" i="2" s="1"/>
  <c r="K235" i="2"/>
  <c r="R235" i="2" s="1"/>
  <c r="K236" i="2"/>
  <c r="R236" i="2" s="1"/>
  <c r="K237" i="2"/>
  <c r="R237" i="2" s="1"/>
  <c r="K238" i="2"/>
  <c r="R238" i="2" s="1"/>
  <c r="K239" i="2"/>
  <c r="R239" i="2" s="1"/>
  <c r="K240" i="2"/>
  <c r="R240" i="2" s="1"/>
  <c r="K241" i="2"/>
  <c r="R241" i="2" s="1"/>
  <c r="K242" i="2"/>
  <c r="R242" i="2" s="1"/>
  <c r="K243" i="2"/>
  <c r="R243" i="2" s="1"/>
  <c r="K244" i="2"/>
  <c r="R244" i="2" s="1"/>
  <c r="K245" i="2"/>
  <c r="R245" i="2" s="1"/>
  <c r="K246" i="2"/>
  <c r="R246" i="2" s="1"/>
  <c r="K247" i="2"/>
  <c r="R247" i="2" s="1"/>
  <c r="K248" i="2"/>
  <c r="R248" i="2" s="1"/>
  <c r="K249" i="2"/>
  <c r="R249" i="2" s="1"/>
  <c r="K250" i="2"/>
  <c r="R250" i="2" s="1"/>
  <c r="K251" i="2"/>
  <c r="R251" i="2" s="1"/>
  <c r="K252" i="2"/>
  <c r="R252" i="2" s="1"/>
  <c r="K253" i="2"/>
  <c r="R253" i="2" s="1"/>
  <c r="K254" i="2"/>
  <c r="R254" i="2" s="1"/>
  <c r="K255" i="2"/>
  <c r="R255" i="2" s="1"/>
  <c r="K256" i="2"/>
  <c r="R256" i="2" s="1"/>
  <c r="K257" i="2"/>
  <c r="R257" i="2" s="1"/>
  <c r="K258" i="2"/>
  <c r="R258" i="2" s="1"/>
  <c r="K259" i="2"/>
  <c r="R259" i="2" s="1"/>
  <c r="K260" i="2"/>
  <c r="R260" i="2" s="1"/>
  <c r="K261" i="2"/>
  <c r="R261" i="2" s="1"/>
  <c r="K262" i="2"/>
  <c r="R262" i="2" s="1"/>
  <c r="K263" i="2"/>
  <c r="R263" i="2" s="1"/>
  <c r="K264" i="2"/>
  <c r="R264" i="2" s="1"/>
  <c r="K265" i="2"/>
  <c r="R265" i="2" s="1"/>
  <c r="K266" i="2"/>
  <c r="R266" i="2" s="1"/>
  <c r="K267" i="2"/>
  <c r="R267" i="2" s="1"/>
  <c r="K268" i="2"/>
  <c r="R268" i="2" s="1"/>
  <c r="K269" i="2"/>
  <c r="R269" i="2" s="1"/>
  <c r="K270" i="2"/>
  <c r="R270" i="2" s="1"/>
  <c r="K271" i="2"/>
  <c r="R271" i="2" s="1"/>
  <c r="K272" i="2"/>
  <c r="R272" i="2" s="1"/>
  <c r="K273" i="2"/>
  <c r="R273" i="2" s="1"/>
  <c r="K274" i="2"/>
  <c r="R274" i="2" s="1"/>
  <c r="K275" i="2"/>
  <c r="R275" i="2" s="1"/>
  <c r="K276" i="2"/>
  <c r="R276" i="2" s="1"/>
  <c r="K277" i="2"/>
  <c r="R277" i="2" s="1"/>
  <c r="K278" i="2"/>
  <c r="R278" i="2" s="1"/>
  <c r="K279" i="2"/>
  <c r="R279" i="2" s="1"/>
  <c r="K280" i="2"/>
  <c r="R280" i="2" s="1"/>
  <c r="K281" i="2"/>
  <c r="R281" i="2" s="1"/>
  <c r="K282" i="2"/>
  <c r="R282" i="2" s="1"/>
  <c r="K283" i="2"/>
  <c r="R283" i="2" s="1"/>
  <c r="K284" i="2"/>
  <c r="R284" i="2" s="1"/>
  <c r="K285" i="2"/>
  <c r="R285" i="2" s="1"/>
  <c r="K286" i="2"/>
  <c r="R286" i="2" s="1"/>
  <c r="K287" i="2"/>
  <c r="R287" i="2" s="1"/>
  <c r="K288" i="2"/>
  <c r="R288" i="2" s="1"/>
  <c r="K289" i="2"/>
  <c r="R289" i="2" s="1"/>
  <c r="K290" i="2"/>
  <c r="R290" i="2" s="1"/>
  <c r="K291" i="2"/>
  <c r="R291" i="2" s="1"/>
  <c r="K292" i="2"/>
  <c r="R292" i="2" s="1"/>
  <c r="K293" i="2"/>
  <c r="R293" i="2" s="1"/>
  <c r="K294" i="2"/>
  <c r="R294" i="2" s="1"/>
  <c r="K295" i="2"/>
  <c r="R295" i="2" s="1"/>
  <c r="K296" i="2"/>
  <c r="R296" i="2" s="1"/>
  <c r="K297" i="2"/>
  <c r="R297" i="2" s="1"/>
  <c r="K298" i="2"/>
  <c r="R298" i="2" s="1"/>
  <c r="K299" i="2"/>
  <c r="R299" i="2" s="1"/>
  <c r="K300" i="2"/>
  <c r="R300" i="2" s="1"/>
  <c r="K301" i="2"/>
  <c r="R301" i="2" s="1"/>
  <c r="K302" i="2"/>
  <c r="R302" i="2" s="1"/>
  <c r="K303" i="2"/>
  <c r="R303" i="2" s="1"/>
  <c r="K304" i="2"/>
  <c r="R304" i="2" s="1"/>
  <c r="K305" i="2"/>
  <c r="R305" i="2" s="1"/>
  <c r="K306" i="2"/>
  <c r="R306" i="2" s="1"/>
  <c r="K307" i="2"/>
  <c r="R307" i="2" s="1"/>
  <c r="K308" i="2"/>
  <c r="R308" i="2" s="1"/>
  <c r="K309" i="2"/>
  <c r="R309" i="2" s="1"/>
  <c r="K310" i="2"/>
  <c r="R310" i="2" s="1"/>
  <c r="K311" i="2"/>
  <c r="R311" i="2" s="1"/>
  <c r="K312" i="2"/>
  <c r="R312" i="2" s="1"/>
  <c r="K313" i="2"/>
  <c r="R313" i="2" s="1"/>
  <c r="K314" i="2"/>
  <c r="R314" i="2" s="1"/>
  <c r="K315" i="2"/>
  <c r="R315" i="2" s="1"/>
  <c r="K316" i="2"/>
  <c r="R316" i="2" s="1"/>
  <c r="K317" i="2"/>
  <c r="R317" i="2" s="1"/>
  <c r="K318" i="2"/>
  <c r="R318" i="2" s="1"/>
  <c r="K319" i="2"/>
  <c r="R319" i="2" s="1"/>
  <c r="K320" i="2"/>
  <c r="R320" i="2" s="1"/>
  <c r="K321" i="2"/>
  <c r="R321" i="2" s="1"/>
  <c r="K322" i="2"/>
  <c r="R322" i="2" s="1"/>
  <c r="K323" i="2"/>
  <c r="R323" i="2" s="1"/>
  <c r="K324" i="2"/>
  <c r="R324" i="2" s="1"/>
  <c r="K325" i="2"/>
  <c r="R325" i="2" s="1"/>
  <c r="K326" i="2"/>
  <c r="R326" i="2" s="1"/>
  <c r="K327" i="2"/>
  <c r="R327" i="2" s="1"/>
  <c r="K328" i="2"/>
  <c r="R328" i="2" s="1"/>
  <c r="K329" i="2"/>
  <c r="R329" i="2" s="1"/>
  <c r="K330" i="2"/>
  <c r="R330" i="2" s="1"/>
  <c r="K331" i="2"/>
  <c r="R331" i="2" s="1"/>
  <c r="K332" i="2"/>
  <c r="R332" i="2" s="1"/>
  <c r="K333" i="2"/>
  <c r="R333" i="2" s="1"/>
  <c r="K334" i="2"/>
  <c r="R334" i="2" s="1"/>
  <c r="K335" i="2"/>
  <c r="R335" i="2" s="1"/>
  <c r="K336" i="2"/>
  <c r="R336" i="2" s="1"/>
  <c r="K337" i="2"/>
  <c r="R337" i="2" s="1"/>
  <c r="K338" i="2"/>
  <c r="R338" i="2" s="1"/>
  <c r="K339" i="2"/>
  <c r="R339" i="2" s="1"/>
  <c r="K340" i="2"/>
  <c r="R340" i="2" s="1"/>
  <c r="K341" i="2"/>
  <c r="R341" i="2" s="1"/>
  <c r="K342" i="2"/>
  <c r="R342" i="2" s="1"/>
  <c r="K343" i="2"/>
  <c r="R343" i="2" s="1"/>
  <c r="K344" i="2"/>
  <c r="R344" i="2" s="1"/>
  <c r="K345" i="2"/>
  <c r="R345" i="2" s="1"/>
  <c r="K346" i="2"/>
  <c r="R346" i="2" s="1"/>
  <c r="K347" i="2"/>
  <c r="R347" i="2" s="1"/>
  <c r="K348" i="2"/>
  <c r="R348" i="2" s="1"/>
  <c r="K349" i="2"/>
  <c r="R349" i="2" s="1"/>
  <c r="K350" i="2"/>
  <c r="R350" i="2" s="1"/>
  <c r="K351" i="2"/>
  <c r="R351" i="2" s="1"/>
  <c r="K352" i="2"/>
  <c r="R352" i="2" s="1"/>
  <c r="K353" i="2"/>
  <c r="R353" i="2" s="1"/>
  <c r="K354" i="2"/>
  <c r="R354" i="2" s="1"/>
  <c r="K355" i="2"/>
  <c r="R355" i="2" s="1"/>
  <c r="K356" i="2"/>
  <c r="R356" i="2" s="1"/>
  <c r="K357" i="2"/>
  <c r="R357" i="2" s="1"/>
  <c r="K358" i="2"/>
  <c r="R358" i="2" s="1"/>
  <c r="K359" i="2"/>
  <c r="R359" i="2" s="1"/>
  <c r="K360" i="2"/>
  <c r="R360" i="2" s="1"/>
  <c r="K361" i="2"/>
  <c r="R361" i="2" s="1"/>
  <c r="K362" i="2"/>
  <c r="R362" i="2" s="1"/>
  <c r="K363" i="2"/>
  <c r="R363" i="2" s="1"/>
  <c r="K364" i="2"/>
  <c r="R364" i="2" s="1"/>
  <c r="K365" i="2"/>
  <c r="R365" i="2" s="1"/>
  <c r="K366" i="2"/>
  <c r="R366" i="2" s="1"/>
  <c r="K367" i="2"/>
  <c r="R367" i="2" s="1"/>
  <c r="K368" i="2"/>
  <c r="R368" i="2" s="1"/>
  <c r="K369" i="2"/>
  <c r="R369" i="2" s="1"/>
  <c r="K370" i="2"/>
  <c r="R370" i="2" s="1"/>
  <c r="K371" i="2"/>
  <c r="R371" i="2" s="1"/>
  <c r="K372" i="2"/>
  <c r="R372" i="2" s="1"/>
  <c r="K373" i="2"/>
  <c r="R373" i="2" s="1"/>
  <c r="K374" i="2"/>
  <c r="R374" i="2" s="1"/>
  <c r="K375" i="2"/>
  <c r="R375" i="2" s="1"/>
  <c r="K376" i="2"/>
  <c r="R376" i="2" s="1"/>
  <c r="K377" i="2"/>
  <c r="R377" i="2" s="1"/>
  <c r="K378" i="2"/>
  <c r="R378" i="2" s="1"/>
  <c r="K379" i="2"/>
  <c r="R379" i="2" s="1"/>
  <c r="K380" i="2"/>
  <c r="R380" i="2" s="1"/>
  <c r="K381" i="2"/>
  <c r="R381" i="2" s="1"/>
  <c r="K382" i="2"/>
  <c r="R382" i="2" s="1"/>
  <c r="K383" i="2"/>
  <c r="R383" i="2" s="1"/>
  <c r="K384" i="2"/>
  <c r="R384" i="2" s="1"/>
  <c r="K385" i="2"/>
  <c r="R385" i="2" s="1"/>
  <c r="K386" i="2"/>
  <c r="R386" i="2" s="1"/>
  <c r="K387" i="2"/>
  <c r="R387" i="2" s="1"/>
  <c r="K388" i="2"/>
  <c r="R388" i="2" s="1"/>
  <c r="K389" i="2"/>
  <c r="R389" i="2" s="1"/>
  <c r="K390" i="2"/>
  <c r="R390" i="2" s="1"/>
  <c r="K391" i="2"/>
  <c r="R391" i="2" s="1"/>
  <c r="K392" i="2"/>
  <c r="R392" i="2" s="1"/>
  <c r="K393" i="2"/>
  <c r="R393" i="2" s="1"/>
  <c r="K394" i="2"/>
  <c r="R394" i="2" s="1"/>
  <c r="K395" i="2"/>
  <c r="R395" i="2" s="1"/>
  <c r="K396" i="2"/>
  <c r="R396" i="2" s="1"/>
  <c r="K397" i="2"/>
  <c r="R397" i="2" s="1"/>
  <c r="K398" i="2"/>
  <c r="R398" i="2" s="1"/>
  <c r="K399" i="2"/>
  <c r="R399" i="2" s="1"/>
  <c r="K400" i="2"/>
  <c r="R400" i="2" s="1"/>
  <c r="K401" i="2"/>
  <c r="R401" i="2" s="1"/>
  <c r="K402" i="2"/>
  <c r="R402" i="2" s="1"/>
  <c r="K403" i="2"/>
  <c r="R403" i="2" s="1"/>
  <c r="K404" i="2"/>
  <c r="R404" i="2" s="1"/>
  <c r="K405" i="2"/>
  <c r="R405" i="2" s="1"/>
  <c r="K406" i="2"/>
  <c r="R406" i="2" s="1"/>
  <c r="K407" i="2"/>
  <c r="R407" i="2" s="1"/>
  <c r="K408" i="2"/>
  <c r="R408" i="2" s="1"/>
  <c r="K409" i="2"/>
  <c r="R409" i="2" s="1"/>
  <c r="K410" i="2"/>
  <c r="R410" i="2" s="1"/>
  <c r="K411" i="2"/>
  <c r="R411" i="2" s="1"/>
  <c r="K412" i="2"/>
  <c r="R412" i="2" s="1"/>
  <c r="K413" i="2"/>
  <c r="R413" i="2" s="1"/>
  <c r="K414" i="2"/>
  <c r="R414" i="2" s="1"/>
  <c r="K415" i="2"/>
  <c r="R415" i="2" s="1"/>
  <c r="K416" i="2"/>
  <c r="R416" i="2" s="1"/>
  <c r="K417" i="2"/>
  <c r="R417" i="2" s="1"/>
  <c r="K418" i="2"/>
  <c r="R418" i="2" s="1"/>
  <c r="K419" i="2"/>
  <c r="R419" i="2" s="1"/>
  <c r="K420" i="2"/>
  <c r="R420" i="2" s="1"/>
  <c r="K421" i="2"/>
  <c r="R421" i="2" s="1"/>
  <c r="K422" i="2"/>
  <c r="R422" i="2" s="1"/>
  <c r="K423" i="2"/>
  <c r="R423" i="2" s="1"/>
  <c r="K424" i="2"/>
  <c r="R424" i="2" s="1"/>
  <c r="K425" i="2"/>
  <c r="R425" i="2" s="1"/>
  <c r="K426" i="2"/>
  <c r="R426" i="2" s="1"/>
  <c r="K427" i="2"/>
  <c r="R427" i="2" s="1"/>
  <c r="K428" i="2"/>
  <c r="R428" i="2" s="1"/>
  <c r="K429" i="2"/>
  <c r="R429" i="2" s="1"/>
  <c r="K430" i="2"/>
  <c r="R430" i="2" s="1"/>
  <c r="K431" i="2"/>
  <c r="R431" i="2" s="1"/>
  <c r="K432" i="2"/>
  <c r="R432" i="2" s="1"/>
  <c r="K433" i="2"/>
  <c r="R433" i="2" s="1"/>
  <c r="K434" i="2"/>
  <c r="R434" i="2" s="1"/>
  <c r="K435" i="2"/>
  <c r="R435" i="2" s="1"/>
  <c r="K436" i="2"/>
  <c r="R436" i="2" s="1"/>
  <c r="K437" i="2"/>
  <c r="R437" i="2" s="1"/>
  <c r="K438" i="2"/>
  <c r="R438" i="2" s="1"/>
  <c r="K439" i="2"/>
  <c r="R439" i="2" s="1"/>
  <c r="K440" i="2"/>
  <c r="R440" i="2" s="1"/>
  <c r="K441" i="2"/>
  <c r="R441" i="2" s="1"/>
  <c r="K442" i="2"/>
  <c r="R442" i="2" s="1"/>
  <c r="K443" i="2"/>
  <c r="R443" i="2" s="1"/>
  <c r="K444" i="2"/>
  <c r="R444" i="2" s="1"/>
  <c r="K445" i="2"/>
  <c r="R445" i="2" s="1"/>
  <c r="K446" i="2"/>
  <c r="R446" i="2" s="1"/>
  <c r="K447" i="2"/>
  <c r="R447" i="2" s="1"/>
  <c r="K448" i="2"/>
  <c r="R448" i="2" s="1"/>
  <c r="K449" i="2"/>
  <c r="R449" i="2" s="1"/>
  <c r="K450" i="2"/>
  <c r="R450" i="2" s="1"/>
  <c r="K451" i="2"/>
  <c r="R451" i="2" s="1"/>
  <c r="K452" i="2"/>
  <c r="R452" i="2" s="1"/>
  <c r="K453" i="2"/>
  <c r="R453" i="2" s="1"/>
  <c r="K454" i="2"/>
  <c r="R454" i="2" s="1"/>
  <c r="K455" i="2"/>
  <c r="R455" i="2" s="1"/>
  <c r="K456" i="2"/>
  <c r="R456" i="2" s="1"/>
  <c r="K457" i="2"/>
  <c r="R457" i="2" s="1"/>
  <c r="K458" i="2"/>
  <c r="R458" i="2" s="1"/>
  <c r="K459" i="2"/>
  <c r="R459" i="2" s="1"/>
  <c r="K460" i="2"/>
  <c r="R460" i="2" s="1"/>
  <c r="K461" i="2"/>
  <c r="R461" i="2" s="1"/>
  <c r="K462" i="2"/>
  <c r="R462" i="2" s="1"/>
  <c r="K463" i="2"/>
  <c r="R463" i="2" s="1"/>
  <c r="K464" i="2"/>
  <c r="R464" i="2" s="1"/>
  <c r="K465" i="2"/>
  <c r="R465" i="2" s="1"/>
  <c r="K466" i="2"/>
  <c r="R466" i="2" s="1"/>
  <c r="K467" i="2"/>
  <c r="R467" i="2" s="1"/>
  <c r="K468" i="2"/>
  <c r="R468" i="2" s="1"/>
  <c r="K469" i="2"/>
  <c r="R469" i="2" s="1"/>
  <c r="K470" i="2"/>
  <c r="R470" i="2" s="1"/>
  <c r="K471" i="2"/>
  <c r="R471" i="2" s="1"/>
  <c r="K472" i="2"/>
  <c r="R472" i="2" s="1"/>
  <c r="K473" i="2"/>
  <c r="R473" i="2" s="1"/>
  <c r="K474" i="2"/>
  <c r="R474" i="2" s="1"/>
  <c r="K475" i="2"/>
  <c r="R475" i="2" s="1"/>
  <c r="K476" i="2"/>
  <c r="R476" i="2" s="1"/>
  <c r="K477" i="2"/>
  <c r="R477" i="2" s="1"/>
  <c r="K478" i="2"/>
  <c r="R478" i="2" s="1"/>
  <c r="K479" i="2"/>
  <c r="R479" i="2" s="1"/>
  <c r="K480" i="2"/>
  <c r="R480" i="2" s="1"/>
  <c r="K481" i="2"/>
  <c r="R481" i="2" s="1"/>
  <c r="K482" i="2"/>
  <c r="R482" i="2" s="1"/>
  <c r="K483" i="2"/>
  <c r="R483" i="2" s="1"/>
  <c r="K484" i="2"/>
  <c r="R484" i="2" s="1"/>
  <c r="K485" i="2"/>
  <c r="R485" i="2" s="1"/>
  <c r="K486" i="2"/>
  <c r="R486" i="2" s="1"/>
  <c r="K487" i="2"/>
  <c r="R487" i="2" s="1"/>
  <c r="K488" i="2"/>
  <c r="R488" i="2" s="1"/>
  <c r="K489" i="2"/>
  <c r="R489" i="2" s="1"/>
  <c r="K490" i="2"/>
  <c r="R490" i="2" s="1"/>
  <c r="K491" i="2"/>
  <c r="R491" i="2" s="1"/>
  <c r="K492" i="2"/>
  <c r="R492" i="2" s="1"/>
  <c r="K493" i="2"/>
  <c r="R493" i="2" s="1"/>
  <c r="K494" i="2"/>
  <c r="R494" i="2" s="1"/>
  <c r="K495" i="2"/>
  <c r="R495" i="2" s="1"/>
  <c r="K496" i="2"/>
  <c r="R496" i="2" s="1"/>
  <c r="K497" i="2"/>
  <c r="R497" i="2" s="1"/>
  <c r="K498" i="2"/>
  <c r="R498" i="2" s="1"/>
  <c r="K499" i="2"/>
  <c r="R499" i="2" s="1"/>
  <c r="K500" i="2"/>
  <c r="R500" i="2" s="1"/>
  <c r="K501" i="2"/>
  <c r="R501" i="2" s="1"/>
  <c r="K502" i="2"/>
  <c r="R502" i="2" s="1"/>
  <c r="K503" i="2"/>
  <c r="R503" i="2" s="1"/>
  <c r="K504" i="2"/>
  <c r="R504" i="2" s="1"/>
  <c r="K505" i="2"/>
  <c r="R505" i="2" s="1"/>
  <c r="K506" i="2"/>
  <c r="R506" i="2" s="1"/>
  <c r="K507" i="2"/>
  <c r="R507" i="2" s="1"/>
  <c r="K508" i="2"/>
  <c r="R508" i="2" s="1"/>
  <c r="K509" i="2"/>
  <c r="R509" i="2" s="1"/>
  <c r="K510" i="2"/>
  <c r="R510" i="2" s="1"/>
  <c r="K511" i="2"/>
  <c r="R511" i="2" s="1"/>
  <c r="K512" i="2"/>
  <c r="R512" i="2" s="1"/>
  <c r="K513" i="2"/>
  <c r="R513" i="2" s="1"/>
  <c r="K514" i="2"/>
  <c r="R514" i="2" s="1"/>
  <c r="K515" i="2"/>
  <c r="R515" i="2" s="1"/>
  <c r="K516" i="2"/>
  <c r="R516" i="2" s="1"/>
  <c r="K517" i="2"/>
  <c r="R517" i="2" s="1"/>
  <c r="K518" i="2"/>
  <c r="R518" i="2" s="1"/>
  <c r="K519" i="2"/>
  <c r="R519" i="2" s="1"/>
  <c r="K520" i="2"/>
  <c r="R520" i="2" s="1"/>
  <c r="K521" i="2"/>
  <c r="R521" i="2" s="1"/>
  <c r="K522" i="2"/>
  <c r="R522" i="2" s="1"/>
  <c r="K523" i="2"/>
  <c r="R523" i="2" s="1"/>
  <c r="K524" i="2"/>
  <c r="R524" i="2" s="1"/>
  <c r="K525" i="2"/>
  <c r="R525" i="2" s="1"/>
  <c r="K526" i="2"/>
  <c r="R526" i="2" s="1"/>
  <c r="K527" i="2"/>
  <c r="R527" i="2" s="1"/>
  <c r="K528" i="2"/>
  <c r="R528" i="2" s="1"/>
  <c r="K529" i="2"/>
  <c r="R529" i="2" s="1"/>
  <c r="K530" i="2"/>
  <c r="R530" i="2" s="1"/>
  <c r="K531" i="2"/>
  <c r="R531" i="2" s="1"/>
  <c r="K532" i="2"/>
  <c r="R532" i="2" s="1"/>
  <c r="K533" i="2"/>
  <c r="R533" i="2" s="1"/>
  <c r="K534" i="2"/>
  <c r="R534" i="2" s="1"/>
  <c r="K535" i="2"/>
  <c r="R535" i="2" s="1"/>
  <c r="K536" i="2"/>
  <c r="R536" i="2" s="1"/>
  <c r="K537" i="2"/>
  <c r="R537" i="2" s="1"/>
  <c r="K538" i="2"/>
  <c r="R538" i="2" s="1"/>
  <c r="K539" i="2"/>
  <c r="R539" i="2" s="1"/>
  <c r="K540" i="2"/>
  <c r="R540" i="2" s="1"/>
  <c r="K541" i="2"/>
  <c r="R541" i="2" s="1"/>
  <c r="K542" i="2"/>
  <c r="R542" i="2" s="1"/>
  <c r="K543" i="2"/>
  <c r="R543" i="2" s="1"/>
  <c r="K544" i="2"/>
  <c r="R544" i="2" s="1"/>
  <c r="K545" i="2"/>
  <c r="R545" i="2" s="1"/>
  <c r="K546" i="2"/>
  <c r="R546" i="2" s="1"/>
  <c r="K547" i="2"/>
  <c r="R547" i="2" s="1"/>
  <c r="K548" i="2"/>
  <c r="R548" i="2" s="1"/>
  <c r="K549" i="2"/>
  <c r="R549" i="2" s="1"/>
  <c r="K550" i="2"/>
  <c r="R550" i="2" s="1"/>
  <c r="K551" i="2"/>
  <c r="R551" i="2" s="1"/>
  <c r="K552" i="2"/>
  <c r="R552" i="2" s="1"/>
  <c r="K553" i="2"/>
  <c r="R553" i="2" s="1"/>
  <c r="K554" i="2"/>
  <c r="R554" i="2" s="1"/>
  <c r="K555" i="2"/>
  <c r="R555" i="2" s="1"/>
  <c r="K556" i="2"/>
  <c r="R556" i="2" s="1"/>
  <c r="K557" i="2"/>
  <c r="R557" i="2" s="1"/>
  <c r="K558" i="2"/>
  <c r="R558" i="2" s="1"/>
  <c r="K559" i="2"/>
  <c r="R559" i="2" s="1"/>
  <c r="K560" i="2"/>
  <c r="R560" i="2" s="1"/>
  <c r="K561" i="2"/>
  <c r="R561" i="2" s="1"/>
  <c r="K562" i="2"/>
  <c r="R562" i="2" s="1"/>
  <c r="K563" i="2"/>
  <c r="R563" i="2" s="1"/>
  <c r="K564" i="2"/>
  <c r="R564" i="2" s="1"/>
  <c r="K565" i="2"/>
  <c r="R565" i="2" s="1"/>
  <c r="K566" i="2"/>
  <c r="R566" i="2" s="1"/>
  <c r="K567" i="2"/>
  <c r="R567" i="2" s="1"/>
  <c r="K568" i="2"/>
  <c r="R568" i="2" s="1"/>
  <c r="K569" i="2"/>
  <c r="R569" i="2" s="1"/>
  <c r="K570" i="2"/>
  <c r="R570" i="2" s="1"/>
  <c r="K571" i="2"/>
  <c r="R571" i="2" s="1"/>
  <c r="K572" i="2"/>
  <c r="R572" i="2" s="1"/>
  <c r="K573" i="2"/>
  <c r="R573" i="2" s="1"/>
  <c r="K574" i="2"/>
  <c r="R574" i="2" s="1"/>
  <c r="K575" i="2"/>
  <c r="R575" i="2" s="1"/>
  <c r="K576" i="2"/>
  <c r="R576" i="2" s="1"/>
  <c r="K577" i="2"/>
  <c r="R577" i="2" s="1"/>
  <c r="K578" i="2"/>
  <c r="R578" i="2" s="1"/>
  <c r="K579" i="2"/>
  <c r="R579" i="2" s="1"/>
  <c r="K580" i="2"/>
  <c r="R580" i="2" s="1"/>
  <c r="K581" i="2"/>
  <c r="R581" i="2" s="1"/>
  <c r="K582" i="2"/>
  <c r="R582" i="2" s="1"/>
  <c r="K583" i="2"/>
  <c r="R583" i="2" s="1"/>
  <c r="K584" i="2"/>
  <c r="R584" i="2" s="1"/>
  <c r="K585" i="2"/>
  <c r="R585" i="2" s="1"/>
  <c r="K586" i="2"/>
  <c r="R586" i="2" s="1"/>
  <c r="K587" i="2"/>
  <c r="R587" i="2" s="1"/>
  <c r="K588" i="2"/>
  <c r="R588" i="2" s="1"/>
  <c r="K589" i="2"/>
  <c r="R589" i="2" s="1"/>
  <c r="K590" i="2"/>
  <c r="R590" i="2" s="1"/>
  <c r="K591" i="2"/>
  <c r="R591" i="2" s="1"/>
  <c r="K592" i="2"/>
  <c r="R592" i="2" s="1"/>
  <c r="K593" i="2"/>
  <c r="R593" i="2" s="1"/>
  <c r="K594" i="2"/>
  <c r="R594" i="2" s="1"/>
  <c r="K595" i="2"/>
  <c r="R595" i="2" s="1"/>
  <c r="K596" i="2"/>
  <c r="R596" i="2" s="1"/>
  <c r="K597" i="2"/>
  <c r="R597" i="2" s="1"/>
  <c r="K598" i="2"/>
  <c r="R598" i="2" s="1"/>
  <c r="K599" i="2"/>
  <c r="R599" i="2" s="1"/>
  <c r="K600" i="2"/>
  <c r="R600" i="2" s="1"/>
  <c r="K601" i="2"/>
  <c r="R601" i="2" s="1"/>
  <c r="K602" i="2"/>
  <c r="R602" i="2" s="1"/>
  <c r="K603" i="2"/>
  <c r="R603" i="2" s="1"/>
  <c r="K604" i="2"/>
  <c r="R604" i="2" s="1"/>
  <c r="K605" i="2"/>
  <c r="R605" i="2" s="1"/>
  <c r="K606" i="2"/>
  <c r="R606" i="2" s="1"/>
  <c r="K607" i="2"/>
  <c r="R607" i="2" s="1"/>
  <c r="K608" i="2"/>
  <c r="R608" i="2" s="1"/>
  <c r="K609" i="2"/>
  <c r="R609" i="2" s="1"/>
  <c r="K610" i="2"/>
  <c r="R610" i="2" s="1"/>
  <c r="K611" i="2"/>
  <c r="R611" i="2" s="1"/>
  <c r="K612" i="2"/>
  <c r="R612" i="2" s="1"/>
  <c r="K613" i="2"/>
  <c r="R613" i="2" s="1"/>
  <c r="K614" i="2"/>
  <c r="R614" i="2" s="1"/>
  <c r="K615" i="2"/>
  <c r="R615" i="2" s="1"/>
  <c r="K616" i="2"/>
  <c r="R616" i="2" s="1"/>
  <c r="K617" i="2"/>
  <c r="R617" i="2" s="1"/>
  <c r="K618" i="2"/>
  <c r="R618" i="2" s="1"/>
  <c r="K619" i="2"/>
  <c r="R619" i="2" s="1"/>
  <c r="K620" i="2"/>
  <c r="R620" i="2" s="1"/>
  <c r="K621" i="2"/>
  <c r="R621" i="2" s="1"/>
  <c r="K622" i="2"/>
  <c r="R622" i="2" s="1"/>
  <c r="K623" i="2"/>
  <c r="R623" i="2" s="1"/>
  <c r="K624" i="2"/>
  <c r="R624" i="2" s="1"/>
  <c r="K625" i="2"/>
  <c r="R625" i="2" s="1"/>
  <c r="K626" i="2"/>
  <c r="R626" i="2" s="1"/>
  <c r="K627" i="2"/>
  <c r="R627" i="2" s="1"/>
  <c r="K628" i="2"/>
  <c r="R628" i="2" s="1"/>
  <c r="K629" i="2"/>
  <c r="R629" i="2" s="1"/>
  <c r="K630" i="2"/>
  <c r="R630" i="2" s="1"/>
  <c r="K631" i="2"/>
  <c r="R631" i="2" s="1"/>
  <c r="K632" i="2"/>
  <c r="R632" i="2" s="1"/>
  <c r="K633" i="2"/>
  <c r="R633" i="2" s="1"/>
  <c r="K634" i="2"/>
  <c r="R634" i="2" s="1"/>
  <c r="K635" i="2"/>
  <c r="R635" i="2" s="1"/>
  <c r="K636" i="2"/>
  <c r="R636" i="2" s="1"/>
  <c r="K637" i="2"/>
  <c r="R637" i="2" s="1"/>
  <c r="K638" i="2"/>
  <c r="R638" i="2" s="1"/>
  <c r="K639" i="2"/>
  <c r="R639" i="2" s="1"/>
  <c r="K640" i="2"/>
  <c r="R640" i="2" s="1"/>
  <c r="K641" i="2"/>
  <c r="R641" i="2" s="1"/>
  <c r="K642" i="2"/>
  <c r="R642" i="2" s="1"/>
  <c r="K643" i="2"/>
  <c r="R643" i="2" s="1"/>
  <c r="K644" i="2"/>
  <c r="R644" i="2" s="1"/>
  <c r="K645" i="2"/>
  <c r="R645" i="2" s="1"/>
  <c r="K646" i="2"/>
  <c r="R646" i="2" s="1"/>
  <c r="K647" i="2"/>
  <c r="R647" i="2" s="1"/>
  <c r="K648" i="2"/>
  <c r="R648" i="2" s="1"/>
  <c r="K649" i="2"/>
  <c r="R649" i="2" s="1"/>
  <c r="K650" i="2"/>
  <c r="R650" i="2" s="1"/>
  <c r="K651" i="2"/>
  <c r="R651" i="2" s="1"/>
  <c r="K652" i="2"/>
  <c r="R652" i="2" s="1"/>
  <c r="K653" i="2"/>
  <c r="R653" i="2" s="1"/>
  <c r="K654" i="2"/>
  <c r="R654" i="2" s="1"/>
  <c r="K655" i="2"/>
  <c r="R655" i="2" s="1"/>
  <c r="K656" i="2"/>
  <c r="R656" i="2" s="1"/>
  <c r="K657" i="2"/>
  <c r="R657" i="2" s="1"/>
  <c r="K658" i="2"/>
  <c r="R658" i="2" s="1"/>
  <c r="K659" i="2"/>
  <c r="R659" i="2" s="1"/>
  <c r="K660" i="2"/>
  <c r="R660" i="2" s="1"/>
  <c r="K661" i="2"/>
  <c r="R661" i="2" s="1"/>
  <c r="K662" i="2"/>
  <c r="R662" i="2" s="1"/>
  <c r="K663" i="2"/>
  <c r="R663" i="2" s="1"/>
  <c r="K664" i="2"/>
  <c r="R664" i="2" s="1"/>
  <c r="K665" i="2"/>
  <c r="R665" i="2" s="1"/>
  <c r="K666" i="2"/>
  <c r="R666" i="2" s="1"/>
  <c r="K667" i="2"/>
  <c r="R667" i="2" s="1"/>
  <c r="K668" i="2"/>
  <c r="R668" i="2" s="1"/>
  <c r="K669" i="2"/>
  <c r="R669" i="2" s="1"/>
  <c r="K670" i="2"/>
  <c r="R670" i="2" s="1"/>
  <c r="K671" i="2"/>
  <c r="R671" i="2" s="1"/>
  <c r="K672" i="2"/>
  <c r="R672" i="2" s="1"/>
  <c r="K673" i="2"/>
  <c r="R673" i="2" s="1"/>
  <c r="K674" i="2"/>
  <c r="R674" i="2" s="1"/>
  <c r="K675" i="2"/>
  <c r="R675" i="2" s="1"/>
  <c r="K676" i="2"/>
  <c r="R676" i="2" s="1"/>
  <c r="K677" i="2"/>
  <c r="R677" i="2" s="1"/>
  <c r="K678" i="2"/>
  <c r="R678" i="2" s="1"/>
  <c r="K679" i="2"/>
  <c r="R679" i="2" s="1"/>
  <c r="K680" i="2"/>
  <c r="R680" i="2" s="1"/>
  <c r="K681" i="2"/>
  <c r="R681" i="2" s="1"/>
  <c r="K682" i="2"/>
  <c r="R682" i="2" s="1"/>
  <c r="K683" i="2"/>
  <c r="R683" i="2" s="1"/>
  <c r="K684" i="2"/>
  <c r="R684" i="2" s="1"/>
  <c r="K685" i="2"/>
  <c r="R685" i="2" s="1"/>
  <c r="K686" i="2"/>
  <c r="R686" i="2" s="1"/>
  <c r="K687" i="2"/>
  <c r="R687" i="2" s="1"/>
  <c r="K688" i="2"/>
  <c r="R688" i="2" s="1"/>
  <c r="K689" i="2"/>
  <c r="R689" i="2" s="1"/>
  <c r="K690" i="2"/>
  <c r="R690" i="2" s="1"/>
  <c r="K691" i="2"/>
  <c r="R691" i="2" s="1"/>
  <c r="K692" i="2"/>
  <c r="R692" i="2" s="1"/>
  <c r="K693" i="2"/>
  <c r="R693" i="2" s="1"/>
  <c r="K694" i="2"/>
  <c r="R694" i="2" s="1"/>
  <c r="K695" i="2"/>
  <c r="R695" i="2" s="1"/>
  <c r="K696" i="2"/>
  <c r="R696" i="2" s="1"/>
  <c r="K697" i="2"/>
  <c r="R697" i="2" s="1"/>
  <c r="K698" i="2"/>
  <c r="R698" i="2" s="1"/>
  <c r="K699" i="2"/>
  <c r="R699" i="2" s="1"/>
  <c r="K700" i="2"/>
  <c r="R700" i="2" s="1"/>
  <c r="K701" i="2"/>
  <c r="R701" i="2" s="1"/>
  <c r="K702" i="2"/>
  <c r="R702" i="2" s="1"/>
  <c r="K703" i="2"/>
  <c r="R703" i="2" s="1"/>
  <c r="K704" i="2"/>
  <c r="R704" i="2" s="1"/>
  <c r="K705" i="2"/>
  <c r="R705" i="2" s="1"/>
  <c r="K706" i="2"/>
  <c r="R706" i="2" s="1"/>
  <c r="K707" i="2"/>
  <c r="R707" i="2" s="1"/>
  <c r="K708" i="2"/>
  <c r="R708" i="2" s="1"/>
  <c r="K709" i="2"/>
  <c r="R709" i="2" s="1"/>
  <c r="K710" i="2"/>
  <c r="R710" i="2" s="1"/>
  <c r="K711" i="2"/>
  <c r="R711" i="2" s="1"/>
  <c r="K712" i="2"/>
  <c r="R712" i="2" s="1"/>
  <c r="K713" i="2"/>
  <c r="R713" i="2" s="1"/>
  <c r="K714" i="2"/>
  <c r="R714" i="2" s="1"/>
  <c r="K715" i="2"/>
  <c r="R715" i="2" s="1"/>
  <c r="K716" i="2"/>
  <c r="R716" i="2" s="1"/>
  <c r="K717" i="2"/>
  <c r="R717" i="2" s="1"/>
  <c r="K718" i="2"/>
  <c r="R718" i="2" s="1"/>
  <c r="K719" i="2"/>
  <c r="R719" i="2" s="1"/>
  <c r="K720" i="2"/>
  <c r="R720" i="2" s="1"/>
  <c r="K721" i="2"/>
  <c r="R721" i="2" s="1"/>
  <c r="K722" i="2"/>
  <c r="R722" i="2" s="1"/>
  <c r="K723" i="2"/>
  <c r="R723" i="2" s="1"/>
  <c r="K724" i="2"/>
  <c r="R724" i="2" s="1"/>
  <c r="K725" i="2"/>
  <c r="R725" i="2" s="1"/>
  <c r="K726" i="2"/>
  <c r="R726" i="2" s="1"/>
  <c r="K727" i="2"/>
  <c r="R727" i="2" s="1"/>
  <c r="K728" i="2"/>
  <c r="R728" i="2" s="1"/>
  <c r="K729" i="2"/>
  <c r="R729" i="2" s="1"/>
  <c r="K730" i="2"/>
  <c r="R730" i="2" s="1"/>
  <c r="K731" i="2"/>
  <c r="R731" i="2" s="1"/>
  <c r="K732" i="2"/>
  <c r="R732" i="2" s="1"/>
  <c r="K733" i="2"/>
  <c r="R733" i="2" s="1"/>
  <c r="K734" i="2"/>
  <c r="R734" i="2" s="1"/>
  <c r="K735" i="2"/>
  <c r="R735" i="2" s="1"/>
  <c r="K736" i="2"/>
  <c r="R736" i="2" s="1"/>
  <c r="K737" i="2"/>
  <c r="R737" i="2" s="1"/>
  <c r="K738" i="2"/>
  <c r="R738" i="2" s="1"/>
  <c r="K739" i="2"/>
  <c r="R739" i="2" s="1"/>
  <c r="K740" i="2"/>
  <c r="R740" i="2" s="1"/>
  <c r="K741" i="2"/>
  <c r="R741" i="2" s="1"/>
  <c r="K742" i="2"/>
  <c r="R742" i="2" s="1"/>
  <c r="K743" i="2"/>
  <c r="R743" i="2" s="1"/>
  <c r="K744" i="2"/>
  <c r="R744" i="2" s="1"/>
  <c r="K745" i="2"/>
  <c r="R745" i="2" s="1"/>
  <c r="K746" i="2"/>
  <c r="R746" i="2" s="1"/>
  <c r="K747" i="2"/>
  <c r="R747" i="2" s="1"/>
  <c r="K748" i="2"/>
  <c r="R748" i="2" s="1"/>
  <c r="K749" i="2"/>
  <c r="R749" i="2" s="1"/>
  <c r="K750" i="2"/>
  <c r="R750" i="2" s="1"/>
  <c r="K751" i="2"/>
  <c r="R751" i="2" s="1"/>
  <c r="K752" i="2"/>
  <c r="R752" i="2" s="1"/>
  <c r="K753" i="2"/>
  <c r="R753" i="2" s="1"/>
  <c r="K754" i="2"/>
  <c r="R754" i="2" s="1"/>
  <c r="K755" i="2"/>
  <c r="R755" i="2" s="1"/>
  <c r="K756" i="2"/>
  <c r="R756" i="2" s="1"/>
  <c r="K757" i="2"/>
  <c r="R757" i="2" s="1"/>
  <c r="K758" i="2"/>
  <c r="R758" i="2" s="1"/>
  <c r="K759" i="2"/>
  <c r="R759" i="2" s="1"/>
  <c r="K760" i="2"/>
  <c r="R760" i="2" s="1"/>
  <c r="K761" i="2"/>
  <c r="R761" i="2" s="1"/>
  <c r="K762" i="2"/>
  <c r="R762" i="2" s="1"/>
  <c r="K763" i="2"/>
  <c r="R763" i="2" s="1"/>
  <c r="K764" i="2"/>
  <c r="R764" i="2" s="1"/>
  <c r="K765" i="2"/>
  <c r="R765" i="2" s="1"/>
  <c r="K766" i="2"/>
  <c r="R766" i="2" s="1"/>
  <c r="K767" i="2"/>
  <c r="R767" i="2" s="1"/>
  <c r="K768" i="2"/>
  <c r="R768" i="2" s="1"/>
  <c r="K769" i="2"/>
  <c r="R769" i="2" s="1"/>
  <c r="K770" i="2"/>
  <c r="R770" i="2" s="1"/>
  <c r="K771" i="2"/>
  <c r="R771" i="2" s="1"/>
  <c r="K772" i="2"/>
  <c r="R772" i="2" s="1"/>
  <c r="K773" i="2"/>
  <c r="R773" i="2" s="1"/>
  <c r="K774" i="2"/>
  <c r="R774" i="2" s="1"/>
  <c r="K775" i="2"/>
  <c r="R775" i="2" s="1"/>
  <c r="K776" i="2"/>
  <c r="R776" i="2" s="1"/>
  <c r="K777" i="2"/>
  <c r="R777" i="2" s="1"/>
  <c r="K778" i="2"/>
  <c r="R778" i="2" s="1"/>
  <c r="K779" i="2"/>
  <c r="R779" i="2" s="1"/>
  <c r="K780" i="2"/>
  <c r="R780" i="2" s="1"/>
  <c r="K781" i="2"/>
  <c r="R781" i="2" s="1"/>
  <c r="K782" i="2"/>
  <c r="R782" i="2" s="1"/>
  <c r="K783" i="2"/>
  <c r="R783" i="2" s="1"/>
  <c r="K784" i="2"/>
  <c r="R784" i="2" s="1"/>
  <c r="K785" i="2"/>
  <c r="R785" i="2" s="1"/>
  <c r="K786" i="2"/>
  <c r="R786" i="2" s="1"/>
  <c r="K787" i="2"/>
  <c r="R787" i="2" s="1"/>
  <c r="K788" i="2"/>
  <c r="R788" i="2" s="1"/>
  <c r="K789" i="2"/>
  <c r="R789" i="2" s="1"/>
  <c r="K790" i="2"/>
  <c r="R790" i="2" s="1"/>
  <c r="K791" i="2"/>
  <c r="R791" i="2" s="1"/>
  <c r="K792" i="2"/>
  <c r="R792" i="2" s="1"/>
  <c r="K793" i="2"/>
  <c r="R793" i="2" s="1"/>
  <c r="K794" i="2"/>
  <c r="R794" i="2" s="1"/>
  <c r="K795" i="2"/>
  <c r="R795" i="2" s="1"/>
  <c r="K796" i="2"/>
  <c r="R796" i="2" s="1"/>
  <c r="K797" i="2"/>
  <c r="R797" i="2" s="1"/>
  <c r="K798" i="2"/>
  <c r="R798" i="2" s="1"/>
  <c r="K799" i="2"/>
  <c r="R799" i="2" s="1"/>
  <c r="K800" i="2"/>
  <c r="R800" i="2" s="1"/>
  <c r="K801" i="2"/>
  <c r="R801" i="2" s="1"/>
  <c r="K802" i="2"/>
  <c r="R802" i="2" s="1"/>
  <c r="K803" i="2"/>
  <c r="R803" i="2" s="1"/>
  <c r="K804" i="2"/>
  <c r="R804" i="2" s="1"/>
  <c r="K805" i="2"/>
  <c r="R805" i="2" s="1"/>
  <c r="K806" i="2"/>
  <c r="R806" i="2" s="1"/>
  <c r="K807" i="2"/>
  <c r="R807" i="2" s="1"/>
  <c r="K808" i="2"/>
  <c r="R808" i="2" s="1"/>
  <c r="K809" i="2"/>
  <c r="R809" i="2" s="1"/>
  <c r="K810" i="2"/>
  <c r="R810" i="2" s="1"/>
  <c r="K811" i="2"/>
  <c r="R811" i="2" s="1"/>
  <c r="K812" i="2"/>
  <c r="R812" i="2" s="1"/>
  <c r="K813" i="2"/>
  <c r="R813" i="2" s="1"/>
  <c r="K814" i="2"/>
  <c r="R814" i="2" s="1"/>
  <c r="K815" i="2"/>
  <c r="R815" i="2" s="1"/>
  <c r="K816" i="2"/>
  <c r="R816" i="2" s="1"/>
  <c r="K817" i="2"/>
  <c r="R817" i="2" s="1"/>
  <c r="K818" i="2"/>
  <c r="R818" i="2" s="1"/>
  <c r="K819" i="2"/>
  <c r="R819" i="2" s="1"/>
  <c r="K820" i="2"/>
  <c r="R820" i="2" s="1"/>
  <c r="K821" i="2"/>
  <c r="R821" i="2" s="1"/>
  <c r="K822" i="2"/>
  <c r="R822" i="2" s="1"/>
  <c r="K823" i="2"/>
  <c r="R823" i="2" s="1"/>
  <c r="K824" i="2"/>
  <c r="R824" i="2" s="1"/>
  <c r="K825" i="2"/>
  <c r="R825" i="2" s="1"/>
  <c r="K826" i="2"/>
  <c r="R826" i="2" s="1"/>
  <c r="K827" i="2"/>
  <c r="R827" i="2" s="1"/>
  <c r="K828" i="2"/>
  <c r="R828" i="2" s="1"/>
  <c r="K829" i="2"/>
  <c r="R829" i="2" s="1"/>
  <c r="K830" i="2"/>
  <c r="R830" i="2" s="1"/>
  <c r="K831" i="2"/>
  <c r="R831" i="2" s="1"/>
  <c r="K832" i="2"/>
  <c r="R832" i="2" s="1"/>
  <c r="K833" i="2"/>
  <c r="R833" i="2" s="1"/>
  <c r="K834" i="2"/>
  <c r="R834" i="2" s="1"/>
  <c r="K835" i="2"/>
  <c r="R835" i="2" s="1"/>
  <c r="K836" i="2"/>
  <c r="R836" i="2" s="1"/>
  <c r="K837" i="2"/>
  <c r="R837" i="2" s="1"/>
  <c r="K838" i="2"/>
  <c r="R838" i="2" s="1"/>
  <c r="K839" i="2"/>
  <c r="R839" i="2" s="1"/>
  <c r="K840" i="2"/>
  <c r="R840" i="2" s="1"/>
  <c r="K841" i="2"/>
  <c r="R841" i="2" s="1"/>
  <c r="K842" i="2"/>
  <c r="R842" i="2" s="1"/>
  <c r="K843" i="2"/>
  <c r="R843" i="2" s="1"/>
  <c r="K844" i="2"/>
  <c r="R844" i="2" s="1"/>
  <c r="K845" i="2"/>
  <c r="R845" i="2" s="1"/>
  <c r="K846" i="2"/>
  <c r="R846" i="2" s="1"/>
  <c r="K847" i="2"/>
  <c r="R847" i="2" s="1"/>
  <c r="K848" i="2"/>
  <c r="R848" i="2" s="1"/>
  <c r="K849" i="2"/>
  <c r="R849" i="2" s="1"/>
  <c r="K850" i="2"/>
  <c r="R850" i="2" s="1"/>
  <c r="K851" i="2"/>
  <c r="R851" i="2" s="1"/>
  <c r="K852" i="2"/>
  <c r="R852" i="2" s="1"/>
  <c r="K853" i="2"/>
  <c r="R853" i="2" s="1"/>
  <c r="K854" i="2"/>
  <c r="R854" i="2" s="1"/>
  <c r="K855" i="2"/>
  <c r="R855" i="2" s="1"/>
  <c r="K856" i="2"/>
  <c r="R856" i="2" s="1"/>
  <c r="K857" i="2"/>
  <c r="R857" i="2" s="1"/>
  <c r="K858" i="2"/>
  <c r="R858" i="2" s="1"/>
  <c r="K859" i="2"/>
  <c r="R859" i="2" s="1"/>
  <c r="K860" i="2"/>
  <c r="R860" i="2" s="1"/>
  <c r="K861" i="2"/>
  <c r="R861" i="2" s="1"/>
  <c r="K862" i="2"/>
  <c r="R862" i="2" s="1"/>
  <c r="K863" i="2"/>
  <c r="R863" i="2" s="1"/>
  <c r="K864" i="2"/>
  <c r="R864" i="2" s="1"/>
  <c r="K865" i="2"/>
  <c r="R865" i="2" s="1"/>
  <c r="K866" i="2"/>
  <c r="R866" i="2" s="1"/>
  <c r="K867" i="2"/>
  <c r="R867" i="2" s="1"/>
  <c r="K868" i="2"/>
  <c r="R868" i="2" s="1"/>
  <c r="K869" i="2"/>
  <c r="R869" i="2" s="1"/>
  <c r="K870" i="2"/>
  <c r="R870" i="2" s="1"/>
  <c r="K871" i="2"/>
  <c r="R871" i="2" s="1"/>
  <c r="K872" i="2"/>
  <c r="R872" i="2" s="1"/>
  <c r="K873" i="2"/>
  <c r="R873" i="2" s="1"/>
  <c r="K874" i="2"/>
  <c r="R874" i="2" s="1"/>
  <c r="K875" i="2"/>
  <c r="R875" i="2" s="1"/>
  <c r="K876" i="2"/>
  <c r="R876" i="2" s="1"/>
  <c r="K877" i="2"/>
  <c r="R877" i="2" s="1"/>
  <c r="K878" i="2"/>
  <c r="R878" i="2" s="1"/>
  <c r="K879" i="2"/>
  <c r="R879" i="2" s="1"/>
  <c r="K880" i="2"/>
  <c r="R880" i="2" s="1"/>
  <c r="K881" i="2"/>
  <c r="R881" i="2" s="1"/>
  <c r="K882" i="2"/>
  <c r="R882" i="2" s="1"/>
  <c r="K883" i="2"/>
  <c r="R883" i="2" s="1"/>
  <c r="K884" i="2"/>
  <c r="R884" i="2" s="1"/>
  <c r="K885" i="2"/>
  <c r="R885" i="2" s="1"/>
  <c r="K886" i="2"/>
  <c r="R886" i="2" s="1"/>
  <c r="K887" i="2"/>
  <c r="R887" i="2" s="1"/>
  <c r="K888" i="2"/>
  <c r="R888" i="2" s="1"/>
  <c r="K889" i="2"/>
  <c r="R889" i="2" s="1"/>
  <c r="K890" i="2"/>
  <c r="R890" i="2" s="1"/>
  <c r="K891" i="2"/>
  <c r="R891" i="2" s="1"/>
  <c r="K892" i="2"/>
  <c r="R892" i="2" s="1"/>
  <c r="K893" i="2"/>
  <c r="R893" i="2" s="1"/>
  <c r="K894" i="2"/>
  <c r="R894" i="2" s="1"/>
  <c r="K895" i="2"/>
  <c r="R895" i="2" s="1"/>
  <c r="K896" i="2"/>
  <c r="R896" i="2" s="1"/>
  <c r="K897" i="2"/>
  <c r="R897" i="2" s="1"/>
  <c r="K898" i="2"/>
  <c r="R898" i="2" s="1"/>
  <c r="K899" i="2"/>
  <c r="R899" i="2" s="1"/>
  <c r="K900" i="2"/>
  <c r="R900" i="2" s="1"/>
  <c r="K901" i="2"/>
  <c r="R901" i="2" s="1"/>
  <c r="K902" i="2"/>
  <c r="R902" i="2" s="1"/>
  <c r="K903" i="2"/>
  <c r="R903" i="2" s="1"/>
  <c r="K904" i="2"/>
  <c r="R904" i="2" s="1"/>
  <c r="K905" i="2"/>
  <c r="R905" i="2" s="1"/>
  <c r="K906" i="2"/>
  <c r="R906" i="2" s="1"/>
  <c r="K907" i="2"/>
  <c r="R907" i="2" s="1"/>
  <c r="K908" i="2"/>
  <c r="R908" i="2" s="1"/>
  <c r="K909" i="2"/>
  <c r="R909" i="2" s="1"/>
  <c r="K910" i="2"/>
  <c r="R910" i="2" s="1"/>
  <c r="K911" i="2"/>
  <c r="R911" i="2" s="1"/>
  <c r="K912" i="2"/>
  <c r="R912" i="2" s="1"/>
  <c r="K913" i="2"/>
  <c r="R913" i="2" s="1"/>
  <c r="K914" i="2"/>
  <c r="R914" i="2" s="1"/>
  <c r="K915" i="2"/>
  <c r="R915" i="2" s="1"/>
  <c r="K916" i="2"/>
  <c r="R916" i="2" s="1"/>
  <c r="K917" i="2"/>
  <c r="R917" i="2" s="1"/>
  <c r="K918" i="2"/>
  <c r="R918" i="2" s="1"/>
  <c r="K919" i="2"/>
  <c r="R919" i="2" s="1"/>
  <c r="K920" i="2"/>
  <c r="R920" i="2" s="1"/>
  <c r="K921" i="2"/>
  <c r="R921" i="2" s="1"/>
  <c r="K922" i="2"/>
  <c r="R922" i="2" s="1"/>
  <c r="K923" i="2"/>
  <c r="R923" i="2" s="1"/>
  <c r="K924" i="2"/>
  <c r="R924" i="2" s="1"/>
  <c r="K925" i="2"/>
  <c r="R925" i="2" s="1"/>
  <c r="K926" i="2"/>
  <c r="R926" i="2" s="1"/>
  <c r="K927" i="2"/>
  <c r="R927" i="2" s="1"/>
  <c r="K928" i="2"/>
  <c r="R928" i="2" s="1"/>
  <c r="K929" i="2"/>
  <c r="R929" i="2" s="1"/>
  <c r="K930" i="2"/>
  <c r="R930" i="2" s="1"/>
  <c r="K931" i="2"/>
  <c r="R931" i="2" s="1"/>
  <c r="K932" i="2"/>
  <c r="R932" i="2" s="1"/>
  <c r="K933" i="2"/>
  <c r="R933" i="2" s="1"/>
  <c r="K934" i="2"/>
  <c r="R934" i="2" s="1"/>
  <c r="K935" i="2"/>
  <c r="R935" i="2" s="1"/>
  <c r="K936" i="2"/>
  <c r="R936" i="2" s="1"/>
  <c r="K937" i="2"/>
  <c r="R937" i="2" s="1"/>
  <c r="K938" i="2"/>
  <c r="R938" i="2" s="1"/>
  <c r="K939" i="2"/>
  <c r="R939" i="2" s="1"/>
  <c r="K940" i="2"/>
  <c r="R940" i="2" s="1"/>
  <c r="K941" i="2"/>
  <c r="R941" i="2" s="1"/>
  <c r="K942" i="2"/>
  <c r="R942" i="2" s="1"/>
  <c r="K943" i="2"/>
  <c r="R943" i="2" s="1"/>
  <c r="K944" i="2"/>
  <c r="R944" i="2" s="1"/>
  <c r="K945" i="2"/>
  <c r="R945" i="2" s="1"/>
  <c r="K946" i="2"/>
  <c r="R946" i="2" s="1"/>
  <c r="K947" i="2"/>
  <c r="R947" i="2" s="1"/>
  <c r="K948" i="2"/>
  <c r="R948" i="2" s="1"/>
  <c r="K949" i="2"/>
  <c r="R949" i="2" s="1"/>
  <c r="K950" i="2"/>
  <c r="R950" i="2" s="1"/>
  <c r="K951" i="2"/>
  <c r="R951" i="2" s="1"/>
  <c r="K952" i="2"/>
  <c r="R952" i="2" s="1"/>
  <c r="K953" i="2"/>
  <c r="R953" i="2" s="1"/>
  <c r="K954" i="2"/>
  <c r="R954" i="2" s="1"/>
  <c r="K955" i="2"/>
  <c r="R955" i="2" s="1"/>
  <c r="K956" i="2"/>
  <c r="R956" i="2" s="1"/>
  <c r="K957" i="2"/>
  <c r="R957" i="2" s="1"/>
  <c r="K958" i="2"/>
  <c r="R958" i="2" s="1"/>
  <c r="K959" i="2"/>
  <c r="R959" i="2" s="1"/>
  <c r="K960" i="2"/>
  <c r="R960" i="2" s="1"/>
  <c r="K961" i="2"/>
  <c r="R961" i="2" s="1"/>
  <c r="K962" i="2"/>
  <c r="R962" i="2" s="1"/>
  <c r="K963" i="2"/>
  <c r="R963" i="2" s="1"/>
  <c r="K964" i="2"/>
  <c r="R964" i="2" s="1"/>
  <c r="K965" i="2"/>
  <c r="R965" i="2" s="1"/>
  <c r="K966" i="2"/>
  <c r="R966" i="2" s="1"/>
  <c r="K967" i="2"/>
  <c r="R967" i="2" s="1"/>
  <c r="K968" i="2"/>
  <c r="R968" i="2" s="1"/>
  <c r="K969" i="2"/>
  <c r="R969" i="2" s="1"/>
  <c r="K970" i="2"/>
  <c r="R970" i="2" s="1"/>
  <c r="K971" i="2"/>
  <c r="R971" i="2" s="1"/>
  <c r="K972" i="2"/>
  <c r="R972" i="2" s="1"/>
  <c r="K973" i="2"/>
  <c r="R973" i="2" s="1"/>
  <c r="K974" i="2"/>
  <c r="R974" i="2" s="1"/>
  <c r="K975" i="2"/>
  <c r="R975" i="2" s="1"/>
  <c r="K976" i="2"/>
  <c r="R976" i="2" s="1"/>
  <c r="K977" i="2"/>
  <c r="R977" i="2" s="1"/>
  <c r="K978" i="2"/>
  <c r="R978" i="2" s="1"/>
  <c r="K979" i="2"/>
  <c r="R979" i="2" s="1"/>
  <c r="K980" i="2"/>
  <c r="R980" i="2" s="1"/>
  <c r="K981" i="2"/>
  <c r="R981" i="2" s="1"/>
  <c r="K982" i="2"/>
  <c r="R982" i="2" s="1"/>
  <c r="K983" i="2"/>
  <c r="K984" i="2"/>
  <c r="R984" i="2" s="1"/>
  <c r="K985" i="2"/>
  <c r="R985" i="2" s="1"/>
  <c r="K986" i="2"/>
  <c r="R986" i="2" s="1"/>
  <c r="K987" i="2"/>
  <c r="R987" i="2" s="1"/>
  <c r="K988" i="2"/>
  <c r="R988" i="2" s="1"/>
  <c r="K989" i="2"/>
  <c r="R989" i="2" s="1"/>
  <c r="K990" i="2"/>
  <c r="R990" i="2" s="1"/>
  <c r="K991" i="2"/>
  <c r="R991" i="2" s="1"/>
  <c r="K992" i="2"/>
  <c r="R992" i="2" s="1"/>
  <c r="K993" i="2"/>
  <c r="R993" i="2" s="1"/>
  <c r="K994" i="2"/>
  <c r="R994" i="2" s="1"/>
  <c r="K995" i="2"/>
  <c r="R995" i="2" s="1"/>
  <c r="K996" i="2"/>
  <c r="R996" i="2" s="1"/>
  <c r="K997" i="2"/>
  <c r="R997" i="2" s="1"/>
  <c r="K998" i="2"/>
  <c r="R998" i="2" s="1"/>
  <c r="K999" i="2"/>
  <c r="R999" i="2" s="1"/>
  <c r="K1000" i="2"/>
  <c r="R1000" i="2" s="1"/>
  <c r="K1001" i="2"/>
  <c r="R1001" i="2" s="1"/>
  <c r="K1002" i="2"/>
  <c r="R1002" i="2" s="1"/>
  <c r="K1003" i="2"/>
  <c r="R1003" i="2" s="1"/>
  <c r="K1004" i="2"/>
  <c r="R1004" i="2" s="1"/>
  <c r="K1005" i="2"/>
  <c r="R1005" i="2" s="1"/>
  <c r="K1006" i="2"/>
  <c r="R1006" i="2" s="1"/>
  <c r="K1007" i="2"/>
  <c r="R1007" i="2" s="1"/>
  <c r="K1008" i="2"/>
  <c r="R1008" i="2" s="1"/>
  <c r="K1009" i="2"/>
  <c r="R1009" i="2" s="1"/>
  <c r="K1010" i="2"/>
  <c r="R1010" i="2" s="1"/>
  <c r="K1011" i="2"/>
  <c r="R1011" i="2" s="1"/>
  <c r="K1012" i="2"/>
  <c r="R1012" i="2" s="1"/>
  <c r="K1013" i="2"/>
  <c r="R1013" i="2" s="1"/>
  <c r="K1014" i="2"/>
  <c r="R1014" i="2" s="1"/>
  <c r="K1015" i="2"/>
  <c r="R1015" i="2" s="1"/>
  <c r="K1016" i="2"/>
  <c r="R1016" i="2" s="1"/>
  <c r="K1017" i="2"/>
  <c r="R1017" i="2" s="1"/>
  <c r="K1018" i="2"/>
  <c r="R1018" i="2" s="1"/>
  <c r="K1019" i="2"/>
  <c r="R1019" i="2" s="1"/>
  <c r="K1020" i="2"/>
  <c r="R1020" i="2" s="1"/>
  <c r="K1021" i="2"/>
  <c r="R1021" i="2" s="1"/>
  <c r="K1022" i="2"/>
  <c r="R1022" i="2" s="1"/>
  <c r="K1023" i="2"/>
  <c r="R1023" i="2" s="1"/>
  <c r="K1024" i="2"/>
  <c r="R1024" i="2" s="1"/>
  <c r="K1025" i="2"/>
  <c r="R1025" i="2" s="1"/>
  <c r="K1026" i="2"/>
  <c r="R1026" i="2" s="1"/>
  <c r="K1027" i="2"/>
  <c r="R1027" i="2" s="1"/>
  <c r="K1028" i="2"/>
  <c r="R1028" i="2" s="1"/>
  <c r="K1029" i="2"/>
  <c r="R1029" i="2" s="1"/>
  <c r="K1030" i="2"/>
  <c r="R1030" i="2" s="1"/>
  <c r="K1031" i="2"/>
  <c r="R1031" i="2" s="1"/>
  <c r="K1032" i="2"/>
  <c r="R1032" i="2" s="1"/>
  <c r="K1033" i="2"/>
  <c r="R1033" i="2" s="1"/>
  <c r="K1034" i="2"/>
  <c r="R1034" i="2" s="1"/>
  <c r="K1035" i="2"/>
  <c r="R1035" i="2" s="1"/>
  <c r="K1036" i="2"/>
  <c r="R1036" i="2" s="1"/>
  <c r="K1037" i="2"/>
  <c r="R1037" i="2" s="1"/>
  <c r="K1038" i="2"/>
  <c r="R1038" i="2" s="1"/>
  <c r="K1039" i="2"/>
  <c r="R1039" i="2" s="1"/>
  <c r="K1040" i="2"/>
  <c r="R1040" i="2" s="1"/>
  <c r="K1041" i="2"/>
  <c r="R1041" i="2" s="1"/>
  <c r="K1042" i="2"/>
  <c r="R1042" i="2" s="1"/>
  <c r="K1043" i="2"/>
  <c r="R1043" i="2" s="1"/>
  <c r="K1044" i="2"/>
  <c r="R1044" i="2" s="1"/>
  <c r="K1045" i="2"/>
  <c r="R1045" i="2" s="1"/>
  <c r="K1046" i="2"/>
  <c r="R1046" i="2" s="1"/>
  <c r="K1047" i="2"/>
  <c r="R1047" i="2" s="1"/>
  <c r="K1048" i="2"/>
  <c r="R1048" i="2" s="1"/>
  <c r="K1049" i="2"/>
  <c r="R1049" i="2" s="1"/>
  <c r="K1050" i="2"/>
  <c r="R1050" i="2" s="1"/>
  <c r="K1051" i="2"/>
  <c r="R1051" i="2" s="1"/>
  <c r="K1052" i="2"/>
  <c r="R1052" i="2" s="1"/>
  <c r="K1053" i="2"/>
  <c r="R1053" i="2" s="1"/>
  <c r="K1054" i="2"/>
  <c r="R1054" i="2" s="1"/>
  <c r="K1055" i="2"/>
  <c r="R1055" i="2" s="1"/>
  <c r="K1056" i="2"/>
  <c r="R1056" i="2" s="1"/>
  <c r="K1057" i="2"/>
  <c r="R1057" i="2" s="1"/>
  <c r="K1058" i="2"/>
  <c r="R1058" i="2" s="1"/>
  <c r="K1059" i="2"/>
  <c r="R1059" i="2" s="1"/>
  <c r="K1060" i="2"/>
  <c r="R1060" i="2" s="1"/>
  <c r="K1061" i="2"/>
  <c r="R1061" i="2" s="1"/>
  <c r="K1062" i="2"/>
  <c r="R1062" i="2" s="1"/>
  <c r="K1063" i="2"/>
  <c r="R1063" i="2" s="1"/>
  <c r="K1064" i="2"/>
  <c r="R1064" i="2" s="1"/>
  <c r="K1065" i="2"/>
  <c r="R1065" i="2" s="1"/>
  <c r="K1066" i="2"/>
  <c r="R1066" i="2" s="1"/>
  <c r="K1067" i="2"/>
  <c r="R1067" i="2" s="1"/>
  <c r="K1068" i="2"/>
  <c r="R1068" i="2" s="1"/>
  <c r="K1069" i="2"/>
  <c r="R1069" i="2" s="1"/>
  <c r="K1070" i="2"/>
  <c r="R1070" i="2" s="1"/>
  <c r="K1071" i="2"/>
  <c r="R1071" i="2" s="1"/>
  <c r="K1072" i="2"/>
  <c r="R1072" i="2" s="1"/>
  <c r="K1073" i="2"/>
  <c r="R1073" i="2" s="1"/>
  <c r="K1074" i="2"/>
  <c r="R1074" i="2" s="1"/>
  <c r="K1075" i="2"/>
  <c r="R1075" i="2" s="1"/>
  <c r="K1076" i="2"/>
  <c r="R1076" i="2" s="1"/>
  <c r="K1077" i="2"/>
  <c r="R1077" i="2" s="1"/>
  <c r="K1078" i="2"/>
  <c r="R1078" i="2" s="1"/>
  <c r="K1079" i="2"/>
  <c r="R1079" i="2" s="1"/>
  <c r="K1080" i="2"/>
  <c r="R1080" i="2" s="1"/>
  <c r="K1081" i="2"/>
  <c r="R1081" i="2" s="1"/>
  <c r="K1082" i="2"/>
  <c r="R1082" i="2" s="1"/>
  <c r="K1083" i="2"/>
  <c r="R1083" i="2" s="1"/>
  <c r="K1084" i="2"/>
  <c r="R1084" i="2" s="1"/>
  <c r="K1085" i="2"/>
  <c r="R1085" i="2" s="1"/>
  <c r="K1086" i="2"/>
  <c r="R1086" i="2" s="1"/>
  <c r="K1087" i="2"/>
  <c r="R1087" i="2" s="1"/>
  <c r="K1088" i="2"/>
  <c r="R1088" i="2" s="1"/>
  <c r="K1089" i="2"/>
  <c r="R1089" i="2" s="1"/>
  <c r="K1090" i="2"/>
  <c r="R1090" i="2" s="1"/>
  <c r="K1091" i="2"/>
  <c r="R1091" i="2" s="1"/>
  <c r="K1092" i="2"/>
  <c r="R1092" i="2" s="1"/>
  <c r="K1093" i="2"/>
  <c r="R1093" i="2" s="1"/>
  <c r="K1094" i="2"/>
  <c r="R1094" i="2" s="1"/>
  <c r="K1095" i="2"/>
  <c r="R1095" i="2" s="1"/>
  <c r="K1096" i="2"/>
  <c r="R1096" i="2" s="1"/>
  <c r="K1097" i="2"/>
  <c r="R1097" i="2" s="1"/>
  <c r="K1098" i="2"/>
  <c r="R1098" i="2" s="1"/>
  <c r="K1099" i="2"/>
  <c r="R1099" i="2" s="1"/>
  <c r="K1100" i="2"/>
  <c r="R1100" i="2" s="1"/>
  <c r="K1101" i="2"/>
  <c r="R1101" i="2" s="1"/>
  <c r="K1102" i="2"/>
  <c r="R1102" i="2" s="1"/>
  <c r="K1103" i="2"/>
  <c r="R1103" i="2" s="1"/>
  <c r="K1104" i="2"/>
  <c r="R1104" i="2" s="1"/>
  <c r="K1105" i="2"/>
  <c r="R1105" i="2" s="1"/>
  <c r="K1106" i="2"/>
  <c r="K1107" i="2"/>
  <c r="R1107" i="2" s="1"/>
  <c r="K1108" i="2"/>
  <c r="R1108" i="2" s="1"/>
  <c r="K1109" i="2"/>
  <c r="R1109" i="2" s="1"/>
  <c r="K1110" i="2"/>
  <c r="R1110" i="2" s="1"/>
  <c r="K1111" i="2"/>
  <c r="R1111" i="2" s="1"/>
  <c r="K1112" i="2"/>
  <c r="R1112" i="2" s="1"/>
  <c r="K1113" i="2"/>
  <c r="R1113" i="2" s="1"/>
  <c r="K1114" i="2"/>
  <c r="R1114" i="2" s="1"/>
  <c r="K1115" i="2"/>
  <c r="R1115" i="2" s="1"/>
  <c r="K1116" i="2"/>
  <c r="R1116" i="2" s="1"/>
  <c r="K1117" i="2"/>
  <c r="R1117" i="2" s="1"/>
  <c r="K1118" i="2"/>
  <c r="R1118" i="2" s="1"/>
  <c r="K1119" i="2"/>
  <c r="R1119" i="2" s="1"/>
  <c r="K1120" i="2"/>
  <c r="R1120" i="2" s="1"/>
  <c r="K1121" i="2"/>
  <c r="R1121" i="2" s="1"/>
  <c r="K1122" i="2"/>
  <c r="R1122" i="2" s="1"/>
  <c r="K1123" i="2"/>
  <c r="R1123" i="2" s="1"/>
  <c r="K1124" i="2"/>
  <c r="R1124" i="2" s="1"/>
  <c r="K1125" i="2"/>
  <c r="R1125" i="2" s="1"/>
  <c r="K1126" i="2"/>
  <c r="R1126" i="2" s="1"/>
  <c r="K1127" i="2"/>
  <c r="R1127" i="2" s="1"/>
  <c r="K1128" i="2"/>
  <c r="R1128" i="2" s="1"/>
  <c r="K1129" i="2"/>
  <c r="R1129" i="2" s="1"/>
  <c r="K1130" i="2"/>
  <c r="R1130" i="2" s="1"/>
  <c r="K1131" i="2"/>
  <c r="R1131" i="2" s="1"/>
  <c r="K1132" i="2"/>
  <c r="R1132" i="2" s="1"/>
  <c r="K1133" i="2"/>
  <c r="R1133" i="2" s="1"/>
  <c r="K1134" i="2"/>
  <c r="R1134" i="2" s="1"/>
  <c r="K1135" i="2"/>
  <c r="R1135" i="2" s="1"/>
  <c r="K1136" i="2"/>
  <c r="R1136" i="2" s="1"/>
  <c r="K1137" i="2"/>
  <c r="R1137" i="2" s="1"/>
  <c r="K1138" i="2"/>
  <c r="R1138" i="2" s="1"/>
  <c r="K1139" i="2"/>
  <c r="R1139" i="2" s="1"/>
  <c r="K1140" i="2"/>
  <c r="R1140" i="2" s="1"/>
  <c r="K1141" i="2"/>
  <c r="R1141" i="2" s="1"/>
  <c r="K1142" i="2"/>
  <c r="R1142" i="2" s="1"/>
  <c r="K1143" i="2"/>
  <c r="R1143" i="2" s="1"/>
  <c r="K1144" i="2"/>
  <c r="R1144" i="2" s="1"/>
  <c r="K1145" i="2"/>
  <c r="R1145" i="2" s="1"/>
  <c r="K1146" i="2"/>
  <c r="R1146" i="2" s="1"/>
  <c r="K1147" i="2"/>
  <c r="R1147" i="2" s="1"/>
  <c r="K1148" i="2"/>
  <c r="R1148" i="2" s="1"/>
  <c r="K1149" i="2"/>
  <c r="R1149" i="2" s="1"/>
  <c r="K1150" i="2"/>
  <c r="R1150" i="2" s="1"/>
  <c r="K1151" i="2"/>
  <c r="R1151" i="2" s="1"/>
  <c r="K1152" i="2"/>
  <c r="R1152" i="2" s="1"/>
  <c r="K1153" i="2"/>
  <c r="R1153" i="2" s="1"/>
  <c r="K1154" i="2"/>
  <c r="R1154" i="2" s="1"/>
  <c r="K1155" i="2"/>
  <c r="R1155" i="2" s="1"/>
  <c r="K1156" i="2"/>
  <c r="R1156" i="2" s="1"/>
  <c r="K1157" i="2"/>
  <c r="R1157" i="2" s="1"/>
  <c r="K1158" i="2"/>
  <c r="R1158" i="2" s="1"/>
  <c r="K1159" i="2"/>
  <c r="R1159" i="2" s="1"/>
  <c r="K1160" i="2"/>
  <c r="R1160" i="2" s="1"/>
  <c r="K1161" i="2"/>
  <c r="R1161" i="2" s="1"/>
  <c r="K1162" i="2"/>
  <c r="R1162" i="2" s="1"/>
  <c r="K1163" i="2"/>
  <c r="R1163" i="2" s="1"/>
  <c r="K1164" i="2"/>
  <c r="R1164" i="2" s="1"/>
  <c r="K1165" i="2"/>
  <c r="R1165" i="2" s="1"/>
  <c r="K1166" i="2"/>
  <c r="R1166" i="2" s="1"/>
  <c r="K1167" i="2"/>
  <c r="R1167" i="2" s="1"/>
  <c r="K1168" i="2"/>
  <c r="R1168" i="2" s="1"/>
  <c r="K1169" i="2"/>
  <c r="R1169" i="2" s="1"/>
  <c r="K1170" i="2"/>
  <c r="R1170" i="2" s="1"/>
  <c r="K1171" i="2"/>
  <c r="R1171" i="2" s="1"/>
  <c r="K1172" i="2"/>
  <c r="R1172" i="2" s="1"/>
  <c r="K1173" i="2"/>
  <c r="R1173" i="2" s="1"/>
  <c r="K1174" i="2"/>
  <c r="R1174" i="2" s="1"/>
  <c r="K1175" i="2"/>
  <c r="R1175" i="2" s="1"/>
  <c r="K1176" i="2"/>
  <c r="R1176" i="2" s="1"/>
  <c r="K1177" i="2"/>
  <c r="R1177" i="2" s="1"/>
  <c r="K1178" i="2"/>
  <c r="R1178" i="2" s="1"/>
  <c r="K1179" i="2"/>
  <c r="R1179" i="2" s="1"/>
  <c r="K1180" i="2"/>
  <c r="R1180" i="2" s="1"/>
  <c r="K1181" i="2"/>
  <c r="R1181" i="2" s="1"/>
  <c r="K1182" i="2"/>
  <c r="R1182" i="2" s="1"/>
  <c r="K1183" i="2"/>
  <c r="R1183" i="2" s="1"/>
  <c r="K1184" i="2"/>
  <c r="R1184" i="2" s="1"/>
  <c r="K1185" i="2"/>
  <c r="R1185" i="2" s="1"/>
  <c r="K1186" i="2"/>
  <c r="R1186" i="2" s="1"/>
  <c r="K1187" i="2"/>
  <c r="R1187" i="2" s="1"/>
  <c r="K1188" i="2"/>
  <c r="R1188" i="2" s="1"/>
  <c r="K1189" i="2"/>
  <c r="R1189" i="2" s="1"/>
  <c r="K1190" i="2"/>
  <c r="K1191" i="2"/>
  <c r="R1191" i="2" s="1"/>
  <c r="K1192" i="2"/>
  <c r="R1192" i="2" s="1"/>
  <c r="K1193" i="2"/>
  <c r="R1193" i="2" s="1"/>
  <c r="K1194" i="2"/>
  <c r="R1194" i="2" s="1"/>
  <c r="K1195" i="2"/>
  <c r="R1195" i="2" s="1"/>
  <c r="K1196" i="2"/>
  <c r="R1196" i="2" s="1"/>
  <c r="K1197" i="2"/>
  <c r="R1197" i="2" s="1"/>
  <c r="K1198" i="2"/>
  <c r="R1198" i="2" s="1"/>
  <c r="K1199" i="2"/>
  <c r="R1199" i="2" s="1"/>
  <c r="K1200" i="2"/>
  <c r="R1200" i="2" s="1"/>
  <c r="K1201" i="2"/>
  <c r="R12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017F5C-25AB-491C-8B73-729E7E642425}" keepAlive="1" name="Query - Table13" description="Connection to the 'Table13' query in the workbook." type="5" refreshedVersion="0" background="1">
    <dbPr connection="Provider=Microsoft.Mashup.OleDb.1;Data Source=$Workbook$;Location=Table13;Extended Properties=&quot;&quot;" command="SELECT * FROM [Table13]"/>
  </connection>
</connections>
</file>

<file path=xl/sharedStrings.xml><?xml version="1.0" encoding="utf-8"?>
<sst xmlns="http://schemas.openxmlformats.org/spreadsheetml/2006/main" count="12164" uniqueCount="1304">
  <si>
    <t>Order_ID</t>
  </si>
  <si>
    <t>Order_Date</t>
  </si>
  <si>
    <t>Region</t>
  </si>
  <si>
    <t>City</t>
  </si>
  <si>
    <t>Product_Category</t>
  </si>
  <si>
    <t>Product_Name</t>
  </si>
  <si>
    <t>Quantity</t>
  </si>
  <si>
    <t>Price</t>
  </si>
  <si>
    <t>Sales</t>
  </si>
  <si>
    <t>Profit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</si>
  <si>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</si>
  <si>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</si>
  <si>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</si>
  <si>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</si>
  <si>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</si>
  <si>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</si>
  <si>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</si>
  <si>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</si>
  <si>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</si>
  <si>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</si>
  <si>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</si>
  <si>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</si>
  <si>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</si>
  <si>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</si>
  <si>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</si>
  <si>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</si>
  <si>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</si>
  <si>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</si>
  <si>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</si>
  <si>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</si>
  <si>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</si>
  <si>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</si>
  <si>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</si>
  <si>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</si>
  <si>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</si>
  <si>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</si>
  <si>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</si>
  <si>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</si>
  <si>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</si>
  <si>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</si>
  <si>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</si>
  <si>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</si>
  <si>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</si>
  <si>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</si>
  <si>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</si>
  <si>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</si>
  <si>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</si>
  <si>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</si>
  <si>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</si>
  <si>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</si>
  <si>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</si>
  <si>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</si>
  <si>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</si>
  <si>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</si>
  <si>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</si>
  <si>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</si>
  <si>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</si>
  <si>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</si>
  <si>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</si>
  <si>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</si>
  <si>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</si>
  <si>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</si>
  <si>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</si>
  <si>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</si>
  <si>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</si>
  <si>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</si>
  <si>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</si>
  <si>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</si>
  <si>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</si>
  <si>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</si>
  <si>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</si>
  <si>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</si>
  <si>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</si>
  <si>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</si>
  <si>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</si>
  <si>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</si>
  <si>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</si>
  <si>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</si>
  <si>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</si>
  <si>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</si>
  <si>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</si>
  <si>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</si>
  <si>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</si>
  <si>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</si>
  <si>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</si>
  <si>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</si>
  <si>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</si>
  <si>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</si>
  <si>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</si>
  <si>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</si>
  <si>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</si>
  <si>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</si>
  <si>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</si>
  <si>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</si>
  <si>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</si>
  <si>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</si>
  <si>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</si>
  <si>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</si>
  <si>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</si>
  <si>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</si>
  <si>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</si>
  <si>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</si>
  <si>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</si>
  <si>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</si>
  <si>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</si>
  <si>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</si>
  <si>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</si>
  <si>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</si>
  <si>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</si>
  <si>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</si>
  <si>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</si>
  <si>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</si>
  <si>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</si>
  <si>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</si>
  <si>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</si>
  <si>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</si>
  <si>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</si>
  <si>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</si>
  <si>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</si>
  <si>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</si>
  <si>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</si>
  <si>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</si>
  <si>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</si>
  <si>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</si>
  <si>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</si>
  <si>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</si>
  <si>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</si>
  <si>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</si>
  <si>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</si>
  <si>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</si>
  <si>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</si>
  <si>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</si>
  <si>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</si>
  <si>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</si>
  <si>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</si>
  <si>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</si>
  <si>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</si>
  <si>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</si>
  <si>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</si>
  <si>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</si>
  <si>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</si>
  <si>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</si>
  <si>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</si>
  <si>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</si>
  <si>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</si>
  <si>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</si>
  <si>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</si>
  <si>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</si>
  <si>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</si>
  <si>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</si>
  <si>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</si>
  <si>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</si>
  <si>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</si>
  <si>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</si>
  <si>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</si>
  <si>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</si>
  <si>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</si>
  <si>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</si>
  <si>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</si>
  <si>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</si>
  <si>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</si>
  <si>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</si>
  <si>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</si>
  <si>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</si>
  <si>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</si>
  <si>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</si>
  <si>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</si>
  <si>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</si>
  <si>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</si>
  <si>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</si>
  <si>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</si>
  <si>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</si>
  <si>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</si>
  <si>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</si>
  <si>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</si>
  <si>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</si>
  <si>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</si>
  <si>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</si>
  <si>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</si>
  <si>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</si>
  <si>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</si>
  <si>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</si>
  <si>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</si>
  <si>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</si>
  <si>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</si>
  <si>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</si>
  <si>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</si>
  <si>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</si>
  <si>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</si>
  <si>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</si>
  <si>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</si>
  <si>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</si>
  <si>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</si>
  <si>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</si>
  <si>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</si>
  <si>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</si>
  <si>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</si>
  <si>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</si>
  <si>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</si>
  <si>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</si>
  <si>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</si>
  <si>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</si>
  <si>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</si>
  <si>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</si>
  <si>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</si>
  <si>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</si>
  <si>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</si>
  <si>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</si>
  <si>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</si>
  <si>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</si>
  <si>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</si>
  <si>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</si>
  <si>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</si>
  <si>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</si>
  <si>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</si>
  <si>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</si>
  <si>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</si>
  <si>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</si>
  <si>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</si>
  <si>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</si>
  <si>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</si>
  <si>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</si>
  <si>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</si>
  <si>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</si>
  <si>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</si>
  <si>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</si>
  <si>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</si>
  <si>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</si>
  <si>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</si>
  <si>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</si>
  <si>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</si>
  <si>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</si>
  <si>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</si>
  <si>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</si>
  <si>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</si>
  <si>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</si>
  <si>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</si>
  <si>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</si>
  <si>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</si>
  <si>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</si>
  <si>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</si>
  <si>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</si>
  <si>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</si>
  <si>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</si>
  <si>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</si>
  <si>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</si>
  <si>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</si>
  <si>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</si>
  <si>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</si>
  <si>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</si>
  <si>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</si>
  <si>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</si>
  <si>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</si>
  <si>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</si>
  <si>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</si>
  <si>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</si>
  <si>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</si>
  <si>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</si>
  <si>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</si>
  <si>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</si>
  <si>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</si>
  <si>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</si>
  <si>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</si>
  <si>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</si>
  <si>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</si>
  <si>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</si>
  <si>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</si>
  <si>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</si>
  <si>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</si>
  <si>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</si>
  <si>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</si>
  <si>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</si>
  <si>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</si>
  <si>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</si>
  <si>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</si>
  <si>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</si>
  <si>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</si>
  <si>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</si>
  <si>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</si>
  <si>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</si>
  <si>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</si>
  <si>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</si>
  <si>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</si>
  <si>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</si>
  <si>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</si>
  <si>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</si>
  <si>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</si>
  <si>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</si>
  <si>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</si>
  <si>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</si>
  <si>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</si>
  <si>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</si>
  <si>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</si>
  <si>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</si>
  <si>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</si>
  <si>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</si>
  <si>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</si>
  <si>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</si>
  <si>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</si>
  <si>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</si>
  <si>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</si>
  <si>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</si>
  <si>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</si>
  <si>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</si>
  <si>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</si>
  <si>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</si>
  <si>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</si>
  <si>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</si>
  <si>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</si>
  <si>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</si>
  <si>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</si>
  <si>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</si>
  <si>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</si>
  <si>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</si>
  <si>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</si>
  <si>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</si>
  <si>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</si>
  <si>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</si>
  <si>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</si>
  <si>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</si>
  <si>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</si>
  <si>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</si>
  <si>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</si>
  <si>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</si>
  <si>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</si>
  <si>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</si>
  <si>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</si>
  <si>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</si>
  <si>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</si>
  <si>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</si>
  <si>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</si>
  <si>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</si>
  <si>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</si>
  <si>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</si>
  <si>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</si>
  <si>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</si>
  <si>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</si>
  <si>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</si>
  <si>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</si>
  <si>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</si>
  <si>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</si>
  <si>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</si>
  <si>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</si>
  <si>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</si>
  <si>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</si>
  <si>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</si>
  <si>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</si>
  <si>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</si>
  <si>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</si>
  <si>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</si>
  <si>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</si>
  <si>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</si>
  <si>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</si>
  <si>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</si>
  <si>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</si>
  <si>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</si>
  <si>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</si>
  <si>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</si>
  <si>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</si>
  <si>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</si>
  <si>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</si>
  <si>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</si>
  <si>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</si>
  <si>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</si>
  <si>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</si>
  <si>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</si>
  <si>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</si>
  <si>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</si>
  <si>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</si>
  <si>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</si>
  <si>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</si>
  <si>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</si>
  <si>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</si>
  <si>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</si>
  <si>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</si>
  <si>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</si>
  <si>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</si>
  <si>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</si>
  <si>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</si>
  <si>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</si>
  <si>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</si>
  <si>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</si>
  <si>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</si>
  <si>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</si>
  <si>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</si>
  <si>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</si>
  <si>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</si>
  <si>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</si>
  <si>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</si>
  <si>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</si>
  <si>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</si>
  <si>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</si>
  <si>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</si>
  <si>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</si>
  <si>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</si>
  <si>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</si>
  <si>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</si>
  <si>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</si>
  <si>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</si>
  <si>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</si>
  <si>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</si>
  <si>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</si>
  <si>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</si>
  <si>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</si>
  <si>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</si>
  <si>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</si>
  <si>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</si>
  <si>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</si>
  <si>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</si>
  <si>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</si>
  <si>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</si>
  <si>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</si>
  <si>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</si>
  <si>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</si>
  <si>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</si>
  <si>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</si>
  <si>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</si>
  <si>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</si>
  <si>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</si>
  <si>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</si>
  <si>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</si>
  <si>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</si>
  <si>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</si>
  <si>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</si>
  <si>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</si>
  <si>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</si>
  <si>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</si>
  <si>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</si>
  <si>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</si>
  <si>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</si>
  <si>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</si>
  <si>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</si>
  <si>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</si>
  <si>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</si>
  <si>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</si>
  <si>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</si>
  <si>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</si>
  <si>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</si>
  <si>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</si>
  <si>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</si>
  <si>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</si>
  <si>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</si>
  <si>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</si>
  <si>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</si>
  <si>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</si>
  <si>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</si>
  <si>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</si>
  <si>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</si>
  <si>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</si>
  <si>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</si>
  <si>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</si>
  <si>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</si>
  <si>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</si>
  <si>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</si>
  <si>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</si>
  <si>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</si>
  <si>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</si>
  <si>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</si>
  <si>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</si>
  <si>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</si>
  <si>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</si>
  <si>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</si>
  <si>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</si>
  <si>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</si>
  <si>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</si>
  <si>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</si>
  <si>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</si>
  <si>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</si>
  <si>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</si>
  <si>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</si>
  <si>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</si>
  <si>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</si>
  <si>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</si>
  <si>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</si>
  <si>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</si>
  <si>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</si>
  <si>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</si>
  <si>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</si>
  <si>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</si>
  <si>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</si>
  <si>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</si>
  <si>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</si>
  <si>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</si>
  <si>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</si>
  <si>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</si>
  <si>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</si>
  <si>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</si>
  <si>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</si>
  <si>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</si>
  <si>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</si>
  <si>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</si>
  <si>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</si>
  <si>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</si>
  <si>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</si>
  <si>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</si>
  <si>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</si>
  <si>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</si>
  <si>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</si>
  <si>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</si>
  <si>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</si>
  <si>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</si>
  <si>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</si>
  <si>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</si>
  <si>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</si>
  <si>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</si>
  <si>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</si>
  <si>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</si>
  <si>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</si>
  <si>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</si>
  <si>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</si>
  <si>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</si>
  <si>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</si>
  <si>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</si>
  <si>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</si>
  <si>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</si>
  <si>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</si>
  <si>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</si>
  <si>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</si>
  <si>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</si>
  <si>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</si>
  <si>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</si>
  <si>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</si>
  <si>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</si>
  <si>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</si>
  <si>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</si>
  <si>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</si>
  <si>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</si>
  <si>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</si>
  <si>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</si>
  <si>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</si>
  <si>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</si>
  <si>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</si>
  <si>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</si>
  <si>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</si>
  <si>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</si>
  <si>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</si>
  <si>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</si>
  <si>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</si>
  <si>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</si>
  <si>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</si>
  <si>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</si>
  <si>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</si>
  <si>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</si>
  <si>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</si>
  <si>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</si>
  <si>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</si>
  <si>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</si>
  <si>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</si>
  <si>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</si>
  <si>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</si>
  <si>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</si>
  <si>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</si>
  <si>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</si>
  <si>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</si>
  <si>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</si>
  <si>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</si>
  <si>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</si>
  <si>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</si>
  <si>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</si>
  <si>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</si>
  <si>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</si>
  <si>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</si>
  <si>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</si>
  <si>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</si>
  <si>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</si>
  <si>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</si>
  <si>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</si>
  <si>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</si>
  <si>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</si>
  <si>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</si>
  <si>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</si>
  <si>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</si>
  <si>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</si>
  <si>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</si>
  <si>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</si>
  <si>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</si>
  <si>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</si>
  <si>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</si>
  <si>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</si>
  <si>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</si>
  <si>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</si>
  <si>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</si>
  <si>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</si>
  <si>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</si>
  <si>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</si>
  <si>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</si>
  <si>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</si>
  <si>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</si>
  <si>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</si>
  <si>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</si>
  <si>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</si>
  <si>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</si>
  <si>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</si>
  <si>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</si>
  <si>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</si>
  <si>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</si>
  <si>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</si>
  <si>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</si>
  <si>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</si>
  <si>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</si>
  <si>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</si>
  <si>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</si>
  <si>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</si>
  <si>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</si>
  <si>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</si>
  <si>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</si>
  <si>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</si>
  <si>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</si>
  <si>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</si>
  <si>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</si>
  <si>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</si>
  <si>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</si>
  <si>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</si>
  <si>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</si>
  <si>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</si>
  <si>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</si>
  <si>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</si>
  <si>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</si>
  <si>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</si>
  <si>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</si>
  <si>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</si>
  <si>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</si>
  <si>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</si>
  <si>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</si>
  <si>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</si>
  <si>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</si>
  <si>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</si>
  <si>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</si>
  <si>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</si>
  <si>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</si>
  <si>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</si>
  <si>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</si>
  <si>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</si>
  <si>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</si>
  <si>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</si>
  <si>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</si>
  <si>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</si>
  <si>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</si>
  <si>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</si>
  <si>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</si>
  <si>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</si>
  <si>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</si>
  <si>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</si>
  <si>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</si>
  <si>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</si>
  <si>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</si>
  <si>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</si>
  <si>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</si>
  <si>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</si>
  <si>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</si>
  <si>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</si>
  <si>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</si>
  <si>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</si>
  <si>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</si>
  <si>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</si>
  <si>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</si>
  <si>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</si>
  <si>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</si>
  <si>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</si>
  <si>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</si>
  <si>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</si>
  <si>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</si>
  <si>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</si>
  <si>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</si>
  <si>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</si>
  <si>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</si>
  <si>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</si>
  <si>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</si>
  <si>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</si>
  <si>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</si>
  <si>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</si>
  <si>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</si>
  <si>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</si>
  <si>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</si>
  <si>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</si>
  <si>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</si>
  <si>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</si>
  <si>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</si>
  <si>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</si>
  <si>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</si>
  <si>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</si>
  <si>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</si>
  <si>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</si>
  <si>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</si>
  <si>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</si>
  <si>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</si>
  <si>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</si>
  <si>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</si>
  <si>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</si>
  <si>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</si>
  <si>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</si>
  <si>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</si>
  <si>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</si>
  <si>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</si>
  <si>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</si>
  <si>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</si>
  <si>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</si>
  <si>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</si>
  <si>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</si>
  <si>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</si>
  <si>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</si>
  <si>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</si>
  <si>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</si>
  <si>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</si>
  <si>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</si>
  <si>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</si>
  <si>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</si>
  <si>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</si>
  <si>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</si>
  <si>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</si>
  <si>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</si>
  <si>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</si>
  <si>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</si>
  <si>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</si>
  <si>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</si>
  <si>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</si>
  <si>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</si>
  <si>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</si>
  <si>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</si>
  <si>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</si>
  <si>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</si>
  <si>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</si>
  <si>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</si>
  <si>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</si>
  <si>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</si>
  <si>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</si>
  <si>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</si>
  <si>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</si>
  <si>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</si>
  <si>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</si>
  <si>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</si>
  <si>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</si>
  <si>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</si>
  <si>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</si>
  <si>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</si>
  <si>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</si>
  <si>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</si>
  <si>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</si>
  <si>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</si>
  <si>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</si>
  <si>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</si>
  <si>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</si>
  <si>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</si>
  <si>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</si>
  <si>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</si>
  <si>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</si>
  <si>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</si>
  <si>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</si>
  <si>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</si>
  <si>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</si>
  <si>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</si>
  <si>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</si>
  <si>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</si>
  <si>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</si>
  <si>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</si>
  <si>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</si>
  <si>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</si>
  <si>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</si>
  <si>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</si>
  <si>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</si>
  <si>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</si>
  <si>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</si>
  <si>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</si>
  <si>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</si>
  <si>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</si>
  <si>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</si>
  <si>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</si>
  <si>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</si>
  <si>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</si>
  <si>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</si>
  <si>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</si>
  <si>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</si>
  <si>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</si>
  <si>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</si>
  <si>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</si>
  <si>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</si>
  <si>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</si>
  <si>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</si>
  <si>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</si>
  <si>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</si>
  <si>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</si>
  <si>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</si>
  <si>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</si>
  <si>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</si>
  <si>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</si>
  <si>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</si>
  <si>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</si>
  <si>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</si>
  <si>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</si>
  <si>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</si>
  <si>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</si>
  <si>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</si>
  <si>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</si>
  <si>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</si>
  <si>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</si>
  <si>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</si>
  <si>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</si>
  <si>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</si>
  <si>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</si>
  <si>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</si>
  <si>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</si>
  <si>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</si>
  <si>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</si>
  <si>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</si>
  <si>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</si>
  <si>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</si>
  <si>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</si>
  <si>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</si>
  <si>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</si>
  <si>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</si>
  <si>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</si>
  <si>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</si>
  <si>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</si>
  <si>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</si>
  <si>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</si>
  <si>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</si>
  <si>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</si>
  <si>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</si>
  <si>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</si>
  <si>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</si>
  <si>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</si>
  <si>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</si>
  <si>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</si>
  <si>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</si>
  <si>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</si>
  <si>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</si>
  <si>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</si>
  <si>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</si>
  <si>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</si>
  <si>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</si>
  <si>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</si>
  <si>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</si>
  <si>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</si>
  <si>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</si>
  <si>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</si>
  <si>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</si>
  <si>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</si>
  <si>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</si>
  <si>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</si>
  <si>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</si>
  <si>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</si>
  <si>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</si>
  <si>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</si>
  <si>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</si>
  <si>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</si>
  <si>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</si>
  <si>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</si>
  <si>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</si>
  <si>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</si>
  <si>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</si>
  <si>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</si>
  <si>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</si>
  <si>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</si>
  <si>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</si>
  <si>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</si>
  <si>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</si>
  <si>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</si>
  <si>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</si>
  <si>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</si>
  <si>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</si>
  <si>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</si>
  <si>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</si>
  <si>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</si>
  <si>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</si>
  <si>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</si>
  <si>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</si>
  <si>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</si>
  <si>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</si>
  <si>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</si>
  <si>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</si>
  <si>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</si>
  <si>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</si>
  <si>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</si>
  <si>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</si>
  <si>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</si>
  <si>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</si>
  <si>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</si>
  <si>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</si>
  <si>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</si>
  <si>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</si>
  <si>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</si>
  <si>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</si>
  <si>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</si>
  <si>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</si>
  <si>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</si>
  <si>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</si>
  <si>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</si>
  <si>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</si>
  <si>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</si>
  <si>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</si>
  <si>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</si>
  <si>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</si>
  <si>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</si>
  <si>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</si>
  <si>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</si>
  <si>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</si>
  <si>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</si>
  <si>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</si>
  <si>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</si>
  <si>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</si>
  <si>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</si>
  <si>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</si>
  <si>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</si>
  <si>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</si>
  <si>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</si>
  <si>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</si>
  <si>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</si>
  <si>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</si>
  <si>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</si>
  <si>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</si>
  <si>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</si>
  <si>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</si>
  <si>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</si>
  <si>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</si>
  <si>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</si>
  <si>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</si>
  <si>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</si>
  <si>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</si>
  <si>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</si>
  <si>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</si>
  <si>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</si>
  <si>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</si>
  <si>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</si>
  <si>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</si>
  <si>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</si>
  <si>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</si>
  <si>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</si>
  <si>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</si>
  <si>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</si>
  <si>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</si>
  <si>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</si>
  <si>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</si>
  <si>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</si>
  <si>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</si>
  <si>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</si>
  <si>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</si>
  <si>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</si>
  <si>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</si>
  <si>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</si>
  <si>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</si>
  <si>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</si>
  <si>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</si>
  <si>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</si>
  <si>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</si>
  <si>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</si>
  <si>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</si>
  <si>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</si>
  <si>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</si>
  <si>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</si>
  <si>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</si>
  <si>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</si>
  <si>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</si>
  <si>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</si>
  <si>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</si>
  <si>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</si>
  <si>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</si>
  <si>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</si>
  <si>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</si>
  <si>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</si>
  <si>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</si>
  <si>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</si>
  <si>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</si>
  <si>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</si>
  <si>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</si>
  <si>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</si>
  <si>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</si>
  <si>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</si>
  <si>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</si>
  <si>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</si>
  <si>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</si>
  <si>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</si>
  <si>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</si>
  <si>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</si>
  <si>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</si>
  <si>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</si>
  <si>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</si>
  <si>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</si>
  <si>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</si>
  <si>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</si>
  <si>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</si>
  <si>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</si>
  <si>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</si>
  <si>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</si>
  <si>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</si>
  <si>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</si>
  <si>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</si>
  <si>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</si>
  <si>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</si>
  <si>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</si>
  <si>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</si>
  <si>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</si>
  <si>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</si>
  <si>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</si>
  <si>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</si>
  <si>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</si>
  <si>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</si>
  <si>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</si>
  <si>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</si>
  <si>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</si>
  <si>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</si>
  <si>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</si>
  <si>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</si>
  <si>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</si>
  <si>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</si>
  <si>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</si>
  <si>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</si>
  <si>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</si>
  <si>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</si>
  <si>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</si>
  <si>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</si>
  <si>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</si>
  <si>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</si>
  <si>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</si>
  <si>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</si>
  <si>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</si>
  <si>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</si>
  <si>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</si>
  <si>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</si>
  <si>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</si>
  <si>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</si>
  <si>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</si>
  <si>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</si>
  <si>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</si>
  <si>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</si>
  <si>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</si>
  <si>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</si>
  <si>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</si>
  <si>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</si>
  <si>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</si>
  <si>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</si>
  <si>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</si>
  <si>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</si>
  <si>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</si>
  <si>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</si>
  <si>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</si>
  <si>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</si>
  <si>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</si>
  <si>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</si>
  <si>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</si>
  <si>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</si>
  <si>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</si>
  <si>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</si>
  <si>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</si>
  <si>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</si>
  <si>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</si>
  <si>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</si>
  <si>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</si>
  <si>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</si>
  <si>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</si>
  <si>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</si>
  <si>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</si>
  <si>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</si>
  <si>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</si>
  <si>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</si>
  <si>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</si>
  <si>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</si>
  <si>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</si>
  <si>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</si>
  <si>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</si>
  <si>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</si>
  <si>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</si>
  <si>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</si>
  <si>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</si>
  <si>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</si>
  <si>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</si>
  <si>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</si>
  <si>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</si>
  <si>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</si>
  <si>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</si>
  <si>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</si>
  <si>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</si>
  <si>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</si>
  <si>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</si>
  <si>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</si>
  <si>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</si>
  <si>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</si>
  <si>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</si>
  <si>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</si>
  <si>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</si>
  <si>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</si>
  <si>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</si>
  <si>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</si>
  <si>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</si>
  <si>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</si>
  <si>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</si>
  <si>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</si>
  <si>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</si>
  <si>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</si>
  <si>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</si>
  <si>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</si>
  <si>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</si>
  <si>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</si>
  <si>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</si>
  <si>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</si>
  <si>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</si>
  <si>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</si>
  <si>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</si>
  <si>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</si>
  <si>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</si>
  <si>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</si>
  <si>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</si>
  <si>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</si>
  <si>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</si>
  <si>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</si>
  <si>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</si>
  <si>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</si>
  <si>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</si>
  <si>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</si>
  <si>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</si>
  <si>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</si>
  <si>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</si>
  <si>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</si>
  <si>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</si>
  <si>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</si>
  <si>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</si>
  <si>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</si>
  <si>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</si>
  <si>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</si>
  <si>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</si>
  <si>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</si>
  <si>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</si>
  <si>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</si>
  <si>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</si>
  <si>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</si>
  <si>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</si>
  <si>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</si>
  <si>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</si>
  <si>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</si>
  <si>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</si>
  <si>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</si>
  <si>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</si>
  <si>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</si>
  <si>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</si>
  <si>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</si>
  <si>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</si>
  <si>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</si>
  <si>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</si>
  <si>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</si>
  <si>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</si>
  <si>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</si>
  <si>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</si>
  <si>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</si>
  <si>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</si>
  <si>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</si>
  <si>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</si>
  <si>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</si>
  <si>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</si>
  <si>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</si>
  <si>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</si>
  <si>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</si>
  <si>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</si>
  <si>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</si>
  <si>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</si>
  <si>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</si>
  <si>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</si>
  <si>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</si>
  <si>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</si>
  <si>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</si>
  <si>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</si>
  <si>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</si>
  <si>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</si>
  <si>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</si>
  <si>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</si>
  <si>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</si>
  <si>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</si>
  <si>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</si>
  <si>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</si>
  <si>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</si>
  <si>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</si>
  <si>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</si>
  <si>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</si>
  <si>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</si>
  <si>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</si>
  <si>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</si>
  <si>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</si>
  <si>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</si>
  <si>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</si>
  <si>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</si>
  <si>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</si>
  <si>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</si>
  <si>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</si>
  <si>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</si>
  <si>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</si>
  <si>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</si>
  <si>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</si>
  <si>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</si>
  <si>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</si>
  <si>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</si>
  <si>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</si>
  <si>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</si>
  <si>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</si>
  <si>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</si>
  <si>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</si>
  <si>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</si>
  <si>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</si>
  <si>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</si>
  <si>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</si>
  <si>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</si>
  <si>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</si>
  <si>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</si>
  <si>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</si>
  <si>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</si>
  <si>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</si>
  <si>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</si>
  <si>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</si>
  <si>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</si>
  <si>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</si>
  <si>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</si>
  <si>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</si>
  <si>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</si>
  <si>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East</t>
  </si>
  <si>
    <t>South</t>
  </si>
  <si>
    <t>North</t>
  </si>
  <si>
    <t>West</t>
  </si>
  <si>
    <t>Bangalore</t>
  </si>
  <si>
    <t>Chennai</t>
  </si>
  <si>
    <t>Kolkata</t>
  </si>
  <si>
    <t>Mumbai</t>
  </si>
  <si>
    <t>Delhi</t>
  </si>
  <si>
    <t>Groceries</t>
  </si>
  <si>
    <t>Clothing</t>
  </si>
  <si>
    <t>Furniture</t>
  </si>
  <si>
    <t>Electronics</t>
  </si>
  <si>
    <t>Oil</t>
  </si>
  <si>
    <t>T-shirt</t>
  </si>
  <si>
    <t>Jeans</t>
  </si>
  <si>
    <t>Bed</t>
  </si>
  <si>
    <t>Headphones</t>
  </si>
  <si>
    <t>Shirt</t>
  </si>
  <si>
    <t>Table</t>
  </si>
  <si>
    <t>Mobile</t>
  </si>
  <si>
    <t>Chair</t>
  </si>
  <si>
    <t>Rice</t>
  </si>
  <si>
    <t>Wheat</t>
  </si>
  <si>
    <t>Laptop</t>
  </si>
  <si>
    <t>Sofa</t>
  </si>
  <si>
    <t>Tablet</t>
  </si>
  <si>
    <t>Jacket</t>
  </si>
  <si>
    <t>Milk</t>
  </si>
  <si>
    <t>Unknown</t>
  </si>
  <si>
    <t>Profit Margin</t>
  </si>
  <si>
    <t>Revenue</t>
  </si>
  <si>
    <t>Month column</t>
  </si>
  <si>
    <t>Year</t>
  </si>
  <si>
    <t>Cost price</t>
  </si>
  <si>
    <t>Actual Profit</t>
  </si>
  <si>
    <t>Discount</t>
  </si>
  <si>
    <t>Net Sales</t>
  </si>
  <si>
    <t>Order Size</t>
  </si>
  <si>
    <t>Regional type</t>
  </si>
  <si>
    <t>Customer value score</t>
  </si>
  <si>
    <t>Row Labels</t>
  </si>
  <si>
    <t>Grand Total</t>
  </si>
  <si>
    <t>Sum of Sales</t>
  </si>
  <si>
    <t>Sum of Profit</t>
  </si>
  <si>
    <t>Jan</t>
  </si>
  <si>
    <t>Feb</t>
  </si>
  <si>
    <t>Mar</t>
  </si>
  <si>
    <t>Apr</t>
  </si>
  <si>
    <t>May</t>
  </si>
  <si>
    <t>Jun</t>
  </si>
  <si>
    <t>Jul</t>
  </si>
  <si>
    <t>Aug</t>
  </si>
  <si>
    <t>Sep</t>
  </si>
  <si>
    <t>Oct</t>
  </si>
  <si>
    <t>Nov</t>
  </si>
  <si>
    <t>Dec</t>
  </si>
  <si>
    <t>Average of Profit Margin</t>
  </si>
  <si>
    <t>Column Labels</t>
  </si>
  <si>
    <t>Sum of Quantity</t>
  </si>
  <si>
    <t>Sum of Profit Margin</t>
  </si>
  <si>
    <t>Sum of Cost price</t>
  </si>
  <si>
    <t xml:space="preserve">  </t>
  </si>
  <si>
    <t>Unique identifier for each customer order.</t>
  </si>
  <si>
    <t>The date on which the order was placed.</t>
  </si>
  <si>
    <t>The geographical region where the order was made (North, South, East, West).</t>
  </si>
  <si>
    <t>The specific city of the customer placing the order.</t>
  </si>
  <si>
    <t>The category to which the product belongs (e.g., Electronics, Clothing).</t>
  </si>
  <si>
    <t>The specific name of the product purchased.</t>
  </si>
  <si>
    <t>The number of units purchased in a single order.</t>
  </si>
  <si>
    <t>The selling price per unit of the product.</t>
  </si>
  <si>
    <t>Total revenue generated from the order (Quantity × Price).</t>
  </si>
  <si>
    <t>The profit earned from the order.</t>
  </si>
  <si>
    <t>The percentage of profit earned relative to sales.</t>
  </si>
  <si>
    <t>Total income generated from the order (same or similar to sales depending on definition).</t>
  </si>
  <si>
    <t>The month extracted from the order date for time-based analysis.</t>
  </si>
  <si>
    <t>The year extracted from the order date.</t>
  </si>
  <si>
    <t>The cost incurred to produce or purchase the product.</t>
  </si>
  <si>
    <t>The real profit calculated after deducting total cost from sales.</t>
  </si>
  <si>
    <t>The percentage reduction applied to the original price.</t>
  </si>
  <si>
    <t>The final sales value after applying discounts.</t>
  </si>
  <si>
    <t>Classification of orders based on quantity (e.g., Small, Medium, Bulk).</t>
  </si>
  <si>
    <t>Categorization of regions based on performance or demand level.</t>
  </si>
  <si>
    <t>Month</t>
  </si>
  <si>
    <t>Cost Price</t>
  </si>
  <si>
    <t>Regional Type</t>
  </si>
  <si>
    <t>Customer Value Score</t>
  </si>
  <si>
    <t>Column Name</t>
  </si>
  <si>
    <t>Description</t>
  </si>
  <si>
    <t xml:space="preserve">Region </t>
  </si>
  <si>
    <t>Sum of Net Sales</t>
  </si>
  <si>
    <t>A classification indicating the value level of a customer based on their purchase amount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</si>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</sst>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sz val="18"/>
      <color theme="1"/>
      <name val="Arial"/>
      <family val="2"/>
    </font>
    <font>
      <b/>
      <sz val="14"/>
      <color theme="1"/>
      <name val="Arial"/>
      <family val="2"/>
    </font>
    <font>
      <sz val="16"/>
      <color theme="1"/>
      <name val="Arial"/>
      <family val="2"/>
    </font>
  </fonts>
  <fills count="5">
    <fill>
      <patternFill patternType="none"/>
    </fill>
    <fill>
      <patternFill patternType="gray125"/>
    </fill>
    <fill>
      <patternFill patternType="solid">
        <fgColor theme="6" tint="0.39997558519241921"/>
        <bgColor indexed="64"/>
      </patternFill>
    </fill>
    <fill>
      <patternFill patternType="solid">
        <fgColor theme="2" tint="-0.249977111117893"/>
        <bgColor indexed="64"/>
      </patternFill>
    </fill>
    <fill>
      <patternFill patternType="solid">
        <fgColor theme="5"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14" fontId="0" fillId="0" borderId="0" xfId="0" applyNumberFormat="1"/>
    <xf numFmtId="16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0" fillId="2" borderId="0" xfId="0" applyFill="1"/>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Font="1"/>
    <xf numFmtId="2" fontId="0" fillId="0" borderId="0" xfId="0" applyNumberFormat="1"/>
    <xf numFmtId="0" fontId="1" fillId="3" borderId="1" xfId="0" applyFont="1" applyFill="1" applyBorder="1" applyAlignment="1">
      <alignment horizontal="center" vertical="top"/>
    </xf>
    <xf numFmtId="2" fontId="0" fillId="3" borderId="0" xfId="0" applyNumberFormat="1" applyFill="1"/>
    <xf numFmtId="0" fontId="0" fillId="3" borderId="0" xfId="0" applyFill="1"/>
    <xf numFmtId="0" fontId="0" fillId="3" borderId="0" xfId="0" applyNumberFormat="1" applyFill="1"/>
    <xf numFmtId="0" fontId="0" fillId="4" borderId="0" xfId="0" applyFill="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37">
    <dxf>
      <alignment wrapText="1"/>
    </dxf>
    <dxf>
      <numFmt numFmtId="2" formatCode="0.00"/>
    </dxf>
    <dxf>
      <alignment wrapText="1"/>
    </dxf>
    <dxf>
      <alignment wrapText="1"/>
    </dxf>
    <dxf>
      <alignment horizontal="center"/>
    </dxf>
    <dxf>
      <alignment horizontal="center"/>
    </dxf>
    <dxf>
      <alignment horizontal="center"/>
    </dxf>
    <dxf>
      <alignment vertical="center"/>
    </dxf>
    <dxf>
      <alignment vertical="center"/>
    </dxf>
    <dxf>
      <alignment vertical="center"/>
    </dxf>
    <dxf>
      <alignment wrapText="1"/>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numFmt numFmtId="2" formatCode="0.00"/>
      <fill>
        <patternFill patternType="solid">
          <fgColor indexed="64"/>
          <bgColor theme="2" tint="-0.249977111117893"/>
        </patternFill>
      </fill>
    </dxf>
    <dxf>
      <numFmt numFmtId="164" formatCode="0.0"/>
    </dxf>
    <dxf>
      <numFmt numFmtId="1" formatCode="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0.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Table!PivotTable14</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8000284012145"/>
          <c:y val="0.12629278633305085"/>
          <c:w val="0.69502829978158109"/>
          <c:h val="0.71622387829814482"/>
        </c:manualLayout>
      </c:layout>
      <c:barChart>
        <c:barDir val="bar"/>
        <c:grouping val="clustered"/>
        <c:varyColors val="0"/>
        <c:ser>
          <c:idx val="0"/>
          <c:order val="0"/>
          <c:tx>
            <c:strRef>
              <c:f>'Pivot Table'!$C$43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Table'!$B$44:$B$54</c:f>
              <c:strCache>
                <c:ptCount val="10"/>
                <c:pt idx="0">
                  <c:v>Laptop</c:v>
                </c:pt>
                <c:pt idx="1">
                  <c:v>T-shirt</c:v>
                </c:pt>
                <c:pt idx="2">
                  <c:v>Jacket</c:v>
                </c:pt>
                <c:pt idx="3">
                  <c:v>Rice</c:v>
                </c:pt>
                <c:pt idx="4">
                  <c:v>Oil</c:v>
                </c:pt>
                <c:pt idx="5">
                  <c:v>Table</c:v>
                </c:pt>
                <c:pt idx="6">
                  <c:v>Sofa</c:v>
                </c:pt>
                <c:pt idx="7">
                  <c:v>Headphones</c:v>
                </c:pt>
                <c:pt idx="8">
                  <c:v>Mobile</c:v>
                </c:pt>
                <c:pt idx="9">
                  <c:v>Milk</c:v>
                </c:pt>
              </c:strCache>
            </c:strRef>
          </c:cat>
          <c:val>
            <c:numRef>
              <c:f>'Pivot Table'!$C$44:$C$54</c:f>
              <c:numCache>
                <c:formatCode>General</c:formatCode>
                <c:ptCount val="10"/>
                <c:pt idx="0">
                  <c:v>1154879</c:v>
                </c:pt>
                <c:pt idx="1">
                  <c:v>1132656</c:v>
                </c:pt>
                <c:pt idx="2">
                  <c:v>1126317</c:v>
                </c:pt>
                <c:pt idx="3">
                  <c:v>1081958</c:v>
                </c:pt>
                <c:pt idx="4">
                  <c:v>1006399</c:v>
                </c:pt>
                <c:pt idx="5">
                  <c:v>1005005</c:v>
                </c:pt>
                <c:pt idx="6">
                  <c:v>999676</c:v>
                </c:pt>
                <c:pt idx="7">
                  <c:v>989415</c:v>
                </c:pt>
                <c:pt idx="8">
                  <c:v>969490</c:v>
                </c:pt>
                <c:pt idx="9">
                  <c:v>963182</c:v>
                </c:pt>
              </c:numCache>
            </c:numRef>
          </c:val>
          <c:extLst>
            <c:ext xmlns:c16="http://schemas.microsoft.com/office/drawing/2014/chart" uri="{C3380CC4-5D6E-409C-BE32-E72D297353CC}">
              <c16:uniqueId val="{00000000-5F74-40DD-AF09-165AEF1DD375}"/>
            </c:ext>
          </c:extLst>
        </c:ser>
        <c:dLbls>
          <c:showLegendKey val="0"/>
          <c:showVal val="0"/>
          <c:showCatName val="0"/>
          <c:showSerName val="0"/>
          <c:showPercent val="0"/>
          <c:showBubbleSize val="0"/>
        </c:dLbls>
        <c:gapWidth val="100"/>
        <c:axId val="630949023"/>
        <c:axId val="630972543"/>
      </c:barChart>
      <c:catAx>
        <c:axId val="63094902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0972543"/>
        <c:crosses val="autoZero"/>
        <c:auto val="1"/>
        <c:lblAlgn val="ctr"/>
        <c:lblOffset val="100"/>
        <c:noMultiLvlLbl val="0"/>
      </c:catAx>
      <c:valAx>
        <c:axId val="63097254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0949023"/>
        <c:crosses val="autoZero"/>
        <c:crossBetween val="between"/>
        <c:dispUnits>
          <c:builtInUnit val="millions"/>
          <c:dispUnitsLbl>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Table!PivotTable3</c:name>
    <c:fmtId val="4"/>
  </c:pivotSource>
  <c:chart>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Table'!$C$24</c:f>
              <c:strCache>
                <c:ptCount val="1"/>
                <c:pt idx="0">
                  <c:v>Sum of Sales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trendline>
            <c:spPr>
              <a:ln w="9525" cap="rnd">
                <a:solidFill>
                  <a:schemeClr val="accent1"/>
                </a:solidFill>
              </a:ln>
              <a:effectLst/>
            </c:spPr>
            <c:trendlineType val="linear"/>
            <c:dispRSqr val="0"/>
            <c:dispEq val="0"/>
          </c:trendline>
          <c:cat>
            <c:strRef>
              <c:f>'Pivot Table'!$B$25:$B$37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Table'!$C$25:$C$37</c:f>
              <c:numCache>
                <c:formatCode>General</c:formatCode>
                <c:ptCount val="12"/>
                <c:pt idx="0">
                  <c:v>1190565</c:v>
                </c:pt>
                <c:pt idx="1">
                  <c:v>956368</c:v>
                </c:pt>
                <c:pt idx="2">
                  <c:v>1225919</c:v>
                </c:pt>
                <c:pt idx="3">
                  <c:v>1425191</c:v>
                </c:pt>
                <c:pt idx="4">
                  <c:v>1531016</c:v>
                </c:pt>
                <c:pt idx="5">
                  <c:v>1252861</c:v>
                </c:pt>
                <c:pt idx="6">
                  <c:v>1362122</c:v>
                </c:pt>
                <c:pt idx="7">
                  <c:v>1793363</c:v>
                </c:pt>
                <c:pt idx="8">
                  <c:v>1121583</c:v>
                </c:pt>
                <c:pt idx="9">
                  <c:v>1378841</c:v>
                </c:pt>
                <c:pt idx="10">
                  <c:v>1385053</c:v>
                </c:pt>
                <c:pt idx="11">
                  <c:v>1362101</c:v>
                </c:pt>
              </c:numCache>
            </c:numRef>
          </c:val>
          <c:smooth val="1"/>
          <c:extLst>
            <c:ext xmlns:c16="http://schemas.microsoft.com/office/drawing/2014/chart" uri="{C3380CC4-5D6E-409C-BE32-E72D297353CC}">
              <c16:uniqueId val="{00000000-D9DC-414D-BEEF-0B311E83449E}"/>
            </c:ext>
          </c:extLst>
        </c:ser>
        <c:ser>
          <c:idx val="1"/>
          <c:order val="1"/>
          <c:tx>
            <c:strRef>
              <c:f>'Pivot Table'!$D$24</c:f>
              <c:strCache>
                <c:ptCount val="1"/>
                <c:pt idx="0">
                  <c:v>Sum of Profit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trendline>
            <c:spPr>
              <a:ln w="9525" cap="rnd">
                <a:solidFill>
                  <a:schemeClr val="accent2"/>
                </a:solidFill>
              </a:ln>
              <a:effectLst/>
            </c:spPr>
            <c:trendlineType val="linear"/>
            <c:dispRSqr val="0"/>
            <c:dispEq val="0"/>
          </c:trendline>
          <c:cat>
            <c:strRef>
              <c:f>'Pivot Table'!$B$25:$B$37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Table'!$D$25:$D$37</c:f>
              <c:numCache>
                <c:formatCode>General</c:formatCode>
                <c:ptCount val="12"/>
                <c:pt idx="0">
                  <c:v>185897.13000000012</c:v>
                </c:pt>
                <c:pt idx="1">
                  <c:v>155476.44</c:v>
                </c:pt>
                <c:pt idx="2">
                  <c:v>200259.82000000007</c:v>
                </c:pt>
                <c:pt idx="3">
                  <c:v>243989.94000000006</c:v>
                </c:pt>
                <c:pt idx="4">
                  <c:v>242874.80000000002</c:v>
                </c:pt>
                <c:pt idx="5">
                  <c:v>196509.88999999998</c:v>
                </c:pt>
                <c:pt idx="6">
                  <c:v>217918.36999999997</c:v>
                </c:pt>
                <c:pt idx="7">
                  <c:v>309926.06000000017</c:v>
                </c:pt>
                <c:pt idx="8">
                  <c:v>188388.48000000004</c:v>
                </c:pt>
                <c:pt idx="9">
                  <c:v>222812.22000000006</c:v>
                </c:pt>
                <c:pt idx="10">
                  <c:v>230570.68000000008</c:v>
                </c:pt>
                <c:pt idx="11">
                  <c:v>221861.14999999994</c:v>
                </c:pt>
              </c:numCache>
            </c:numRef>
          </c:val>
          <c:smooth val="1"/>
          <c:extLst>
            <c:ext xmlns:c16="http://schemas.microsoft.com/office/drawing/2014/chart" uri="{C3380CC4-5D6E-409C-BE32-E72D297353CC}">
              <c16:uniqueId val="{00000001-D9DC-414D-BEEF-0B311E83449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9425471"/>
        <c:axId val="159432191"/>
      </c:lineChart>
      <c:catAx>
        <c:axId val="1594254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9432191"/>
        <c:crosses val="autoZero"/>
        <c:auto val="1"/>
        <c:lblAlgn val="ctr"/>
        <c:lblOffset val="100"/>
        <c:noMultiLvlLbl val="0"/>
      </c:catAx>
      <c:valAx>
        <c:axId val="159432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942547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69588757655293088"/>
          <c:y val="0.34715259550889466"/>
          <c:w val="0.30411242344706912"/>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Table!PivotTable2</c:name>
    <c:fmtId val="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14626334208223973"/>
          <c:y val="0.3255070720326626"/>
          <c:w val="0.40469575678040243"/>
          <c:h val="0.6744929279673374"/>
        </c:manualLayout>
      </c:layout>
      <c:pieChart>
        <c:varyColors val="1"/>
        <c:ser>
          <c:idx val="0"/>
          <c:order val="0"/>
          <c:tx>
            <c:strRef>
              <c:f>'Pivot Table'!$C$14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AACE-48CA-BEB9-C4E1EEA662A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ACE-48CA-BEB9-C4E1EEA662A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AACE-48CA-BEB9-C4E1EEA662A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AACE-48CA-BEB9-C4E1EEA662A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Table'!$B$15:$B$19</c:f>
              <c:strCache>
                <c:ptCount val="4"/>
                <c:pt idx="0">
                  <c:v>Clothing</c:v>
                </c:pt>
                <c:pt idx="1">
                  <c:v>Groceries</c:v>
                </c:pt>
                <c:pt idx="2">
                  <c:v>Electronics</c:v>
                </c:pt>
                <c:pt idx="3">
                  <c:v>Furniture</c:v>
                </c:pt>
              </c:strCache>
            </c:strRef>
          </c:cat>
          <c:val>
            <c:numRef>
              <c:f>'Pivot Table'!$C$15:$C$19</c:f>
              <c:numCache>
                <c:formatCode>General</c:formatCode>
                <c:ptCount val="4"/>
                <c:pt idx="0">
                  <c:v>4055892</c:v>
                </c:pt>
                <c:pt idx="1">
                  <c:v>4043918</c:v>
                </c:pt>
                <c:pt idx="2">
                  <c:v>3969265</c:v>
                </c:pt>
                <c:pt idx="3">
                  <c:v>3915908</c:v>
                </c:pt>
              </c:numCache>
            </c:numRef>
          </c:val>
          <c:extLst>
            <c:ext xmlns:c16="http://schemas.microsoft.com/office/drawing/2014/chart" uri="{C3380CC4-5D6E-409C-BE32-E72D297353CC}">
              <c16:uniqueId val="{00000000-EDF7-4B2B-97D7-3388885F097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Table!PivotTable1</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Table'!$B$5:$B$9</c:f>
              <c:strCache>
                <c:ptCount val="4"/>
                <c:pt idx="0">
                  <c:v>North</c:v>
                </c:pt>
                <c:pt idx="1">
                  <c:v>South</c:v>
                </c:pt>
                <c:pt idx="2">
                  <c:v>West</c:v>
                </c:pt>
                <c:pt idx="3">
                  <c:v>East</c:v>
                </c:pt>
              </c:strCache>
            </c:strRef>
          </c:cat>
          <c:val>
            <c:numRef>
              <c:f>'Pivot Table'!$C$5:$C$9</c:f>
              <c:numCache>
                <c:formatCode>General</c:formatCode>
                <c:ptCount val="4"/>
                <c:pt idx="0">
                  <c:v>4330238</c:v>
                </c:pt>
                <c:pt idx="1">
                  <c:v>4230334</c:v>
                </c:pt>
                <c:pt idx="2">
                  <c:v>3806723</c:v>
                </c:pt>
                <c:pt idx="3">
                  <c:v>3617688</c:v>
                </c:pt>
              </c:numCache>
            </c:numRef>
          </c:val>
          <c:extLst>
            <c:ext xmlns:c16="http://schemas.microsoft.com/office/drawing/2014/chart" uri="{C3380CC4-5D6E-409C-BE32-E72D297353CC}">
              <c16:uniqueId val="{00000000-93D5-4E1E-81C4-3FBC65EADD90}"/>
            </c:ext>
          </c:extLst>
        </c:ser>
        <c:ser>
          <c:idx val="1"/>
          <c:order val="1"/>
          <c:tx>
            <c:strRef>
              <c:f>'Pivot Table'!$D$4</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Table'!$B$5:$B$9</c:f>
              <c:strCache>
                <c:ptCount val="4"/>
                <c:pt idx="0">
                  <c:v>North</c:v>
                </c:pt>
                <c:pt idx="1">
                  <c:v>South</c:v>
                </c:pt>
                <c:pt idx="2">
                  <c:v>West</c:v>
                </c:pt>
                <c:pt idx="3">
                  <c:v>East</c:v>
                </c:pt>
              </c:strCache>
            </c:strRef>
          </c:cat>
          <c:val>
            <c:numRef>
              <c:f>'Pivot Table'!$D$5:$D$9</c:f>
              <c:numCache>
                <c:formatCode>General</c:formatCode>
                <c:ptCount val="4"/>
                <c:pt idx="0">
                  <c:v>722508.7299999994</c:v>
                </c:pt>
                <c:pt idx="1">
                  <c:v>696873.9600000002</c:v>
                </c:pt>
                <c:pt idx="2">
                  <c:v>619492.32000000007</c:v>
                </c:pt>
                <c:pt idx="3">
                  <c:v>577609.97000000032</c:v>
                </c:pt>
              </c:numCache>
            </c:numRef>
          </c:val>
          <c:extLst>
            <c:ext xmlns:c16="http://schemas.microsoft.com/office/drawing/2014/chart" uri="{C3380CC4-5D6E-409C-BE32-E72D297353CC}">
              <c16:uniqueId val="{00000001-93D5-4E1E-81C4-3FBC65EADD90}"/>
            </c:ext>
          </c:extLst>
        </c:ser>
        <c:dLbls>
          <c:dLblPos val="inEnd"/>
          <c:showLegendKey val="0"/>
          <c:showVal val="1"/>
          <c:showCatName val="0"/>
          <c:showSerName val="0"/>
          <c:showPercent val="0"/>
          <c:showBubbleSize val="0"/>
        </c:dLbls>
        <c:gapWidth val="100"/>
        <c:overlap val="-24"/>
        <c:axId val="933243023"/>
        <c:axId val="933253583"/>
      </c:barChart>
      <c:catAx>
        <c:axId val="933243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53583"/>
        <c:crosses val="autoZero"/>
        <c:auto val="1"/>
        <c:lblAlgn val="ctr"/>
        <c:lblOffset val="100"/>
        <c:noMultiLvlLbl val="0"/>
      </c:catAx>
      <c:valAx>
        <c:axId val="93325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4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0590944035694"/>
          <c:y val="7.1074981425190586E-2"/>
          <c:w val="0.64099570072089473"/>
          <c:h val="0.77295916100307849"/>
        </c:manualLayout>
      </c:layout>
      <c:barChart>
        <c:barDir val="col"/>
        <c:grouping val="clustered"/>
        <c:varyColors val="0"/>
        <c:ser>
          <c:idx val="0"/>
          <c:order val="0"/>
          <c:tx>
            <c:strRef>
              <c:f>'Pivot Table'!$C$119</c:f>
              <c:strCache>
                <c:ptCount val="1"/>
                <c:pt idx="0">
                  <c:v>Total</c:v>
                </c:pt>
              </c:strCache>
            </c:strRef>
          </c:tx>
          <c:spPr>
            <a:solidFill>
              <a:schemeClr val="accent1"/>
            </a:solidFill>
            <a:ln>
              <a:noFill/>
            </a:ln>
            <a:effectLst/>
          </c:spPr>
          <c:invertIfNegative val="0"/>
          <c:cat>
            <c:strRef>
              <c:f>'Pivot Table'!$B$120:$B$124</c:f>
              <c:strCache>
                <c:ptCount val="4"/>
                <c:pt idx="0">
                  <c:v>Clothing</c:v>
                </c:pt>
                <c:pt idx="1">
                  <c:v>Electronics</c:v>
                </c:pt>
                <c:pt idx="2">
                  <c:v>Furniture</c:v>
                </c:pt>
                <c:pt idx="3">
                  <c:v>Groceries</c:v>
                </c:pt>
              </c:strCache>
            </c:strRef>
          </c:cat>
          <c:val>
            <c:numRef>
              <c:f>'Pivot Table'!$C$120:$C$124</c:f>
              <c:numCache>
                <c:formatCode>General</c:formatCode>
                <c:ptCount val="4"/>
                <c:pt idx="0">
                  <c:v>669591.04000000039</c:v>
                </c:pt>
                <c:pt idx="1">
                  <c:v>629691.32999999973</c:v>
                </c:pt>
                <c:pt idx="2">
                  <c:v>649842.47999999952</c:v>
                </c:pt>
                <c:pt idx="3">
                  <c:v>667360.13</c:v>
                </c:pt>
              </c:numCache>
            </c:numRef>
          </c:val>
          <c:extLst>
            <c:ext xmlns:c16="http://schemas.microsoft.com/office/drawing/2014/chart" uri="{C3380CC4-5D6E-409C-BE32-E72D297353CC}">
              <c16:uniqueId val="{00000000-8277-4DE1-8017-844045E99529}"/>
            </c:ext>
          </c:extLst>
        </c:ser>
        <c:dLbls>
          <c:showLegendKey val="0"/>
          <c:showVal val="0"/>
          <c:showCatName val="0"/>
          <c:showSerName val="0"/>
          <c:showPercent val="0"/>
          <c:showBubbleSize val="0"/>
        </c:dLbls>
        <c:gapWidth val="219"/>
        <c:overlap val="-27"/>
        <c:axId val="1958317391"/>
        <c:axId val="1958314991"/>
      </c:barChart>
      <c:catAx>
        <c:axId val="1958317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14991"/>
        <c:crosses val="autoZero"/>
        <c:auto val="1"/>
        <c:lblAlgn val="ctr"/>
        <c:lblOffset val="100"/>
        <c:noMultiLvlLbl val="0"/>
      </c:catAx>
      <c:valAx>
        <c:axId val="19583149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1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9.8485247811384957E-2"/>
          <c:y val="0.11075737886523968"/>
          <c:w val="0.50741574194149008"/>
          <c:h val="0.80220001977752586"/>
        </c:manualLayout>
      </c:layout>
      <c:pieChart>
        <c:varyColors val="1"/>
        <c:ser>
          <c:idx val="0"/>
          <c:order val="0"/>
          <c:tx>
            <c:strRef>
              <c:f>'Pivot Table'!$C$107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0F-442B-AB54-A3CA1F7C4F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0F-442B-AB54-A3CA1F7C4F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0F-442B-AB54-A3CA1F7C4F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0F-442B-AB54-A3CA1F7C4F83}"/>
              </c:ext>
            </c:extLst>
          </c:dPt>
          <c:cat>
            <c:strRef>
              <c:f>'Pivot Table'!$B$108:$B$112</c:f>
              <c:strCache>
                <c:ptCount val="4"/>
                <c:pt idx="0">
                  <c:v>North</c:v>
                </c:pt>
                <c:pt idx="1">
                  <c:v>South</c:v>
                </c:pt>
                <c:pt idx="2">
                  <c:v>West</c:v>
                </c:pt>
                <c:pt idx="3">
                  <c:v>East</c:v>
                </c:pt>
              </c:strCache>
            </c:strRef>
          </c:cat>
          <c:val>
            <c:numRef>
              <c:f>'Pivot Table'!$C$108:$C$112</c:f>
              <c:numCache>
                <c:formatCode>General</c:formatCode>
                <c:ptCount val="4"/>
                <c:pt idx="0">
                  <c:v>4330238</c:v>
                </c:pt>
                <c:pt idx="1">
                  <c:v>4230334</c:v>
                </c:pt>
                <c:pt idx="2">
                  <c:v>3806723</c:v>
                </c:pt>
                <c:pt idx="3">
                  <c:v>3617688</c:v>
                </c:pt>
              </c:numCache>
            </c:numRef>
          </c:val>
          <c:extLst>
            <c:ext xmlns:c16="http://schemas.microsoft.com/office/drawing/2014/chart" uri="{C3380CC4-5D6E-409C-BE32-E72D297353CC}">
              <c16:uniqueId val="{00000000-9E13-4D11-8BFA-586CFB9070D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905378013008822"/>
          <c:y val="0.12214117013961552"/>
          <c:w val="0.28323537562013013"/>
          <c:h val="0.784924006006848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Table!PivotTable1</c:name>
    <c:fmtId val="9"/>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08575757204822"/>
          <c:y val="0.1122282171383075"/>
          <c:w val="0.76243623002709215"/>
          <c:h val="0.76240651177761021"/>
        </c:manualLayout>
      </c:layout>
      <c:barChart>
        <c:barDir val="col"/>
        <c:grouping val="clustered"/>
        <c:varyColors val="0"/>
        <c:ser>
          <c:idx val="0"/>
          <c:order val="0"/>
          <c:tx>
            <c:strRef>
              <c:f>'Pivot Table'!$C$4</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Table'!$B$5:$B$9</c:f>
              <c:strCache>
                <c:ptCount val="4"/>
                <c:pt idx="0">
                  <c:v>North</c:v>
                </c:pt>
                <c:pt idx="1">
                  <c:v>South</c:v>
                </c:pt>
                <c:pt idx="2">
                  <c:v>West</c:v>
                </c:pt>
                <c:pt idx="3">
                  <c:v>East</c:v>
                </c:pt>
              </c:strCache>
            </c:strRef>
          </c:cat>
          <c:val>
            <c:numRef>
              <c:f>'Pivot Table'!$C$5:$C$9</c:f>
              <c:numCache>
                <c:formatCode>General</c:formatCode>
                <c:ptCount val="4"/>
                <c:pt idx="0">
                  <c:v>4330238</c:v>
                </c:pt>
                <c:pt idx="1">
                  <c:v>4230334</c:v>
                </c:pt>
                <c:pt idx="2">
                  <c:v>3806723</c:v>
                </c:pt>
                <c:pt idx="3">
                  <c:v>3617688</c:v>
                </c:pt>
              </c:numCache>
            </c:numRef>
          </c:val>
          <c:extLst>
            <c:ext xmlns:c16="http://schemas.microsoft.com/office/drawing/2014/chart" uri="{C3380CC4-5D6E-409C-BE32-E72D297353CC}">
              <c16:uniqueId val="{00000000-C5D4-42E4-AB08-D9DA2F58609A}"/>
            </c:ext>
          </c:extLst>
        </c:ser>
        <c:ser>
          <c:idx val="1"/>
          <c:order val="1"/>
          <c:tx>
            <c:strRef>
              <c:f>'Pivot Table'!$D$4</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Table'!$B$5:$B$9</c:f>
              <c:strCache>
                <c:ptCount val="4"/>
                <c:pt idx="0">
                  <c:v>North</c:v>
                </c:pt>
                <c:pt idx="1">
                  <c:v>South</c:v>
                </c:pt>
                <c:pt idx="2">
                  <c:v>West</c:v>
                </c:pt>
                <c:pt idx="3">
                  <c:v>East</c:v>
                </c:pt>
              </c:strCache>
            </c:strRef>
          </c:cat>
          <c:val>
            <c:numRef>
              <c:f>'Pivot Table'!$D$5:$D$9</c:f>
              <c:numCache>
                <c:formatCode>General</c:formatCode>
                <c:ptCount val="4"/>
                <c:pt idx="0">
                  <c:v>722508.7299999994</c:v>
                </c:pt>
                <c:pt idx="1">
                  <c:v>696873.9600000002</c:v>
                </c:pt>
                <c:pt idx="2">
                  <c:v>619492.32000000007</c:v>
                </c:pt>
                <c:pt idx="3">
                  <c:v>577609.97000000032</c:v>
                </c:pt>
              </c:numCache>
            </c:numRef>
          </c:val>
          <c:extLst>
            <c:ext xmlns:c16="http://schemas.microsoft.com/office/drawing/2014/chart" uri="{C3380CC4-5D6E-409C-BE32-E72D297353CC}">
              <c16:uniqueId val="{00000001-C5D4-42E4-AB08-D9DA2F58609A}"/>
            </c:ext>
          </c:extLst>
        </c:ser>
        <c:dLbls>
          <c:showLegendKey val="0"/>
          <c:showVal val="0"/>
          <c:showCatName val="0"/>
          <c:showSerName val="0"/>
          <c:showPercent val="0"/>
          <c:showBubbleSize val="0"/>
        </c:dLbls>
        <c:gapWidth val="100"/>
        <c:overlap val="-24"/>
        <c:axId val="933243023"/>
        <c:axId val="933253583"/>
      </c:barChart>
      <c:catAx>
        <c:axId val="933243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53583"/>
        <c:crosses val="autoZero"/>
        <c:auto val="1"/>
        <c:lblAlgn val="ctr"/>
        <c:lblOffset val="100"/>
        <c:noMultiLvlLbl val="0"/>
      </c:catAx>
      <c:valAx>
        <c:axId val="93325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43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Table!PivotTable2</c:name>
    <c:fmtId val="9"/>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9.7853645007285314E-2"/>
          <c:y val="9.0257064107739787E-2"/>
          <c:w val="0.49183719238880885"/>
          <c:h val="0.85668383138112525"/>
        </c:manualLayout>
      </c:layout>
      <c:pieChart>
        <c:varyColors val="1"/>
        <c:ser>
          <c:idx val="0"/>
          <c:order val="0"/>
          <c:tx>
            <c:strRef>
              <c:f>'Pivot Table'!$C$14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4A8-4868-BBB8-051E945AA7A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4A8-4868-BBB8-051E945AA7A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4A8-4868-BBB8-051E945AA7A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B4A8-4868-BBB8-051E945AA7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Table'!$B$15:$B$19</c:f>
              <c:strCache>
                <c:ptCount val="4"/>
                <c:pt idx="0">
                  <c:v>Clothing</c:v>
                </c:pt>
                <c:pt idx="1">
                  <c:v>Groceries</c:v>
                </c:pt>
                <c:pt idx="2">
                  <c:v>Electronics</c:v>
                </c:pt>
                <c:pt idx="3">
                  <c:v>Furniture</c:v>
                </c:pt>
              </c:strCache>
            </c:strRef>
          </c:cat>
          <c:val>
            <c:numRef>
              <c:f>'Pivot Table'!$C$15:$C$19</c:f>
              <c:numCache>
                <c:formatCode>General</c:formatCode>
                <c:ptCount val="4"/>
                <c:pt idx="0">
                  <c:v>4055892</c:v>
                </c:pt>
                <c:pt idx="1">
                  <c:v>4043918</c:v>
                </c:pt>
                <c:pt idx="2">
                  <c:v>3969265</c:v>
                </c:pt>
                <c:pt idx="3">
                  <c:v>3915908</c:v>
                </c:pt>
              </c:numCache>
            </c:numRef>
          </c:val>
          <c:extLst>
            <c:ext xmlns:c16="http://schemas.microsoft.com/office/drawing/2014/chart" uri="{C3380CC4-5D6E-409C-BE32-E72D297353CC}">
              <c16:uniqueId val="{00000008-B4A8-4868-BBB8-051E945AA7A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53465229593815"/>
          <c:y val="0.12653531255173373"/>
          <c:w val="0.2634770044906905"/>
          <c:h val="0.765372003798891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Table!PivotTable14</c:name>
    <c:fmtId val="7"/>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45290885926513"/>
          <c:y val="7.6945903062716037E-2"/>
          <c:w val="0.74340421977248683"/>
          <c:h val="0.79540033763915174"/>
        </c:manualLayout>
      </c:layout>
      <c:barChart>
        <c:barDir val="bar"/>
        <c:grouping val="clustered"/>
        <c:varyColors val="0"/>
        <c:ser>
          <c:idx val="0"/>
          <c:order val="0"/>
          <c:tx>
            <c:strRef>
              <c:f>'Pivot Table'!$C$43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Table'!$B$44:$B$54</c:f>
              <c:strCache>
                <c:ptCount val="10"/>
                <c:pt idx="0">
                  <c:v>Laptop</c:v>
                </c:pt>
                <c:pt idx="1">
                  <c:v>T-shirt</c:v>
                </c:pt>
                <c:pt idx="2">
                  <c:v>Jacket</c:v>
                </c:pt>
                <c:pt idx="3">
                  <c:v>Rice</c:v>
                </c:pt>
                <c:pt idx="4">
                  <c:v>Oil</c:v>
                </c:pt>
                <c:pt idx="5">
                  <c:v>Table</c:v>
                </c:pt>
                <c:pt idx="6">
                  <c:v>Sofa</c:v>
                </c:pt>
                <c:pt idx="7">
                  <c:v>Headphones</c:v>
                </c:pt>
                <c:pt idx="8">
                  <c:v>Mobile</c:v>
                </c:pt>
                <c:pt idx="9">
                  <c:v>Milk</c:v>
                </c:pt>
              </c:strCache>
            </c:strRef>
          </c:cat>
          <c:val>
            <c:numRef>
              <c:f>'Pivot Table'!$C$44:$C$54</c:f>
              <c:numCache>
                <c:formatCode>General</c:formatCode>
                <c:ptCount val="10"/>
                <c:pt idx="0">
                  <c:v>1154879</c:v>
                </c:pt>
                <c:pt idx="1">
                  <c:v>1132656</c:v>
                </c:pt>
                <c:pt idx="2">
                  <c:v>1126317</c:v>
                </c:pt>
                <c:pt idx="3">
                  <c:v>1081958</c:v>
                </c:pt>
                <c:pt idx="4">
                  <c:v>1006399</c:v>
                </c:pt>
                <c:pt idx="5">
                  <c:v>1005005</c:v>
                </c:pt>
                <c:pt idx="6">
                  <c:v>999676</c:v>
                </c:pt>
                <c:pt idx="7">
                  <c:v>989415</c:v>
                </c:pt>
                <c:pt idx="8">
                  <c:v>969490</c:v>
                </c:pt>
                <c:pt idx="9">
                  <c:v>963182</c:v>
                </c:pt>
              </c:numCache>
            </c:numRef>
          </c:val>
          <c:extLst>
            <c:ext xmlns:c16="http://schemas.microsoft.com/office/drawing/2014/chart" uri="{C3380CC4-5D6E-409C-BE32-E72D297353CC}">
              <c16:uniqueId val="{00000000-DC24-4715-9B07-F020A37BEB1C}"/>
            </c:ext>
          </c:extLst>
        </c:ser>
        <c:dLbls>
          <c:showLegendKey val="0"/>
          <c:showVal val="0"/>
          <c:showCatName val="0"/>
          <c:showSerName val="0"/>
          <c:showPercent val="0"/>
          <c:showBubbleSize val="0"/>
        </c:dLbls>
        <c:gapWidth val="100"/>
        <c:axId val="630949023"/>
        <c:axId val="630972543"/>
      </c:barChart>
      <c:catAx>
        <c:axId val="63094902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0972543"/>
        <c:crosses val="autoZero"/>
        <c:auto val="1"/>
        <c:lblAlgn val="ctr"/>
        <c:lblOffset val="100"/>
        <c:noMultiLvlLbl val="0"/>
      </c:catAx>
      <c:valAx>
        <c:axId val="630972543"/>
        <c:scaling>
          <c:orientation val="minMax"/>
        </c:scaling>
        <c:delete val="0"/>
        <c:axPos val="b"/>
        <c:majorGridlines>
          <c:spPr>
            <a:ln w="9525" cap="flat" cmpd="sng" algn="ctr">
              <a:solidFill>
                <a:schemeClr val="tx2">
                  <a:lumMod val="15000"/>
                  <a:lumOff val="85000"/>
                </a:schemeClr>
              </a:solidFill>
              <a:round/>
            </a:ln>
            <a:effectLst/>
          </c:spPr>
        </c:majorGridlines>
        <c:title>
          <c:overlay val="0"/>
          <c:spPr>
            <a:noFill/>
            <a:ln>
              <a:solidFill>
                <a:schemeClr val="lt1">
                  <a:shade val="50000"/>
                </a:schemeClr>
              </a:solid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0949023"/>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Table!PivotTable3</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91390192881306"/>
          <c:y val="8.628321590245136E-2"/>
          <c:w val="0.78849875853876517"/>
          <c:h val="0.73983441566246799"/>
        </c:manualLayout>
      </c:layout>
      <c:lineChart>
        <c:grouping val="standard"/>
        <c:varyColors val="0"/>
        <c:ser>
          <c:idx val="0"/>
          <c:order val="0"/>
          <c:tx>
            <c:strRef>
              <c:f>'Pivot Table'!$C$24</c:f>
              <c:strCache>
                <c:ptCount val="1"/>
                <c:pt idx="0">
                  <c:v>Sum of Sales</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trendline>
            <c:spPr>
              <a:ln w="19050" cap="rnd">
                <a:solidFill>
                  <a:schemeClr val="accent1"/>
                </a:solidFill>
                <a:prstDash val="sysDash"/>
              </a:ln>
              <a:effectLst/>
            </c:spPr>
            <c:trendlineType val="linear"/>
            <c:dispRSqr val="0"/>
            <c:dispEq val="0"/>
          </c:trendline>
          <c:cat>
            <c:strRef>
              <c:f>'Pivot Table'!$B$25:$B$37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Table'!$C$25:$C$37</c:f>
              <c:numCache>
                <c:formatCode>General</c:formatCode>
                <c:ptCount val="12"/>
                <c:pt idx="0">
                  <c:v>1190565</c:v>
                </c:pt>
                <c:pt idx="1">
                  <c:v>956368</c:v>
                </c:pt>
                <c:pt idx="2">
                  <c:v>1225919</c:v>
                </c:pt>
                <c:pt idx="3">
                  <c:v>1425191</c:v>
                </c:pt>
                <c:pt idx="4">
                  <c:v>1531016</c:v>
                </c:pt>
                <c:pt idx="5">
                  <c:v>1252861</c:v>
                </c:pt>
                <c:pt idx="6">
                  <c:v>1362122</c:v>
                </c:pt>
                <c:pt idx="7">
                  <c:v>1793363</c:v>
                </c:pt>
                <c:pt idx="8">
                  <c:v>1121583</c:v>
                </c:pt>
                <c:pt idx="9">
                  <c:v>1378841</c:v>
                </c:pt>
                <c:pt idx="10">
                  <c:v>1385053</c:v>
                </c:pt>
                <c:pt idx="11">
                  <c:v>1362101</c:v>
                </c:pt>
              </c:numCache>
            </c:numRef>
          </c:val>
          <c:smooth val="1"/>
          <c:extLst>
            <c:ext xmlns:c16="http://schemas.microsoft.com/office/drawing/2014/chart" uri="{C3380CC4-5D6E-409C-BE32-E72D297353CC}">
              <c16:uniqueId val="{00000001-533D-492C-B19E-9B05F4C9555F}"/>
            </c:ext>
          </c:extLst>
        </c:ser>
        <c:ser>
          <c:idx val="1"/>
          <c:order val="1"/>
          <c:tx>
            <c:strRef>
              <c:f>'Pivot Table'!$D$24</c:f>
              <c:strCache>
                <c:ptCount val="1"/>
                <c:pt idx="0">
                  <c:v>Sum of Profit</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trendline>
            <c:spPr>
              <a:ln w="19050" cap="rnd">
                <a:solidFill>
                  <a:schemeClr val="accent2"/>
                </a:solidFill>
                <a:prstDash val="sysDash"/>
              </a:ln>
              <a:effectLst/>
            </c:spPr>
            <c:trendlineType val="linear"/>
            <c:dispRSqr val="0"/>
            <c:dispEq val="0"/>
          </c:trendline>
          <c:cat>
            <c:strRef>
              <c:f>'Pivot Table'!$B$25:$B$37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Table'!$D$25:$D$37</c:f>
              <c:numCache>
                <c:formatCode>General</c:formatCode>
                <c:ptCount val="12"/>
                <c:pt idx="0">
                  <c:v>185897.13000000012</c:v>
                </c:pt>
                <c:pt idx="1">
                  <c:v>155476.44</c:v>
                </c:pt>
                <c:pt idx="2">
                  <c:v>200259.82000000007</c:v>
                </c:pt>
                <c:pt idx="3">
                  <c:v>243989.94000000006</c:v>
                </c:pt>
                <c:pt idx="4">
                  <c:v>242874.80000000002</c:v>
                </c:pt>
                <c:pt idx="5">
                  <c:v>196509.88999999998</c:v>
                </c:pt>
                <c:pt idx="6">
                  <c:v>217918.36999999997</c:v>
                </c:pt>
                <c:pt idx="7">
                  <c:v>309926.06000000017</c:v>
                </c:pt>
                <c:pt idx="8">
                  <c:v>188388.48000000004</c:v>
                </c:pt>
                <c:pt idx="9">
                  <c:v>222812.22000000006</c:v>
                </c:pt>
                <c:pt idx="10">
                  <c:v>230570.68000000008</c:v>
                </c:pt>
                <c:pt idx="11">
                  <c:v>221861.14999999994</c:v>
                </c:pt>
              </c:numCache>
            </c:numRef>
          </c:val>
          <c:smooth val="1"/>
          <c:extLst>
            <c:ext xmlns:c16="http://schemas.microsoft.com/office/drawing/2014/chart" uri="{C3380CC4-5D6E-409C-BE32-E72D297353CC}">
              <c16:uniqueId val="{00000003-533D-492C-B19E-9B05F4C9555F}"/>
            </c:ext>
          </c:extLst>
        </c:ser>
        <c:dLbls>
          <c:showLegendKey val="0"/>
          <c:showVal val="0"/>
          <c:showCatName val="0"/>
          <c:showSerName val="0"/>
          <c:showPercent val="0"/>
          <c:showBubbleSize val="0"/>
        </c:dLbls>
        <c:marker val="1"/>
        <c:smooth val="0"/>
        <c:axId val="159425471"/>
        <c:axId val="159432191"/>
      </c:lineChart>
      <c:catAx>
        <c:axId val="15942547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432191"/>
        <c:crosses val="autoZero"/>
        <c:auto val="1"/>
        <c:lblAlgn val="ctr"/>
        <c:lblOffset val="100"/>
        <c:noMultiLvlLbl val="0"/>
      </c:catAx>
      <c:valAx>
        <c:axId val="1594321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425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0436394066045"/>
          <c:y val="3.6464810992280057E-2"/>
          <c:w val="0.64099570072089473"/>
          <c:h val="0.77295916100307849"/>
        </c:manualLayout>
      </c:layout>
      <c:barChart>
        <c:barDir val="col"/>
        <c:grouping val="clustered"/>
        <c:varyColors val="0"/>
        <c:ser>
          <c:idx val="0"/>
          <c:order val="0"/>
          <c:tx>
            <c:strRef>
              <c:f>'Pivot Table'!$C$119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Table'!$B$120:$B$124</c:f>
              <c:strCache>
                <c:ptCount val="4"/>
                <c:pt idx="0">
                  <c:v>Clothing</c:v>
                </c:pt>
                <c:pt idx="1">
                  <c:v>Electronics</c:v>
                </c:pt>
                <c:pt idx="2">
                  <c:v>Furniture</c:v>
                </c:pt>
                <c:pt idx="3">
                  <c:v>Groceries</c:v>
                </c:pt>
              </c:strCache>
            </c:strRef>
          </c:cat>
          <c:val>
            <c:numRef>
              <c:f>'Pivot Table'!$C$120:$C$124</c:f>
              <c:numCache>
                <c:formatCode>General</c:formatCode>
                <c:ptCount val="4"/>
                <c:pt idx="0">
                  <c:v>669591.04000000039</c:v>
                </c:pt>
                <c:pt idx="1">
                  <c:v>629691.32999999973</c:v>
                </c:pt>
                <c:pt idx="2">
                  <c:v>649842.47999999952</c:v>
                </c:pt>
                <c:pt idx="3">
                  <c:v>667360.13</c:v>
                </c:pt>
              </c:numCache>
            </c:numRef>
          </c:val>
          <c:extLst>
            <c:ext xmlns:c16="http://schemas.microsoft.com/office/drawing/2014/chart" uri="{C3380CC4-5D6E-409C-BE32-E72D297353CC}">
              <c16:uniqueId val="{00000000-9A06-4CEF-A201-6131DB3E2C2A}"/>
            </c:ext>
          </c:extLst>
        </c:ser>
        <c:dLbls>
          <c:showLegendKey val="0"/>
          <c:showVal val="0"/>
          <c:showCatName val="0"/>
          <c:showSerName val="0"/>
          <c:showPercent val="0"/>
          <c:showBubbleSize val="0"/>
        </c:dLbls>
        <c:gapWidth val="100"/>
        <c:overlap val="-24"/>
        <c:axId val="1958317391"/>
        <c:axId val="1958314991"/>
      </c:barChart>
      <c:catAx>
        <c:axId val="19583173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8314991"/>
        <c:crosses val="autoZero"/>
        <c:auto val="1"/>
        <c:lblAlgn val="ctr"/>
        <c:lblOffset val="100"/>
        <c:noMultiLvlLbl val="0"/>
      </c:catAx>
      <c:valAx>
        <c:axId val="19583149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831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[commerce_Sales_Dashboard.xlsx]Pivot Table!PivotTable7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13655753283015393"/>
          <c:y val="5.6118994967967975E-2"/>
          <c:w val="0.54932671198510674"/>
          <c:h val="0.88251737964971733"/>
        </c:manualLayout>
      </c:layout>
      <c:pieChart>
        <c:varyColors val="1"/>
        <c:ser>
          <c:idx val="0"/>
          <c:order val="0"/>
          <c:tx>
            <c:strRef>
              <c:f>'Pivot Table'!$C$107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80F5-4033-BB8F-076A81EDA73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80F5-4033-BB8F-076A81EDA73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80F5-4033-BB8F-076A81EDA73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80F5-4033-BB8F-076A81EDA7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Table'!$B$108:$B$112</c:f>
              <c:strCache>
                <c:ptCount val="4"/>
                <c:pt idx="0">
                  <c:v>North</c:v>
                </c:pt>
                <c:pt idx="1">
                  <c:v>South</c:v>
                </c:pt>
                <c:pt idx="2">
                  <c:v>West</c:v>
                </c:pt>
                <c:pt idx="3">
                  <c:v>East</c:v>
                </c:pt>
              </c:strCache>
            </c:strRef>
          </c:cat>
          <c:val>
            <c:numRef>
              <c:f>'Pivot Table'!$C$108:$C$112</c:f>
              <c:numCache>
                <c:formatCode>General</c:formatCode>
                <c:ptCount val="4"/>
                <c:pt idx="0">
                  <c:v>4330238</c:v>
                </c:pt>
                <c:pt idx="1">
                  <c:v>4230334</c:v>
                </c:pt>
                <c:pt idx="2">
                  <c:v>3806723</c:v>
                </c:pt>
                <c:pt idx="3">
                  <c:v>3617688</c:v>
                </c:pt>
              </c:numCache>
            </c:numRef>
          </c:val>
          <c:extLst>
            <c:ext xmlns:c16="http://schemas.microsoft.com/office/drawing/2014/chart" uri="{C3380CC4-5D6E-409C-BE32-E72D297353CC}">
              <c16:uniqueId val="{00000008-80F5-4033-BB8F-076A81EDA73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868680</xdr:colOff>
      <xdr:row>16</xdr:row>
      <xdr:rowOff>137160</xdr:rowOff>
    </xdr:from>
    <xdr:to>
      <xdr:col>14</xdr:col>
      <xdr:colOff>419100</xdr:colOff>
      <xdr:row>23</xdr:row>
      <xdr:rowOff>175260</xdr:rowOff>
    </xdr:to>
    <xdr:sp macro="" textlink="">
      <xdr:nvSpPr>
        <xdr:cNvPr id="2" name="TextBox 1">
          <a:extLst>
            <a:ext uri="{FF2B5EF4-FFF2-40B4-BE49-F238E27FC236}">
              <a16:creationId xmlns:a16="http://schemas.microsoft.com/office/drawing/2014/main" id="{525C5B49-A677-B438-71FB-BCF6C6A838E5}"/>
            </a:ext>
          </a:extLst>
        </xdr:cNvPr>
        <xdr:cNvSpPr txBox="1"/>
      </xdr:nvSpPr>
      <xdr:spPr>
        <a:xfrm>
          <a:off x="7482840" y="3063240"/>
          <a:ext cx="4282440" cy="1318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Furniture is the top-performing category, contributing the highest sales but showing some decline after peak periods, while Groceries is the most stable but lowest contributor.Electronics shows fluctuating performance, indicating possible seasonal demand and inconsistent sales trends.</a:t>
          </a:r>
        </a:p>
      </xdr:txBody>
    </xdr:sp>
    <xdr:clientData/>
  </xdr:twoCellAnchor>
  <xdr:twoCellAnchor>
    <xdr:from>
      <xdr:col>9</xdr:col>
      <xdr:colOff>784860</xdr:colOff>
      <xdr:row>4</xdr:row>
      <xdr:rowOff>68580</xdr:rowOff>
    </xdr:from>
    <xdr:to>
      <xdr:col>14</xdr:col>
      <xdr:colOff>396240</xdr:colOff>
      <xdr:row>10</xdr:row>
      <xdr:rowOff>137160</xdr:rowOff>
    </xdr:to>
    <xdr:sp macro="" textlink="">
      <xdr:nvSpPr>
        <xdr:cNvPr id="3" name="TextBox 2">
          <a:extLst>
            <a:ext uri="{FF2B5EF4-FFF2-40B4-BE49-F238E27FC236}">
              <a16:creationId xmlns:a16="http://schemas.microsoft.com/office/drawing/2014/main" id="{237786FC-B656-A891-93E4-AB27849D1C40}"/>
            </a:ext>
          </a:extLst>
        </xdr:cNvPr>
        <xdr:cNvSpPr txBox="1"/>
      </xdr:nvSpPr>
      <xdr:spPr>
        <a:xfrm>
          <a:off x="8107680" y="800100"/>
          <a:ext cx="4343400" cy="1165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North region has the highest sales and profit overall, while West region performs the weakest in most categories.</a:t>
          </a:r>
        </a:p>
        <a:p>
          <a:r>
            <a:rPr lang="en-US" sz="1200"/>
            <a:t>South and East show balanced performance, but certain categories like Furniture in North drive regional dominance.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612913</xdr:colOff>
      <xdr:row>39</xdr:row>
      <xdr:rowOff>160020</xdr:rowOff>
    </xdr:from>
    <xdr:to>
      <xdr:col>9</xdr:col>
      <xdr:colOff>60960</xdr:colOff>
      <xdr:row>52</xdr:row>
      <xdr:rowOff>173935</xdr:rowOff>
    </xdr:to>
    <xdr:graphicFrame macro="">
      <xdr:nvGraphicFramePr>
        <xdr:cNvPr id="2" name="Chart 1">
          <a:extLst>
            <a:ext uri="{FF2B5EF4-FFF2-40B4-BE49-F238E27FC236}">
              <a16:creationId xmlns:a16="http://schemas.microsoft.com/office/drawing/2014/main" id="{E885BE2F-A757-02FF-0313-FA42B8B57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754380</xdr:colOff>
      <xdr:row>22</xdr:row>
      <xdr:rowOff>34290</xdr:rowOff>
    </xdr:from>
    <xdr:to>
      <xdr:col>9</xdr:col>
      <xdr:colOff>83820</xdr:colOff>
      <xdr:row>37</xdr:row>
      <xdr:rowOff>175260</xdr:rowOff>
    </xdr:to>
    <xdr:graphicFrame macro="">
      <xdr:nvGraphicFramePr>
        <xdr:cNvPr id="6" name="Chart 5">
          <a:extLst>
            <a:ext uri="{FF2B5EF4-FFF2-40B4-BE49-F238E27FC236}">
              <a16:creationId xmlns:a16="http://schemas.microsoft.com/office/drawing/2014/main" id="{52B44A0E-8F24-67F9-D810-59C488ED5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762000</xdr:colOff>
      <xdr:row>11</xdr:row>
      <xdr:rowOff>99060</xdr:rowOff>
    </xdr:from>
    <xdr:to>
      <xdr:col>9</xdr:col>
      <xdr:colOff>83820</xdr:colOff>
      <xdr:row>20</xdr:row>
      <xdr:rowOff>137160</xdr:rowOff>
    </xdr:to>
    <xdr:graphicFrame macro="">
      <xdr:nvGraphicFramePr>
        <xdr:cNvPr id="7" name="Chart 6">
          <a:extLst>
            <a:ext uri="{FF2B5EF4-FFF2-40B4-BE49-F238E27FC236}">
              <a16:creationId xmlns:a16="http://schemas.microsoft.com/office/drawing/2014/main" id="{C635F3E9-D182-F70F-7C5A-F8E62B8BB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777240</xdr:colOff>
      <xdr:row>1</xdr:row>
      <xdr:rowOff>7620</xdr:rowOff>
    </xdr:from>
    <xdr:to>
      <xdr:col>9</xdr:col>
      <xdr:colOff>60960</xdr:colOff>
      <xdr:row>10</xdr:row>
      <xdr:rowOff>106680</xdr:rowOff>
    </xdr:to>
    <xdr:graphicFrame macro="">
      <xdr:nvGraphicFramePr>
        <xdr:cNvPr id="8" name="Chart 7">
          <a:extLst>
            <a:ext uri="{FF2B5EF4-FFF2-40B4-BE49-F238E27FC236}">
              <a16:creationId xmlns:a16="http://schemas.microsoft.com/office/drawing/2014/main" id="{63FF23E9-B084-E080-683D-85187A93F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1</xdr:row>
      <xdr:rowOff>68930</xdr:rowOff>
    </xdr:from>
    <xdr:ext cx="3322320" cy="357790"/>
    <xdr:sp macro="" textlink="">
      <xdr:nvSpPr>
        <xdr:cNvPr id="10" name="TextBox 9">
          <a:extLst>
            <a:ext uri="{FF2B5EF4-FFF2-40B4-BE49-F238E27FC236}">
              <a16:creationId xmlns:a16="http://schemas.microsoft.com/office/drawing/2014/main" id="{5A828009-35FD-3B3E-4A9D-123DCB5C95F8}"/>
            </a:ext>
          </a:extLst>
        </xdr:cNvPr>
        <xdr:cNvSpPr txBox="1"/>
      </xdr:nvSpPr>
      <xdr:spPr>
        <a:xfrm>
          <a:off x="868680" y="251810"/>
          <a:ext cx="3322320" cy="35779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800">
              <a:latin typeface="Arial" panose="020B0604020202020204" pitchFamily="34" charset="0"/>
              <a:cs typeface="Arial" panose="020B0604020202020204" pitchFamily="34" charset="0"/>
            </a:rPr>
            <a:t>Sales &amp; Profit by Region</a:t>
          </a:r>
        </a:p>
      </xdr:txBody>
    </xdr:sp>
    <xdr:clientData/>
  </xdr:oneCellAnchor>
  <xdr:twoCellAnchor>
    <xdr:from>
      <xdr:col>1</xdr:col>
      <xdr:colOff>7620</xdr:colOff>
      <xdr:row>10</xdr:row>
      <xdr:rowOff>160020</xdr:rowOff>
    </xdr:from>
    <xdr:to>
      <xdr:col>4</xdr:col>
      <xdr:colOff>266700</xdr:colOff>
      <xdr:row>12</xdr:row>
      <xdr:rowOff>129540</xdr:rowOff>
    </xdr:to>
    <xdr:sp macro="" textlink="">
      <xdr:nvSpPr>
        <xdr:cNvPr id="12" name="TextBox 11">
          <a:extLst>
            <a:ext uri="{FF2B5EF4-FFF2-40B4-BE49-F238E27FC236}">
              <a16:creationId xmlns:a16="http://schemas.microsoft.com/office/drawing/2014/main" id="{25B328E8-6A44-F266-9D59-416D1A765CEB}"/>
            </a:ext>
          </a:extLst>
        </xdr:cNvPr>
        <xdr:cNvSpPr txBox="1"/>
      </xdr:nvSpPr>
      <xdr:spPr>
        <a:xfrm rot="10800000" flipV="1">
          <a:off x="876300" y="2095500"/>
          <a:ext cx="275082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n>
                <a:noFill/>
              </a:ln>
              <a:solidFill>
                <a:schemeClr val="dk1"/>
              </a:solidFill>
              <a:latin typeface="Arial" panose="020B0604020202020204" pitchFamily="34" charset="0"/>
              <a:cs typeface="Arial" panose="020B0604020202020204" pitchFamily="34" charset="0"/>
            </a:rPr>
            <a:t>Sales</a:t>
          </a:r>
          <a:r>
            <a:rPr lang="en-US" sz="1600" baseline="0">
              <a:ln>
                <a:noFill/>
              </a:ln>
              <a:solidFill>
                <a:schemeClr val="dk1"/>
              </a:solidFill>
              <a:latin typeface="Arial" panose="020B0604020202020204" pitchFamily="34" charset="0"/>
              <a:cs typeface="Arial" panose="020B0604020202020204" pitchFamily="34" charset="0"/>
            </a:rPr>
            <a:t> share by Category</a:t>
          </a:r>
          <a:endParaRPr lang="en-US" sz="1600">
            <a:ln>
              <a:noFill/>
            </a:ln>
            <a:solidFill>
              <a:schemeClr val="dk1"/>
            </a:solidFill>
            <a:latin typeface="Arial" panose="020B0604020202020204" pitchFamily="34" charset="0"/>
            <a:cs typeface="Arial" panose="020B0604020202020204" pitchFamily="34" charset="0"/>
          </a:endParaRPr>
        </a:p>
      </xdr:txBody>
    </xdr:sp>
    <xdr:clientData/>
  </xdr:twoCellAnchor>
  <xdr:twoCellAnchor>
    <xdr:from>
      <xdr:col>1</xdr:col>
      <xdr:colOff>0</xdr:colOff>
      <xdr:row>21</xdr:row>
      <xdr:rowOff>22860</xdr:rowOff>
    </xdr:from>
    <xdr:to>
      <xdr:col>4</xdr:col>
      <xdr:colOff>266700</xdr:colOff>
      <xdr:row>22</xdr:row>
      <xdr:rowOff>228600</xdr:rowOff>
    </xdr:to>
    <xdr:sp macro="" textlink="">
      <xdr:nvSpPr>
        <xdr:cNvPr id="13" name="TextBox 12">
          <a:extLst>
            <a:ext uri="{FF2B5EF4-FFF2-40B4-BE49-F238E27FC236}">
              <a16:creationId xmlns:a16="http://schemas.microsoft.com/office/drawing/2014/main" id="{08ACE35A-F169-54F6-5A4C-C9BA3ABE7082}"/>
            </a:ext>
          </a:extLst>
        </xdr:cNvPr>
        <xdr:cNvSpPr txBox="1"/>
      </xdr:nvSpPr>
      <xdr:spPr>
        <a:xfrm flipH="1">
          <a:off x="868680" y="4008120"/>
          <a:ext cx="387858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Arial" panose="020B0604020202020204" pitchFamily="34" charset="0"/>
              <a:cs typeface="Arial" panose="020B0604020202020204" pitchFamily="34" charset="0"/>
            </a:rPr>
            <a:t>Monthly Sales &amp; Profit Trend</a:t>
          </a:r>
        </a:p>
      </xdr:txBody>
    </xdr:sp>
    <xdr:clientData/>
  </xdr:twoCellAnchor>
  <xdr:twoCellAnchor>
    <xdr:from>
      <xdr:col>1</xdr:col>
      <xdr:colOff>0</xdr:colOff>
      <xdr:row>39</xdr:row>
      <xdr:rowOff>160020</xdr:rowOff>
    </xdr:from>
    <xdr:to>
      <xdr:col>3</xdr:col>
      <xdr:colOff>876300</xdr:colOff>
      <xdr:row>41</xdr:row>
      <xdr:rowOff>137160</xdr:rowOff>
    </xdr:to>
    <xdr:sp macro="" textlink="">
      <xdr:nvSpPr>
        <xdr:cNvPr id="14" name="TextBox 13">
          <a:extLst>
            <a:ext uri="{FF2B5EF4-FFF2-40B4-BE49-F238E27FC236}">
              <a16:creationId xmlns:a16="http://schemas.microsoft.com/office/drawing/2014/main" id="{FC4380FC-07F3-655E-6E0F-1A8518894CFA}"/>
            </a:ext>
          </a:extLst>
        </xdr:cNvPr>
        <xdr:cNvSpPr txBox="1"/>
      </xdr:nvSpPr>
      <xdr:spPr>
        <a:xfrm>
          <a:off x="868680" y="7513320"/>
          <a:ext cx="340614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panose="020B0604020202020204" pitchFamily="34" charset="0"/>
              <a:cs typeface="Arial" panose="020B0604020202020204" pitchFamily="34" charset="0"/>
            </a:rPr>
            <a:t>Top 10 Product</a:t>
          </a:r>
          <a:r>
            <a:rPr lang="en-US" sz="1600" baseline="0">
              <a:latin typeface="Arial" panose="020B0604020202020204" pitchFamily="34" charset="0"/>
              <a:cs typeface="Arial" panose="020B0604020202020204" pitchFamily="34" charset="0"/>
            </a:rPr>
            <a:t> by Sales</a:t>
          </a:r>
          <a:endParaRPr lang="en-US" sz="1600">
            <a:latin typeface="Arial" panose="020B0604020202020204" pitchFamily="34" charset="0"/>
            <a:cs typeface="Arial" panose="020B0604020202020204" pitchFamily="34" charset="0"/>
          </a:endParaRPr>
        </a:p>
      </xdr:txBody>
    </xdr:sp>
    <xdr:clientData/>
  </xdr:twoCellAnchor>
  <xdr:twoCellAnchor>
    <xdr:from>
      <xdr:col>1</xdr:col>
      <xdr:colOff>0</xdr:colOff>
      <xdr:row>58</xdr:row>
      <xdr:rowOff>167640</xdr:rowOff>
    </xdr:from>
    <xdr:to>
      <xdr:col>4</xdr:col>
      <xdr:colOff>739140</xdr:colOff>
      <xdr:row>60</xdr:row>
      <xdr:rowOff>114300</xdr:rowOff>
    </xdr:to>
    <xdr:sp macro="" textlink="">
      <xdr:nvSpPr>
        <xdr:cNvPr id="15" name="TextBox 14">
          <a:extLst>
            <a:ext uri="{FF2B5EF4-FFF2-40B4-BE49-F238E27FC236}">
              <a16:creationId xmlns:a16="http://schemas.microsoft.com/office/drawing/2014/main" id="{F7025E16-57E9-2D77-1643-EC1EB9076B54}"/>
            </a:ext>
          </a:extLst>
        </xdr:cNvPr>
        <xdr:cNvSpPr txBox="1"/>
      </xdr:nvSpPr>
      <xdr:spPr>
        <a:xfrm>
          <a:off x="868680" y="10995660"/>
          <a:ext cx="323088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rial" panose="020B0604020202020204" pitchFamily="34" charset="0"/>
              <a:cs typeface="Arial" panose="020B0604020202020204" pitchFamily="34" charset="0"/>
            </a:rPr>
            <a:t>Profit</a:t>
          </a:r>
          <a:r>
            <a:rPr lang="en-US" sz="1400" baseline="0">
              <a:latin typeface="Arial" panose="020B0604020202020204" pitchFamily="34" charset="0"/>
              <a:cs typeface="Arial" panose="020B0604020202020204" pitchFamily="34" charset="0"/>
            </a:rPr>
            <a:t> and Profit Margin in Catetory</a:t>
          </a:r>
          <a:endParaRPr lang="en-US" sz="1400">
            <a:latin typeface="Arial" panose="020B0604020202020204" pitchFamily="34" charset="0"/>
            <a:cs typeface="Arial" panose="020B0604020202020204" pitchFamily="34" charset="0"/>
          </a:endParaRPr>
        </a:p>
      </xdr:txBody>
    </xdr:sp>
    <xdr:clientData/>
  </xdr:twoCellAnchor>
  <xdr:twoCellAnchor>
    <xdr:from>
      <xdr:col>1</xdr:col>
      <xdr:colOff>15240</xdr:colOff>
      <xdr:row>69</xdr:row>
      <xdr:rowOff>137160</xdr:rowOff>
    </xdr:from>
    <xdr:to>
      <xdr:col>6</xdr:col>
      <xdr:colOff>0</xdr:colOff>
      <xdr:row>71</xdr:row>
      <xdr:rowOff>91440</xdr:rowOff>
    </xdr:to>
    <xdr:sp macro="" textlink="">
      <xdr:nvSpPr>
        <xdr:cNvPr id="16" name="TextBox 15">
          <a:extLst>
            <a:ext uri="{FF2B5EF4-FFF2-40B4-BE49-F238E27FC236}">
              <a16:creationId xmlns:a16="http://schemas.microsoft.com/office/drawing/2014/main" id="{04F04097-7266-E093-136E-D801AF64F39F}"/>
            </a:ext>
          </a:extLst>
        </xdr:cNvPr>
        <xdr:cNvSpPr txBox="1"/>
      </xdr:nvSpPr>
      <xdr:spPr>
        <a:xfrm>
          <a:off x="883920" y="13159740"/>
          <a:ext cx="410718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Arial" panose="020B0604020202020204" pitchFamily="34" charset="0"/>
              <a:cs typeface="Arial" panose="020B0604020202020204" pitchFamily="34" charset="0"/>
            </a:rPr>
            <a:t>Monthly</a:t>
          </a:r>
          <a:r>
            <a:rPr lang="en-US" sz="1800" baseline="0">
              <a:latin typeface="Arial" panose="020B0604020202020204" pitchFamily="34" charset="0"/>
              <a:cs typeface="Arial" panose="020B0604020202020204" pitchFamily="34" charset="0"/>
            </a:rPr>
            <a:t> Overview of Sales</a:t>
          </a:r>
          <a:endParaRPr lang="en-US" sz="1800">
            <a:latin typeface="Arial" panose="020B0604020202020204" pitchFamily="34" charset="0"/>
            <a:cs typeface="Arial" panose="020B0604020202020204" pitchFamily="34" charset="0"/>
          </a:endParaRPr>
        </a:p>
      </xdr:txBody>
    </xdr:sp>
    <xdr:clientData/>
  </xdr:twoCellAnchor>
  <xdr:twoCellAnchor>
    <xdr:from>
      <xdr:col>10</xdr:col>
      <xdr:colOff>68580</xdr:colOff>
      <xdr:row>2</xdr:row>
      <xdr:rowOff>243840</xdr:rowOff>
    </xdr:from>
    <xdr:to>
      <xdr:col>12</xdr:col>
      <xdr:colOff>350520</xdr:colOff>
      <xdr:row>9</xdr:row>
      <xdr:rowOff>22860</xdr:rowOff>
    </xdr:to>
    <xdr:sp macro="" textlink="">
      <xdr:nvSpPr>
        <xdr:cNvPr id="17" name="TextBox 16">
          <a:extLst>
            <a:ext uri="{FF2B5EF4-FFF2-40B4-BE49-F238E27FC236}">
              <a16:creationId xmlns:a16="http://schemas.microsoft.com/office/drawing/2014/main" id="{8D7BDD56-721F-2605-9F75-F29E37DA4900}"/>
            </a:ext>
          </a:extLst>
        </xdr:cNvPr>
        <xdr:cNvSpPr txBox="1"/>
      </xdr:nvSpPr>
      <xdr:spPr>
        <a:xfrm>
          <a:off x="10668000" y="609600"/>
          <a:ext cx="2415540" cy="1165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North</a:t>
          </a:r>
          <a:r>
            <a:rPr lang="en-US" sz="1200" b="1" baseline="0"/>
            <a:t> region leads in both sales and profit,,while East has the lowest performance across both metrics.</a:t>
          </a:r>
          <a:endParaRPr lang="en-US" sz="1200" b="1"/>
        </a:p>
      </xdr:txBody>
    </xdr:sp>
    <xdr:clientData/>
  </xdr:twoCellAnchor>
  <xdr:twoCellAnchor>
    <xdr:from>
      <xdr:col>10</xdr:col>
      <xdr:colOff>53340</xdr:colOff>
      <xdr:row>11</xdr:row>
      <xdr:rowOff>205740</xdr:rowOff>
    </xdr:from>
    <xdr:to>
      <xdr:col>12</xdr:col>
      <xdr:colOff>342900</xdr:colOff>
      <xdr:row>18</xdr:row>
      <xdr:rowOff>144780</xdr:rowOff>
    </xdr:to>
    <xdr:sp macro="" textlink="">
      <xdr:nvSpPr>
        <xdr:cNvPr id="18" name="TextBox 17">
          <a:extLst>
            <a:ext uri="{FF2B5EF4-FFF2-40B4-BE49-F238E27FC236}">
              <a16:creationId xmlns:a16="http://schemas.microsoft.com/office/drawing/2014/main" id="{ECE16FEC-13A5-7210-8BB5-781346D51A37}"/>
            </a:ext>
          </a:extLst>
        </xdr:cNvPr>
        <xdr:cNvSpPr txBox="1"/>
      </xdr:nvSpPr>
      <xdr:spPr>
        <a:xfrm>
          <a:off x="10652760" y="2324100"/>
          <a:ext cx="242316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a:t>
          </a:r>
          <a:r>
            <a:rPr lang="en-US" sz="1200" b="1" baseline="0"/>
            <a:t> are evenly distributed across categories, clothing slightly leading and Furniture slightly trailing- indicatinng a well balanced product portfolio</a:t>
          </a:r>
          <a:r>
            <a:rPr lang="en-US" sz="1100" b="1" baseline="0"/>
            <a:t>.</a:t>
          </a:r>
          <a:endParaRPr lang="en-US" sz="1100" b="1"/>
        </a:p>
      </xdr:txBody>
    </xdr:sp>
    <xdr:clientData/>
  </xdr:twoCellAnchor>
  <xdr:twoCellAnchor>
    <xdr:from>
      <xdr:col>10</xdr:col>
      <xdr:colOff>53340</xdr:colOff>
      <xdr:row>23</xdr:row>
      <xdr:rowOff>137160</xdr:rowOff>
    </xdr:from>
    <xdr:to>
      <xdr:col>12</xdr:col>
      <xdr:colOff>335280</xdr:colOff>
      <xdr:row>35</xdr:row>
      <xdr:rowOff>7620</xdr:rowOff>
    </xdr:to>
    <xdr:sp macro="" textlink="">
      <xdr:nvSpPr>
        <xdr:cNvPr id="19" name="TextBox 18">
          <a:extLst>
            <a:ext uri="{FF2B5EF4-FFF2-40B4-BE49-F238E27FC236}">
              <a16:creationId xmlns:a16="http://schemas.microsoft.com/office/drawing/2014/main" id="{8568E6A2-783E-297A-04FB-2DC5D8300380}"/>
            </a:ext>
          </a:extLst>
        </xdr:cNvPr>
        <xdr:cNvSpPr txBox="1"/>
      </xdr:nvSpPr>
      <xdr:spPr>
        <a:xfrm>
          <a:off x="10652760" y="4564380"/>
          <a:ext cx="2415540" cy="2065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 shows an overall upward</a:t>
          </a:r>
          <a:r>
            <a:rPr lang="en-US" sz="1200" b="1" baseline="0"/>
            <a:t> trends through the year, peaking in august 1.79M while february and september dip-indicating possible seasonality.</a:t>
          </a:r>
        </a:p>
        <a:p>
          <a:r>
            <a:rPr lang="en-US" sz="1200" b="1" baseline="0"/>
            <a:t>Profit follows a simmilar pattern with a sharp spike in july 310K,suggesting improved</a:t>
          </a:r>
        </a:p>
        <a:p>
          <a:r>
            <a:rPr lang="en-US" sz="1200" b="1" baseline="0"/>
            <a:t>margins or high value sales during mid year.</a:t>
          </a:r>
          <a:endParaRPr lang="en-US" sz="1200" b="1"/>
        </a:p>
      </xdr:txBody>
    </xdr:sp>
    <xdr:clientData/>
  </xdr:twoCellAnchor>
  <xdr:twoCellAnchor>
    <xdr:from>
      <xdr:col>10</xdr:col>
      <xdr:colOff>15240</xdr:colOff>
      <xdr:row>41</xdr:row>
      <xdr:rowOff>45720</xdr:rowOff>
    </xdr:from>
    <xdr:to>
      <xdr:col>12</xdr:col>
      <xdr:colOff>571500</xdr:colOff>
      <xdr:row>50</xdr:row>
      <xdr:rowOff>137160</xdr:rowOff>
    </xdr:to>
    <xdr:sp macro="" textlink="">
      <xdr:nvSpPr>
        <xdr:cNvPr id="20" name="TextBox 19">
          <a:extLst>
            <a:ext uri="{FF2B5EF4-FFF2-40B4-BE49-F238E27FC236}">
              <a16:creationId xmlns:a16="http://schemas.microsoft.com/office/drawing/2014/main" id="{94CFFDA8-B96D-43E4-5F76-9E833508A168}"/>
            </a:ext>
          </a:extLst>
        </xdr:cNvPr>
        <xdr:cNvSpPr txBox="1"/>
      </xdr:nvSpPr>
      <xdr:spPr>
        <a:xfrm>
          <a:off x="10614660" y="7764780"/>
          <a:ext cx="2689860" cy="1737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Laptop,T-shirt</a:t>
          </a:r>
          <a:r>
            <a:rPr lang="en-US" sz="1200" b="1" baseline="0"/>
            <a:t> and Jacket are the top performing product 1.1M+each, showing strong demands inn electroniccs and apparel categories.</a:t>
          </a:r>
        </a:p>
        <a:p>
          <a:r>
            <a:rPr lang="en-US" sz="1200" b="1" baseline="0"/>
            <a:t>Sales across the top products are relatively close,  indicating a diversified product mix with no extreme dependency on a single item.</a:t>
          </a:r>
          <a:endParaRPr lang="en-US" sz="1200" b="1"/>
        </a:p>
      </xdr:txBody>
    </xdr:sp>
    <xdr:clientData/>
  </xdr:twoCellAnchor>
  <xdr:twoCellAnchor>
    <xdr:from>
      <xdr:col>10</xdr:col>
      <xdr:colOff>116287</xdr:colOff>
      <xdr:row>72</xdr:row>
      <xdr:rowOff>116950</xdr:rowOff>
    </xdr:from>
    <xdr:to>
      <xdr:col>12</xdr:col>
      <xdr:colOff>712304</xdr:colOff>
      <xdr:row>83</xdr:row>
      <xdr:rowOff>0</xdr:rowOff>
    </xdr:to>
    <xdr:sp macro="" textlink="">
      <xdr:nvSpPr>
        <xdr:cNvPr id="21" name="TextBox 20">
          <a:extLst>
            <a:ext uri="{FF2B5EF4-FFF2-40B4-BE49-F238E27FC236}">
              <a16:creationId xmlns:a16="http://schemas.microsoft.com/office/drawing/2014/main" id="{4512A2CC-AE46-D690-F25A-60353A87EE0D}"/>
            </a:ext>
          </a:extLst>
        </xdr:cNvPr>
        <xdr:cNvSpPr txBox="1"/>
      </xdr:nvSpPr>
      <xdr:spPr>
        <a:xfrm>
          <a:off x="9947744" y="13642450"/>
          <a:ext cx="2732930" cy="18874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a:t>
          </a:r>
          <a:r>
            <a:rPr lang="en-US" sz="1200" b="1" baseline="0"/>
            <a:t> an quantity peak in august(highest sales 1.79M and quality 612,indicating strong mid year demand,while February is the weakest month.</a:t>
          </a:r>
        </a:p>
        <a:p>
          <a:r>
            <a:rPr lang="en-US" sz="1200" b="1" baseline="0"/>
            <a:t>Profit Margins improve from early months  12-14%  to peak inaugust 19% showing better pricing or cost efficiency during high sales periods.</a:t>
          </a:r>
          <a:endParaRPr lang="en-US" sz="1200" b="1"/>
        </a:p>
      </xdr:txBody>
    </xdr:sp>
    <xdr:clientData/>
  </xdr:twoCellAnchor>
  <xdr:twoCellAnchor>
    <xdr:from>
      <xdr:col>5</xdr:col>
      <xdr:colOff>138155</xdr:colOff>
      <xdr:row>117</xdr:row>
      <xdr:rowOff>157370</xdr:rowOff>
    </xdr:from>
    <xdr:to>
      <xdr:col>8</xdr:col>
      <xdr:colOff>347870</xdr:colOff>
      <xdr:row>128</xdr:row>
      <xdr:rowOff>27830</xdr:rowOff>
    </xdr:to>
    <xdr:graphicFrame macro="">
      <xdr:nvGraphicFramePr>
        <xdr:cNvPr id="3" name="Chart 2">
          <a:extLst>
            <a:ext uri="{FF2B5EF4-FFF2-40B4-BE49-F238E27FC236}">
              <a16:creationId xmlns:a16="http://schemas.microsoft.com/office/drawing/2014/main" id="{D905930A-040B-7D1E-A4A8-3C6D1562C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132521</xdr:colOff>
      <xdr:row>105</xdr:row>
      <xdr:rowOff>157370</xdr:rowOff>
    </xdr:from>
    <xdr:to>
      <xdr:col>8</xdr:col>
      <xdr:colOff>323021</xdr:colOff>
      <xdr:row>116</xdr:row>
      <xdr:rowOff>41412</xdr:rowOff>
    </xdr:to>
    <xdr:graphicFrame macro="">
      <xdr:nvGraphicFramePr>
        <xdr:cNvPr id="4" name="Chart 3">
          <a:extLst>
            <a:ext uri="{FF2B5EF4-FFF2-40B4-BE49-F238E27FC236}">
              <a16:creationId xmlns:a16="http://schemas.microsoft.com/office/drawing/2014/main" id="{1F83B3BF-F917-AFFA-1FF5-F145CA03F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124238</xdr:colOff>
      <xdr:row>58</xdr:row>
      <xdr:rowOff>57978</xdr:rowOff>
    </xdr:from>
    <xdr:to>
      <xdr:col>12</xdr:col>
      <xdr:colOff>563217</xdr:colOff>
      <xdr:row>64</xdr:row>
      <xdr:rowOff>82826</xdr:rowOff>
    </xdr:to>
    <xdr:sp macro="" textlink="">
      <xdr:nvSpPr>
        <xdr:cNvPr id="9" name="TextBox 8">
          <a:extLst>
            <a:ext uri="{FF2B5EF4-FFF2-40B4-BE49-F238E27FC236}">
              <a16:creationId xmlns:a16="http://schemas.microsoft.com/office/drawing/2014/main" id="{0F1DB429-5D9F-6226-C0EB-74AF073E2728}"/>
            </a:ext>
          </a:extLst>
        </xdr:cNvPr>
        <xdr:cNvSpPr txBox="1"/>
      </xdr:nvSpPr>
      <xdr:spPr>
        <a:xfrm>
          <a:off x="9955695" y="10850217"/>
          <a:ext cx="2575892" cy="13003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Sales are well-distributed across products with no heavy dependency. Groceries show highest profit, while overall profit margins remain consistent (~16%), indicating stable performance across all categories and months.</a:t>
          </a:r>
          <a:endParaRPr lang="en-US" sz="1100" b="1"/>
        </a:p>
      </xdr:txBody>
    </xdr:sp>
    <xdr:clientData/>
  </xdr:twoCellAnchor>
  <xdr:twoCellAnchor>
    <xdr:from>
      <xdr:col>9</xdr:col>
      <xdr:colOff>188844</xdr:colOff>
      <xdr:row>105</xdr:row>
      <xdr:rowOff>176420</xdr:rowOff>
    </xdr:from>
    <xdr:to>
      <xdr:col>11</xdr:col>
      <xdr:colOff>819978</xdr:colOff>
      <xdr:row>115</xdr:row>
      <xdr:rowOff>49696</xdr:rowOff>
    </xdr:to>
    <xdr:sp macro="" textlink="">
      <xdr:nvSpPr>
        <xdr:cNvPr id="11" name="TextBox 10">
          <a:extLst>
            <a:ext uri="{FF2B5EF4-FFF2-40B4-BE49-F238E27FC236}">
              <a16:creationId xmlns:a16="http://schemas.microsoft.com/office/drawing/2014/main" id="{935981F9-0F05-C44F-AC04-6BA1D5230D19}"/>
            </a:ext>
          </a:extLst>
        </xdr:cNvPr>
        <xdr:cNvSpPr txBox="1"/>
      </xdr:nvSpPr>
      <xdr:spPr>
        <a:xfrm>
          <a:off x="8951844" y="19897311"/>
          <a:ext cx="2768047" cy="169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t>Sales are relatively evenly distributed across regions, with North contributing the highest revenue, closely followed by South. West and East show slightly lower but comparable performance, indicating a balanced geographic sales spread without heavy regional dependency.</a:t>
          </a:r>
        </a:p>
        <a:p>
          <a:endParaRPr lang="en-US" sz="1100"/>
        </a:p>
      </xdr:txBody>
    </xdr:sp>
    <xdr:clientData/>
  </xdr:twoCellAnchor>
  <xdr:twoCellAnchor>
    <xdr:from>
      <xdr:col>9</xdr:col>
      <xdr:colOff>273326</xdr:colOff>
      <xdr:row>118</xdr:row>
      <xdr:rowOff>49697</xdr:rowOff>
    </xdr:from>
    <xdr:to>
      <xdr:col>11</xdr:col>
      <xdr:colOff>927653</xdr:colOff>
      <xdr:row>124</xdr:row>
      <xdr:rowOff>132522</xdr:rowOff>
    </xdr:to>
    <xdr:sp macro="" textlink="">
      <xdr:nvSpPr>
        <xdr:cNvPr id="23" name="TextBox 22">
          <a:extLst>
            <a:ext uri="{FF2B5EF4-FFF2-40B4-BE49-F238E27FC236}">
              <a16:creationId xmlns:a16="http://schemas.microsoft.com/office/drawing/2014/main" id="{0863114C-D31A-F8F7-9EB0-706D42FF1691}"/>
            </a:ext>
          </a:extLst>
        </xdr:cNvPr>
        <xdr:cNvSpPr txBox="1"/>
      </xdr:nvSpPr>
      <xdr:spPr>
        <a:xfrm>
          <a:off x="9036326" y="22139414"/>
          <a:ext cx="2791240" cy="1176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effectLst/>
            </a:rPr>
            <a:t>The data shows that Groceries and Clothing are your top profit drivers, both exceeding 667k. Electronics is the lowest performer, trailing the leaders by approximately 40k.</a:t>
          </a:r>
        </a:p>
        <a:p>
          <a:br>
            <a:rPr lang="en-US" sz="1200" b="1"/>
          </a:br>
          <a:endParaRPr lang="en-US" sz="1200" b="1"/>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363220</xdr:colOff>
      <xdr:row>0</xdr:row>
      <xdr:rowOff>0</xdr:rowOff>
    </xdr:from>
    <xdr:to>
      <xdr:col>24</xdr:col>
      <xdr:colOff>96520</xdr:colOff>
      <xdr:row>4</xdr:row>
      <xdr:rowOff>101600</xdr:rowOff>
    </xdr:to>
    <xdr:sp macro="" textlink="">
      <xdr:nvSpPr>
        <xdr:cNvPr id="4" name="Rectangle: Rounded Corners 3">
          <a:extLst>
            <a:ext uri="{FF2B5EF4-FFF2-40B4-BE49-F238E27FC236}">
              <a16:creationId xmlns:a16="http://schemas.microsoft.com/office/drawing/2014/main" id="{55E550FD-C581-683E-511A-E32A6A6027A8}"/>
            </a:ext>
          </a:extLst>
        </xdr:cNvPr>
        <xdr:cNvSpPr/>
      </xdr:nvSpPr>
      <xdr:spPr>
        <a:xfrm>
          <a:off x="2192020" y="0"/>
          <a:ext cx="12534900" cy="846667"/>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4400"/>
            <a:t>Ecommerce Sales Dashboard</a:t>
          </a:r>
        </a:p>
      </xdr:txBody>
    </xdr:sp>
    <xdr:clientData/>
  </xdr:twoCellAnchor>
  <xdr:twoCellAnchor>
    <xdr:from>
      <xdr:col>3</xdr:col>
      <xdr:colOff>524933</xdr:colOff>
      <xdr:row>5</xdr:row>
      <xdr:rowOff>0</xdr:rowOff>
    </xdr:from>
    <xdr:to>
      <xdr:col>7</xdr:col>
      <xdr:colOff>296333</xdr:colOff>
      <xdr:row>8</xdr:row>
      <xdr:rowOff>160867</xdr:rowOff>
    </xdr:to>
    <xdr:sp macro="" textlink="">
      <xdr:nvSpPr>
        <xdr:cNvPr id="7" name="Rectangle: Rounded Corners 6">
          <a:extLst>
            <a:ext uri="{FF2B5EF4-FFF2-40B4-BE49-F238E27FC236}">
              <a16:creationId xmlns:a16="http://schemas.microsoft.com/office/drawing/2014/main" id="{BAAF35DD-50F4-A6D8-5A15-3DE9EAB7C1B8}"/>
            </a:ext>
          </a:extLst>
        </xdr:cNvPr>
        <xdr:cNvSpPr/>
      </xdr:nvSpPr>
      <xdr:spPr>
        <a:xfrm>
          <a:off x="2353733" y="931333"/>
          <a:ext cx="2209800" cy="71966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Total Sales</a:t>
          </a:r>
        </a:p>
      </xdr:txBody>
    </xdr:sp>
    <xdr:clientData/>
  </xdr:twoCellAnchor>
  <xdr:twoCellAnchor>
    <xdr:from>
      <xdr:col>8</xdr:col>
      <xdr:colOff>0</xdr:colOff>
      <xdr:row>5</xdr:row>
      <xdr:rowOff>18627</xdr:rowOff>
    </xdr:from>
    <xdr:to>
      <xdr:col>11</xdr:col>
      <xdr:colOff>373380</xdr:colOff>
      <xdr:row>8</xdr:row>
      <xdr:rowOff>127000</xdr:rowOff>
    </xdr:to>
    <xdr:sp macro="" textlink="">
      <xdr:nvSpPr>
        <xdr:cNvPr id="8" name="Rectangle: Rounded Corners 7">
          <a:extLst>
            <a:ext uri="{FF2B5EF4-FFF2-40B4-BE49-F238E27FC236}">
              <a16:creationId xmlns:a16="http://schemas.microsoft.com/office/drawing/2014/main" id="{1A631F8D-161A-48BB-B4F5-3F7E6DEEBEC3}"/>
            </a:ext>
          </a:extLst>
        </xdr:cNvPr>
        <xdr:cNvSpPr/>
      </xdr:nvSpPr>
      <xdr:spPr>
        <a:xfrm>
          <a:off x="4876800" y="949960"/>
          <a:ext cx="2202180" cy="66717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Total Profit</a:t>
          </a:r>
        </a:p>
      </xdr:txBody>
    </xdr:sp>
    <xdr:clientData/>
  </xdr:twoCellAnchor>
  <xdr:twoCellAnchor>
    <xdr:from>
      <xdr:col>12</xdr:col>
      <xdr:colOff>132716</xdr:colOff>
      <xdr:row>5</xdr:row>
      <xdr:rowOff>27092</xdr:rowOff>
    </xdr:from>
    <xdr:to>
      <xdr:col>15</xdr:col>
      <xdr:colOff>355600</xdr:colOff>
      <xdr:row>8</xdr:row>
      <xdr:rowOff>93134</xdr:rowOff>
    </xdr:to>
    <xdr:sp macro="" textlink="">
      <xdr:nvSpPr>
        <xdr:cNvPr id="9" name="Rectangle: Rounded Corners 8">
          <a:extLst>
            <a:ext uri="{FF2B5EF4-FFF2-40B4-BE49-F238E27FC236}">
              <a16:creationId xmlns:a16="http://schemas.microsoft.com/office/drawing/2014/main" id="{A317CBA9-A5CF-4969-9D96-1A5138E0DFFC}"/>
            </a:ext>
          </a:extLst>
        </xdr:cNvPr>
        <xdr:cNvSpPr/>
      </xdr:nvSpPr>
      <xdr:spPr>
        <a:xfrm>
          <a:off x="7447916" y="958425"/>
          <a:ext cx="2051684" cy="62484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latin typeface="+mn-lt"/>
            </a:rPr>
            <a:t>Top</a:t>
          </a:r>
          <a:r>
            <a:rPr lang="en-US" sz="1400" b="1" baseline="0">
              <a:latin typeface="+mn-lt"/>
            </a:rPr>
            <a:t> Region</a:t>
          </a:r>
          <a:endParaRPr lang="en-US" sz="1400" b="1">
            <a:latin typeface="+mn-lt"/>
          </a:endParaRPr>
        </a:p>
      </xdr:txBody>
    </xdr:sp>
    <xdr:clientData/>
  </xdr:twoCellAnchor>
  <xdr:twoCellAnchor>
    <xdr:from>
      <xdr:col>16</xdr:col>
      <xdr:colOff>109219</xdr:colOff>
      <xdr:row>5</xdr:row>
      <xdr:rowOff>18626</xdr:rowOff>
    </xdr:from>
    <xdr:to>
      <xdr:col>19</xdr:col>
      <xdr:colOff>423333</xdr:colOff>
      <xdr:row>8</xdr:row>
      <xdr:rowOff>110067</xdr:rowOff>
    </xdr:to>
    <xdr:sp macro="" textlink="">
      <xdr:nvSpPr>
        <xdr:cNvPr id="10" name="Rectangle: Rounded Corners 9">
          <a:extLst>
            <a:ext uri="{FF2B5EF4-FFF2-40B4-BE49-F238E27FC236}">
              <a16:creationId xmlns:a16="http://schemas.microsoft.com/office/drawing/2014/main" id="{FF6ADF0D-80E4-42A3-A508-B19D10AA0C41}"/>
            </a:ext>
          </a:extLst>
        </xdr:cNvPr>
        <xdr:cNvSpPr/>
      </xdr:nvSpPr>
      <xdr:spPr>
        <a:xfrm>
          <a:off x="9862819" y="949959"/>
          <a:ext cx="2142914" cy="65024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Top</a:t>
          </a:r>
          <a:r>
            <a:rPr lang="en-US" sz="1400" b="1" baseline="0"/>
            <a:t> Category</a:t>
          </a:r>
          <a:endParaRPr lang="en-US" sz="1400" b="1"/>
        </a:p>
      </xdr:txBody>
    </xdr:sp>
    <xdr:clientData/>
  </xdr:twoCellAnchor>
  <xdr:twoCellAnchor>
    <xdr:from>
      <xdr:col>20</xdr:col>
      <xdr:colOff>160020</xdr:colOff>
      <xdr:row>5</xdr:row>
      <xdr:rowOff>27092</xdr:rowOff>
    </xdr:from>
    <xdr:to>
      <xdr:col>23</xdr:col>
      <xdr:colOff>533400</xdr:colOff>
      <xdr:row>8</xdr:row>
      <xdr:rowOff>93134</xdr:rowOff>
    </xdr:to>
    <xdr:sp macro="" textlink="">
      <xdr:nvSpPr>
        <xdr:cNvPr id="11" name="Rectangle: Rounded Corners 10">
          <a:extLst>
            <a:ext uri="{FF2B5EF4-FFF2-40B4-BE49-F238E27FC236}">
              <a16:creationId xmlns:a16="http://schemas.microsoft.com/office/drawing/2014/main" id="{135558A3-5BCA-4C6F-B63B-D891D50AB657}"/>
            </a:ext>
          </a:extLst>
        </xdr:cNvPr>
        <xdr:cNvSpPr/>
      </xdr:nvSpPr>
      <xdr:spPr>
        <a:xfrm>
          <a:off x="12352020" y="958425"/>
          <a:ext cx="2202180" cy="62484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Avg Margin</a:t>
          </a:r>
        </a:p>
      </xdr:txBody>
    </xdr:sp>
    <xdr:clientData/>
  </xdr:twoCellAnchor>
  <xdr:twoCellAnchor>
    <xdr:from>
      <xdr:col>4</xdr:col>
      <xdr:colOff>93133</xdr:colOff>
      <xdr:row>7</xdr:row>
      <xdr:rowOff>0</xdr:rowOff>
    </xdr:from>
    <xdr:to>
      <xdr:col>7</xdr:col>
      <xdr:colOff>0</xdr:colOff>
      <xdr:row>8</xdr:row>
      <xdr:rowOff>59268</xdr:rowOff>
    </xdr:to>
    <xdr:sp macro="" textlink="'Pivot Table'!$B$94">
      <xdr:nvSpPr>
        <xdr:cNvPr id="18" name="TextBox 17">
          <a:extLst>
            <a:ext uri="{FF2B5EF4-FFF2-40B4-BE49-F238E27FC236}">
              <a16:creationId xmlns:a16="http://schemas.microsoft.com/office/drawing/2014/main" id="{534DD875-BD18-21FD-5A25-E54FE069EC43}"/>
            </a:ext>
          </a:extLst>
        </xdr:cNvPr>
        <xdr:cNvSpPr txBox="1"/>
      </xdr:nvSpPr>
      <xdr:spPr>
        <a:xfrm>
          <a:off x="2531533" y="1303867"/>
          <a:ext cx="1735667" cy="245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3F766F-8166-428E-8D74-E6B2FB1BAE29}" type="TxLink">
            <a:rPr lang="en-US" sz="1100" b="0" i="0" u="none" strike="noStrike">
              <a:solidFill>
                <a:srgbClr val="000000"/>
              </a:solidFill>
              <a:latin typeface="Calibri"/>
              <a:cs typeface="Calibri"/>
            </a:rPr>
            <a:pPr algn="ctr"/>
            <a:t>15984983</a:t>
          </a:fld>
          <a:endParaRPr lang="en-US" sz="1100"/>
        </a:p>
      </xdr:txBody>
    </xdr:sp>
    <xdr:clientData/>
  </xdr:twoCellAnchor>
  <xdr:twoCellAnchor>
    <xdr:from>
      <xdr:col>8</xdr:col>
      <xdr:colOff>152400</xdr:colOff>
      <xdr:row>6</xdr:row>
      <xdr:rowOff>152400</xdr:rowOff>
    </xdr:from>
    <xdr:to>
      <xdr:col>11</xdr:col>
      <xdr:colOff>220133</xdr:colOff>
      <xdr:row>8</xdr:row>
      <xdr:rowOff>50801</xdr:rowOff>
    </xdr:to>
    <xdr:sp macro="" textlink="'Pivot Table'!$B$99">
      <xdr:nvSpPr>
        <xdr:cNvPr id="19" name="TextBox 18">
          <a:extLst>
            <a:ext uri="{FF2B5EF4-FFF2-40B4-BE49-F238E27FC236}">
              <a16:creationId xmlns:a16="http://schemas.microsoft.com/office/drawing/2014/main" id="{B3D03BB7-25B6-049A-075F-DD2F1E58C38E}"/>
            </a:ext>
          </a:extLst>
        </xdr:cNvPr>
        <xdr:cNvSpPr txBox="1"/>
      </xdr:nvSpPr>
      <xdr:spPr>
        <a:xfrm>
          <a:off x="5029200" y="1270000"/>
          <a:ext cx="1896533" cy="2709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927827-658C-4354-AD4E-A48616E52ACF}" type="TxLink">
            <a:rPr lang="en-US" sz="1100" b="0" i="0" u="none" strike="noStrike">
              <a:solidFill>
                <a:srgbClr val="000000"/>
              </a:solidFill>
              <a:latin typeface="Calibri"/>
              <a:cs typeface="Calibri"/>
            </a:rPr>
            <a:pPr algn="ctr"/>
            <a:t>2616484.98</a:t>
          </a:fld>
          <a:endParaRPr lang="en-US" sz="1100"/>
        </a:p>
      </xdr:txBody>
    </xdr:sp>
    <xdr:clientData/>
  </xdr:twoCellAnchor>
  <xdr:twoCellAnchor>
    <xdr:from>
      <xdr:col>12</xdr:col>
      <xdr:colOff>287867</xdr:colOff>
      <xdr:row>6</xdr:row>
      <xdr:rowOff>135468</xdr:rowOff>
    </xdr:from>
    <xdr:to>
      <xdr:col>15</xdr:col>
      <xdr:colOff>186267</xdr:colOff>
      <xdr:row>8</xdr:row>
      <xdr:rowOff>1</xdr:rowOff>
    </xdr:to>
    <xdr:sp macro="" textlink="'Pivot Table'!B5">
      <xdr:nvSpPr>
        <xdr:cNvPr id="20" name="TextBox 19">
          <a:extLst>
            <a:ext uri="{FF2B5EF4-FFF2-40B4-BE49-F238E27FC236}">
              <a16:creationId xmlns:a16="http://schemas.microsoft.com/office/drawing/2014/main" id="{82EC3462-B5A6-7EBD-895F-9D32E860D1BC}"/>
            </a:ext>
          </a:extLst>
        </xdr:cNvPr>
        <xdr:cNvSpPr txBox="1"/>
      </xdr:nvSpPr>
      <xdr:spPr>
        <a:xfrm>
          <a:off x="7603067" y="1253068"/>
          <a:ext cx="1727200" cy="237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53B1BA-AD84-4979-87F0-07C5165360B5}" type="TxLink">
            <a:rPr lang="en-US" sz="1100" b="0" i="0" u="none" strike="noStrike">
              <a:solidFill>
                <a:srgbClr val="000000"/>
              </a:solidFill>
              <a:latin typeface="Calibri"/>
              <a:cs typeface="Calibri"/>
            </a:rPr>
            <a:pPr algn="ctr"/>
            <a:t>North</a:t>
          </a:fld>
          <a:endParaRPr lang="en-US" sz="1100"/>
        </a:p>
      </xdr:txBody>
    </xdr:sp>
    <xdr:clientData/>
  </xdr:twoCellAnchor>
  <xdr:twoCellAnchor>
    <xdr:from>
      <xdr:col>16</xdr:col>
      <xdr:colOff>321733</xdr:colOff>
      <xdr:row>6</xdr:row>
      <xdr:rowOff>140549</xdr:rowOff>
    </xdr:from>
    <xdr:to>
      <xdr:col>19</xdr:col>
      <xdr:colOff>212514</xdr:colOff>
      <xdr:row>8</xdr:row>
      <xdr:rowOff>0</xdr:rowOff>
    </xdr:to>
    <xdr:sp macro="" textlink="'Pivot Table'!B15">
      <xdr:nvSpPr>
        <xdr:cNvPr id="23" name="TextBox 22">
          <a:extLst>
            <a:ext uri="{FF2B5EF4-FFF2-40B4-BE49-F238E27FC236}">
              <a16:creationId xmlns:a16="http://schemas.microsoft.com/office/drawing/2014/main" id="{CEC857E6-6CFD-3A86-6773-3503ECF0850E}"/>
            </a:ext>
          </a:extLst>
        </xdr:cNvPr>
        <xdr:cNvSpPr txBox="1"/>
      </xdr:nvSpPr>
      <xdr:spPr>
        <a:xfrm>
          <a:off x="10075333" y="1258149"/>
          <a:ext cx="1719581" cy="2319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F0BE15-9189-4FD5-BA49-68472DE1827E}" type="TxLink">
            <a:rPr lang="en-US" sz="1100" b="0" i="0" u="none" strike="noStrike">
              <a:solidFill>
                <a:srgbClr val="000000"/>
              </a:solidFill>
              <a:latin typeface="Calibri"/>
              <a:cs typeface="Calibri"/>
            </a:rPr>
            <a:pPr algn="ctr"/>
            <a:t>Clothing</a:t>
          </a:fld>
          <a:endParaRPr lang="en-US" sz="1100"/>
        </a:p>
      </xdr:txBody>
    </xdr:sp>
    <xdr:clientData/>
  </xdr:twoCellAnchor>
  <xdr:twoCellAnchor>
    <xdr:from>
      <xdr:col>20</xdr:col>
      <xdr:colOff>440267</xdr:colOff>
      <xdr:row>6</xdr:row>
      <xdr:rowOff>135467</xdr:rowOff>
    </xdr:from>
    <xdr:to>
      <xdr:col>23</xdr:col>
      <xdr:colOff>313267</xdr:colOff>
      <xdr:row>8</xdr:row>
      <xdr:rowOff>25401</xdr:rowOff>
    </xdr:to>
    <xdr:sp macro="" textlink="'Pivot Table'!$B$91">
      <xdr:nvSpPr>
        <xdr:cNvPr id="24" name="TextBox 23">
          <a:extLst>
            <a:ext uri="{FF2B5EF4-FFF2-40B4-BE49-F238E27FC236}">
              <a16:creationId xmlns:a16="http://schemas.microsoft.com/office/drawing/2014/main" id="{F7332A9D-749A-F6BD-19E8-34D649081CEA}"/>
            </a:ext>
          </a:extLst>
        </xdr:cNvPr>
        <xdr:cNvSpPr txBox="1"/>
      </xdr:nvSpPr>
      <xdr:spPr>
        <a:xfrm>
          <a:off x="12632267" y="1253067"/>
          <a:ext cx="1701800" cy="262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9644EA-8481-460D-A9EB-8F4228F741C1}" type="TxLink">
            <a:rPr lang="en-US" sz="1100" b="0" i="0" u="none" strike="noStrike">
              <a:solidFill>
                <a:srgbClr val="000000"/>
              </a:solidFill>
              <a:latin typeface="Calibri"/>
              <a:cs typeface="Calibri"/>
            </a:rPr>
            <a:pPr algn="ctr"/>
            <a:t>0.16</a:t>
          </a:fld>
          <a:endParaRPr lang="en-US" sz="1100"/>
        </a:p>
      </xdr:txBody>
    </xdr:sp>
    <xdr:clientData/>
  </xdr:twoCellAnchor>
  <xdr:twoCellAnchor>
    <xdr:from>
      <xdr:col>4</xdr:col>
      <xdr:colOff>204046</xdr:colOff>
      <xdr:row>10</xdr:row>
      <xdr:rowOff>1</xdr:rowOff>
    </xdr:from>
    <xdr:to>
      <xdr:col>10</xdr:col>
      <xdr:colOff>59267</xdr:colOff>
      <xdr:row>21</xdr:row>
      <xdr:rowOff>76202</xdr:rowOff>
    </xdr:to>
    <xdr:graphicFrame macro="">
      <xdr:nvGraphicFramePr>
        <xdr:cNvPr id="2" name="Chart 1">
          <a:extLst>
            <a:ext uri="{FF2B5EF4-FFF2-40B4-BE49-F238E27FC236}">
              <a16:creationId xmlns:a16="http://schemas.microsoft.com/office/drawing/2014/main" id="{936DE264-27C1-42FB-B1F3-2BD14EAC8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194733</xdr:colOff>
      <xdr:row>10</xdr:row>
      <xdr:rowOff>0</xdr:rowOff>
    </xdr:from>
    <xdr:to>
      <xdr:col>23</xdr:col>
      <xdr:colOff>135466</xdr:colOff>
      <xdr:row>21</xdr:row>
      <xdr:rowOff>16933</xdr:rowOff>
    </xdr:to>
    <xdr:graphicFrame macro="">
      <xdr:nvGraphicFramePr>
        <xdr:cNvPr id="3" name="Chart 2">
          <a:extLst>
            <a:ext uri="{FF2B5EF4-FFF2-40B4-BE49-F238E27FC236}">
              <a16:creationId xmlns:a16="http://schemas.microsoft.com/office/drawing/2014/main" id="{145F1DBD-833B-420F-8ACD-7D2B14CBA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99906</xdr:colOff>
      <xdr:row>4</xdr:row>
      <xdr:rowOff>40641</xdr:rowOff>
    </xdr:from>
    <xdr:to>
      <xdr:col>2</xdr:col>
      <xdr:colOff>541866</xdr:colOff>
      <xdr:row>11</xdr:row>
      <xdr:rowOff>160867</xdr:rowOff>
    </xdr:to>
    <mc:AlternateContent xmlns:mc="http://schemas.openxmlformats.org/markup-compatibility/2006" xmlns:a14="http://schemas.microsoft.com/office/drawing/2010/main">
      <mc:Choice Requires="a14">
        <xdr:graphicFrame macro="">
          <xdr:nvGraphicFramePr>
            <xdr:cNvPr id="5" name="Product_Category">
              <a:extLst>
                <a:ext uri="{FF2B5EF4-FFF2-40B4-BE49-F238E27FC236}">
                  <a16:creationId xmlns:a16="http://schemas.microsoft.com/office/drawing/2014/main" id="{0AEC86F9-42E7-CECD-18A7-F1B6B37ECAC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9906" y="785708"/>
              <a:ext cx="1661160" cy="1424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82974</xdr:colOff>
      <xdr:row>20</xdr:row>
      <xdr:rowOff>49956</xdr:rowOff>
    </xdr:from>
    <xdr:to>
      <xdr:col>2</xdr:col>
      <xdr:colOff>499533</xdr:colOff>
      <xdr:row>30</xdr:row>
      <xdr:rowOff>160866</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3D8A247F-6E45-87C7-EE3E-D5209CFC5C7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2974" y="3775289"/>
              <a:ext cx="1635759" cy="1973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84666</xdr:colOff>
      <xdr:row>12</xdr:row>
      <xdr:rowOff>50801</xdr:rowOff>
    </xdr:from>
    <xdr:to>
      <xdr:col>2</xdr:col>
      <xdr:colOff>508000</xdr:colOff>
      <xdr:row>19</xdr:row>
      <xdr:rowOff>160867</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127D5DA-A40F-11B3-EA7C-206B12BEE4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666" y="2286001"/>
              <a:ext cx="1642534" cy="1413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177800</xdr:colOff>
      <xdr:row>22</xdr:row>
      <xdr:rowOff>59268</xdr:rowOff>
    </xdr:from>
    <xdr:to>
      <xdr:col>23</xdr:col>
      <xdr:colOff>135466</xdr:colOff>
      <xdr:row>33</xdr:row>
      <xdr:rowOff>59268</xdr:rowOff>
    </xdr:to>
    <xdr:graphicFrame macro="">
      <xdr:nvGraphicFramePr>
        <xdr:cNvPr id="14" name="Chart 13">
          <a:extLst>
            <a:ext uri="{FF2B5EF4-FFF2-40B4-BE49-F238E27FC236}">
              <a16:creationId xmlns:a16="http://schemas.microsoft.com/office/drawing/2014/main" id="{438742C4-4CAF-4536-98E6-A0A87850B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204894</xdr:colOff>
      <xdr:row>22</xdr:row>
      <xdr:rowOff>135468</xdr:rowOff>
    </xdr:from>
    <xdr:to>
      <xdr:col>10</xdr:col>
      <xdr:colOff>76200</xdr:colOff>
      <xdr:row>33</xdr:row>
      <xdr:rowOff>1</xdr:rowOff>
    </xdr:to>
    <xdr:graphicFrame macro="">
      <xdr:nvGraphicFramePr>
        <xdr:cNvPr id="15" name="Chart 14">
          <a:extLst>
            <a:ext uri="{FF2B5EF4-FFF2-40B4-BE49-F238E27FC236}">
              <a16:creationId xmlns:a16="http://schemas.microsoft.com/office/drawing/2014/main" id="{897B62D8-B75D-4197-B3DC-F35A7377F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524933</xdr:colOff>
      <xdr:row>10</xdr:row>
      <xdr:rowOff>8468</xdr:rowOff>
    </xdr:from>
    <xdr:to>
      <xdr:col>16</xdr:col>
      <xdr:colOff>177801</xdr:colOff>
      <xdr:row>21</xdr:row>
      <xdr:rowOff>0</xdr:rowOff>
    </xdr:to>
    <xdr:graphicFrame macro="">
      <xdr:nvGraphicFramePr>
        <xdr:cNvPr id="13" name="Chart 12">
          <a:extLst>
            <a:ext uri="{FF2B5EF4-FFF2-40B4-BE49-F238E27FC236}">
              <a16:creationId xmlns:a16="http://schemas.microsoft.com/office/drawing/2014/main" id="{84447D77-840B-4515-8091-011C4BDC3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516466</xdr:colOff>
      <xdr:row>22</xdr:row>
      <xdr:rowOff>160865</xdr:rowOff>
    </xdr:from>
    <xdr:to>
      <xdr:col>16</xdr:col>
      <xdr:colOff>203200</xdr:colOff>
      <xdr:row>32</xdr:row>
      <xdr:rowOff>160866</xdr:rowOff>
    </xdr:to>
    <xdr:graphicFrame macro="">
      <xdr:nvGraphicFramePr>
        <xdr:cNvPr id="16" name="Chart 15">
          <a:extLst>
            <a:ext uri="{FF2B5EF4-FFF2-40B4-BE49-F238E27FC236}">
              <a16:creationId xmlns:a16="http://schemas.microsoft.com/office/drawing/2014/main" id="{B60C5987-8F86-4608-BCAF-6476D7583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203199</xdr:colOff>
      <xdr:row>0</xdr:row>
      <xdr:rowOff>50800</xdr:rowOff>
    </xdr:from>
    <xdr:to>
      <xdr:col>26</xdr:col>
      <xdr:colOff>44703</xdr:colOff>
      <xdr:row>3</xdr:row>
      <xdr:rowOff>169333</xdr:rowOff>
    </xdr:to>
    <xdr:sp macro="" textlink="">
      <xdr:nvSpPr>
        <xdr:cNvPr id="2" name="TextBox 1">
          <a:extLst>
            <a:ext uri="{FF2B5EF4-FFF2-40B4-BE49-F238E27FC236}">
              <a16:creationId xmlns:a16="http://schemas.microsoft.com/office/drawing/2014/main" id="{4B735AE7-E151-5C4E-6C7C-C9005F83AC74}"/>
            </a:ext>
          </a:extLst>
        </xdr:cNvPr>
        <xdr:cNvSpPr txBox="1"/>
      </xdr:nvSpPr>
      <xdr:spPr>
        <a:xfrm>
          <a:off x="203199" y="50800"/>
          <a:ext cx="15691104" cy="661458"/>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chemeClr val="tx2">
                  <a:lumMod val="75000"/>
                </a:schemeClr>
              </a:solidFill>
              <a:latin typeface="Arial Rounded MT Bold" panose="020F0704030504030204" pitchFamily="34" charset="0"/>
            </a:rPr>
            <a:t>E-Commerce</a:t>
          </a:r>
          <a:r>
            <a:rPr lang="en-US" sz="3600" baseline="0">
              <a:solidFill>
                <a:schemeClr val="tx2">
                  <a:lumMod val="75000"/>
                </a:schemeClr>
              </a:solidFill>
              <a:latin typeface="Arial Rounded MT Bold" panose="020F0704030504030204" pitchFamily="34" charset="0"/>
            </a:rPr>
            <a:t> Sales Reports</a:t>
          </a:r>
          <a:endParaRPr lang="en-US" sz="3600">
            <a:solidFill>
              <a:schemeClr val="tx2">
                <a:lumMod val="75000"/>
              </a:schemeClr>
            </a:solidFill>
            <a:latin typeface="Arial Rounded MT Bold" panose="020F0704030504030204" pitchFamily="34" charset="0"/>
          </a:endParaRPr>
        </a:p>
      </xdr:txBody>
    </xdr:sp>
    <xdr:clientData/>
  </xdr:twoCellAnchor>
  <xdr:twoCellAnchor>
    <xdr:from>
      <xdr:col>0</xdr:col>
      <xdr:colOff>203199</xdr:colOff>
      <xdr:row>4</xdr:row>
      <xdr:rowOff>118534</xdr:rowOff>
    </xdr:from>
    <xdr:to>
      <xdr:col>26</xdr:col>
      <xdr:colOff>44703</xdr:colOff>
      <xdr:row>6</xdr:row>
      <xdr:rowOff>160867</xdr:rowOff>
    </xdr:to>
    <xdr:sp macro="" textlink="">
      <xdr:nvSpPr>
        <xdr:cNvPr id="3" name="TextBox 2">
          <a:extLst>
            <a:ext uri="{FF2B5EF4-FFF2-40B4-BE49-F238E27FC236}">
              <a16:creationId xmlns:a16="http://schemas.microsoft.com/office/drawing/2014/main" id="{C2BFED79-BBE8-E516-B559-57C9DE18814F}"/>
            </a:ext>
          </a:extLst>
        </xdr:cNvPr>
        <xdr:cNvSpPr txBox="1"/>
      </xdr:nvSpPr>
      <xdr:spPr>
        <a:xfrm>
          <a:off x="203199" y="842434"/>
          <a:ext cx="15691104" cy="4042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mn-lt"/>
            </a:rPr>
            <a:t>Project Objective</a:t>
          </a:r>
        </a:p>
      </xdr:txBody>
    </xdr:sp>
    <xdr:clientData/>
  </xdr:twoCellAnchor>
  <xdr:twoCellAnchor>
    <xdr:from>
      <xdr:col>0</xdr:col>
      <xdr:colOff>203199</xdr:colOff>
      <xdr:row>8</xdr:row>
      <xdr:rowOff>0</xdr:rowOff>
    </xdr:from>
    <xdr:to>
      <xdr:col>26</xdr:col>
      <xdr:colOff>44703</xdr:colOff>
      <xdr:row>14</xdr:row>
      <xdr:rowOff>0</xdr:rowOff>
    </xdr:to>
    <xdr:sp macro="" textlink="">
      <xdr:nvSpPr>
        <xdr:cNvPr id="25" name="TextBox 24">
          <a:extLst>
            <a:ext uri="{FF2B5EF4-FFF2-40B4-BE49-F238E27FC236}">
              <a16:creationId xmlns:a16="http://schemas.microsoft.com/office/drawing/2014/main" id="{C5A7DCEB-9E07-1AA1-2FAF-B22F38494F24}"/>
            </a:ext>
          </a:extLst>
        </xdr:cNvPr>
        <xdr:cNvSpPr txBox="1"/>
      </xdr:nvSpPr>
      <xdr:spPr>
        <a:xfrm>
          <a:off x="203199" y="1447800"/>
          <a:ext cx="15691104" cy="108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lgn="l">
            <a:buFont typeface="Wingdings" panose="05000000000000000000" pitchFamily="2" charset="2"/>
            <a:buChar char="§"/>
          </a:pPr>
          <a:r>
            <a:rPr lang="en-US" sz="1400">
              <a:latin typeface="+mn-lt"/>
            </a:rPr>
            <a:t>Identify high-performing products and regions </a:t>
          </a:r>
        </a:p>
        <a:p>
          <a:pPr marL="285750" indent="-285750" algn="l">
            <a:buFont typeface="Wingdings" panose="05000000000000000000" pitchFamily="2" charset="2"/>
            <a:buChar char="§"/>
          </a:pPr>
          <a:r>
            <a:rPr lang="en-US" sz="1400">
              <a:latin typeface="+mn-lt"/>
            </a:rPr>
            <a:t>Analyze customer purchasing behavior </a:t>
          </a:r>
        </a:p>
        <a:p>
          <a:pPr marL="285750" indent="-285750" algn="l">
            <a:buFont typeface="Wingdings" panose="05000000000000000000" pitchFamily="2" charset="2"/>
            <a:buChar char="§"/>
          </a:pPr>
          <a:r>
            <a:rPr lang="en-US" sz="1400">
              <a:latin typeface="+mn-lt"/>
            </a:rPr>
            <a:t>Evaluate the impact of discounts and order size </a:t>
          </a:r>
        </a:p>
        <a:p>
          <a:pPr marL="285750" indent="-285750" algn="l">
            <a:buFont typeface="Wingdings" panose="05000000000000000000" pitchFamily="2" charset="2"/>
            <a:buChar char="§"/>
          </a:pPr>
          <a:r>
            <a:rPr lang="en-US" sz="1400">
              <a:latin typeface="+mn-lt"/>
            </a:rPr>
            <a:t>Provide data-driven insights for improving business decisions</a:t>
          </a:r>
        </a:p>
      </xdr:txBody>
    </xdr:sp>
    <xdr:clientData/>
  </xdr:twoCellAnchor>
  <xdr:twoCellAnchor>
    <xdr:from>
      <xdr:col>0</xdr:col>
      <xdr:colOff>203199</xdr:colOff>
      <xdr:row>14</xdr:row>
      <xdr:rowOff>160866</xdr:rowOff>
    </xdr:from>
    <xdr:to>
      <xdr:col>26</xdr:col>
      <xdr:colOff>44703</xdr:colOff>
      <xdr:row>16</xdr:row>
      <xdr:rowOff>160865</xdr:rowOff>
    </xdr:to>
    <xdr:sp macro="" textlink="">
      <xdr:nvSpPr>
        <xdr:cNvPr id="26" name="TextBox 25">
          <a:extLst>
            <a:ext uri="{FF2B5EF4-FFF2-40B4-BE49-F238E27FC236}">
              <a16:creationId xmlns:a16="http://schemas.microsoft.com/office/drawing/2014/main" id="{C8B1B975-9393-F8DF-B70B-CD6FCB6FDA9E}"/>
            </a:ext>
          </a:extLst>
        </xdr:cNvPr>
        <xdr:cNvSpPr txBox="1"/>
      </xdr:nvSpPr>
      <xdr:spPr>
        <a:xfrm>
          <a:off x="203199" y="2694516"/>
          <a:ext cx="15691104" cy="3619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mn-lt"/>
            </a:rPr>
            <a:t>Dataset Overview</a:t>
          </a:r>
        </a:p>
      </xdr:txBody>
    </xdr:sp>
    <xdr:clientData/>
  </xdr:twoCellAnchor>
  <xdr:twoCellAnchor>
    <xdr:from>
      <xdr:col>0</xdr:col>
      <xdr:colOff>203199</xdr:colOff>
      <xdr:row>17</xdr:row>
      <xdr:rowOff>160865</xdr:rowOff>
    </xdr:from>
    <xdr:to>
      <xdr:col>26</xdr:col>
      <xdr:colOff>44703</xdr:colOff>
      <xdr:row>24</xdr:row>
      <xdr:rowOff>160865</xdr:rowOff>
    </xdr:to>
    <xdr:sp macro="" textlink="">
      <xdr:nvSpPr>
        <xdr:cNvPr id="27" name="TextBox 26">
          <a:extLst>
            <a:ext uri="{FF2B5EF4-FFF2-40B4-BE49-F238E27FC236}">
              <a16:creationId xmlns:a16="http://schemas.microsoft.com/office/drawing/2014/main" id="{B8589425-B676-3104-5226-997B57108828}"/>
            </a:ext>
          </a:extLst>
        </xdr:cNvPr>
        <xdr:cNvSpPr txBox="1"/>
      </xdr:nvSpPr>
      <xdr:spPr>
        <a:xfrm>
          <a:off x="203199" y="3237440"/>
          <a:ext cx="15691104"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buFont typeface="Wingdings" panose="05000000000000000000" pitchFamily="2" charset="2"/>
            <a:buChar char="§"/>
          </a:pPr>
          <a:r>
            <a:rPr lang="en-US" sz="1400">
              <a:latin typeface="+mn-lt"/>
            </a:rPr>
            <a:t>Order details: Order_ID, Order_Date </a:t>
          </a:r>
        </a:p>
        <a:p>
          <a:pPr marL="285750" indent="-285750">
            <a:buFont typeface="Wingdings" panose="05000000000000000000" pitchFamily="2" charset="2"/>
            <a:buChar char="§"/>
          </a:pPr>
          <a:r>
            <a:rPr lang="en-US" sz="1400">
              <a:latin typeface="+mn-lt"/>
            </a:rPr>
            <a:t>Customer info: Region, City</a:t>
          </a:r>
          <a:r>
            <a:rPr lang="en-US" sz="1400" baseline="0">
              <a:latin typeface="+mn-lt"/>
            </a:rPr>
            <a:t> </a:t>
          </a:r>
        </a:p>
        <a:p>
          <a:pPr marL="285750" indent="-285750">
            <a:buFont typeface="Wingdings" panose="05000000000000000000" pitchFamily="2" charset="2"/>
            <a:buChar char="§"/>
          </a:pPr>
          <a:r>
            <a:rPr lang="en-US" sz="1400">
              <a:latin typeface="+mn-lt"/>
            </a:rPr>
            <a:t>Product info: Product_Category, Product_Name </a:t>
          </a:r>
        </a:p>
        <a:p>
          <a:pPr marL="285750" indent="-285750">
            <a:buFont typeface="Wingdings" panose="05000000000000000000" pitchFamily="2" charset="2"/>
            <a:buChar char="§"/>
          </a:pPr>
          <a:r>
            <a:rPr lang="en-US" sz="1400">
              <a:latin typeface="+mn-lt"/>
            </a:rPr>
            <a:t>Financial metrics: Sales, Profit, Cost Price, Net Sales </a:t>
          </a:r>
        </a:p>
        <a:p>
          <a:pPr marL="285750" indent="-285750">
            <a:buFont typeface="Wingdings" panose="05000000000000000000" pitchFamily="2" charset="2"/>
            <a:buChar char="§"/>
          </a:pPr>
          <a:r>
            <a:rPr lang="en-US" sz="1400">
              <a:latin typeface="+mn-lt"/>
            </a:rPr>
            <a:t>Derived fields: Profit Margin, Discount, Order Size, Customer Value Score</a:t>
          </a:r>
        </a:p>
      </xdr:txBody>
    </xdr:sp>
    <xdr:clientData/>
  </xdr:twoCellAnchor>
  <xdr:twoCellAnchor>
    <xdr:from>
      <xdr:col>0</xdr:col>
      <xdr:colOff>203199</xdr:colOff>
      <xdr:row>25</xdr:row>
      <xdr:rowOff>160865</xdr:rowOff>
    </xdr:from>
    <xdr:to>
      <xdr:col>26</xdr:col>
      <xdr:colOff>44703</xdr:colOff>
      <xdr:row>28</xdr:row>
      <xdr:rowOff>42332</xdr:rowOff>
    </xdr:to>
    <xdr:sp macro="" textlink="">
      <xdr:nvSpPr>
        <xdr:cNvPr id="28" name="TextBox 27">
          <a:extLst>
            <a:ext uri="{FF2B5EF4-FFF2-40B4-BE49-F238E27FC236}">
              <a16:creationId xmlns:a16="http://schemas.microsoft.com/office/drawing/2014/main" id="{FD634576-C0C9-D301-027C-AF49FAC320F4}"/>
            </a:ext>
          </a:extLst>
        </xdr:cNvPr>
        <xdr:cNvSpPr txBox="1"/>
      </xdr:nvSpPr>
      <xdr:spPr>
        <a:xfrm>
          <a:off x="203199" y="4685240"/>
          <a:ext cx="15691104" cy="4243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0">
              <a:solidFill>
                <a:schemeClr val="dk1"/>
              </a:solidFill>
              <a:effectLst/>
              <a:latin typeface="+mj-lt"/>
              <a:ea typeface="+mn-ea"/>
              <a:cs typeface="+mn-cs"/>
            </a:rPr>
            <a:t>Key Takeaways</a:t>
          </a:r>
        </a:p>
        <a:p>
          <a:endParaRPr lang="en-US" sz="2000">
            <a:latin typeface="+mn-lt"/>
          </a:endParaRPr>
        </a:p>
      </xdr:txBody>
    </xdr:sp>
    <xdr:clientData/>
  </xdr:twoCellAnchor>
  <xdr:twoCellAnchor>
    <xdr:from>
      <xdr:col>0</xdr:col>
      <xdr:colOff>203199</xdr:colOff>
      <xdr:row>29</xdr:row>
      <xdr:rowOff>16933</xdr:rowOff>
    </xdr:from>
    <xdr:to>
      <xdr:col>26</xdr:col>
      <xdr:colOff>44703</xdr:colOff>
      <xdr:row>35</xdr:row>
      <xdr:rowOff>84666</xdr:rowOff>
    </xdr:to>
    <xdr:sp macro="" textlink="">
      <xdr:nvSpPr>
        <xdr:cNvPr id="29" name="TextBox 28">
          <a:extLst>
            <a:ext uri="{FF2B5EF4-FFF2-40B4-BE49-F238E27FC236}">
              <a16:creationId xmlns:a16="http://schemas.microsoft.com/office/drawing/2014/main" id="{305465DC-725F-97FD-3D3C-ED5DB689678C}"/>
            </a:ext>
          </a:extLst>
        </xdr:cNvPr>
        <xdr:cNvSpPr txBox="1"/>
      </xdr:nvSpPr>
      <xdr:spPr>
        <a:xfrm>
          <a:off x="203199" y="5265208"/>
          <a:ext cx="15691104" cy="1153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lvl="0" indent="-285750">
            <a:buFont typeface="Wingdings" panose="05000000000000000000" pitchFamily="2" charset="2"/>
            <a:buChar char="§"/>
          </a:pPr>
          <a:r>
            <a:rPr lang="en-US" sz="1400">
              <a:solidFill>
                <a:schemeClr val="dk1"/>
              </a:solidFill>
              <a:effectLst/>
              <a:latin typeface="+mn-lt"/>
              <a:ea typeface="+mn-ea"/>
              <a:cs typeface="+mn-cs"/>
            </a:rPr>
            <a:t>Revenue is evenly spread across all four regions and categories — no single segment exceeds 27% of total sales.</a:t>
          </a:r>
        </a:p>
        <a:p>
          <a:pPr marL="285750" lvl="0" indent="-285750">
            <a:buFont typeface="Wingdings" panose="05000000000000000000" pitchFamily="2" charset="2"/>
            <a:buChar char="§"/>
          </a:pPr>
          <a:r>
            <a:rPr lang="en-US" sz="1400">
              <a:solidFill>
                <a:schemeClr val="dk1"/>
              </a:solidFill>
              <a:effectLst/>
              <a:latin typeface="+mn-lt"/>
              <a:ea typeface="+mn-ea"/>
              <a:cs typeface="+mn-cs"/>
            </a:rPr>
            <a:t>August was the peak month (₹17.9L); February was the weakest (₹9.6L), presenting a clear seasonal opportunity.</a:t>
          </a:r>
        </a:p>
        <a:p>
          <a:pPr marL="285750" lvl="0" indent="-285750">
            <a:buFont typeface="Wingdings" panose="05000000000000000000" pitchFamily="2" charset="2"/>
            <a:buChar char="§"/>
          </a:pPr>
          <a:r>
            <a:rPr lang="en-US" sz="1400">
              <a:solidFill>
                <a:schemeClr val="dk1"/>
              </a:solidFill>
              <a:effectLst/>
              <a:latin typeface="+mn-lt"/>
              <a:ea typeface="+mn-ea"/>
              <a:cs typeface="+mn-cs"/>
            </a:rPr>
            <a:t>Top 5 products span all categories, confirming diversified demand with no over-reliance on any one line.</a:t>
          </a:r>
        </a:p>
        <a:p>
          <a:pPr marL="285750" lvl="0" indent="-285750">
            <a:buFont typeface="Wingdings" panose="05000000000000000000" pitchFamily="2" charset="2"/>
            <a:buChar char="§"/>
          </a:pPr>
          <a:r>
            <a:rPr lang="en-US" sz="1400">
              <a:solidFill>
                <a:schemeClr val="dk1"/>
              </a:solidFill>
              <a:effectLst/>
              <a:latin typeface="+mn-lt"/>
              <a:ea typeface="+mn-ea"/>
              <a:cs typeface="+mn-cs"/>
            </a:rPr>
            <a:t>The 16.4% profit margin is consistent across segments, indicating stable pricing and cost discipline.</a:t>
          </a:r>
        </a:p>
        <a:p>
          <a:pPr marL="285750" indent="-285750">
            <a:buFont typeface="Wingdings" panose="05000000000000000000" pitchFamily="2" charset="2"/>
            <a:buChar char="§"/>
          </a:pPr>
          <a:endParaRPr lang="en-US" sz="1400">
            <a:latin typeface="+mn-lt"/>
          </a:endParaRPr>
        </a:p>
        <a:p>
          <a:pPr marL="171450" indent="-171450">
            <a:buFont typeface="Arial" panose="020B0604020202020204" pitchFamily="34" charset="0"/>
            <a:buChar char="•"/>
          </a:pPr>
          <a:endParaRPr lang="en-US" sz="1100"/>
        </a:p>
      </xdr:txBody>
    </xdr:sp>
    <xdr:clientData/>
  </xdr:twoCellAnchor>
  <xdr:twoCellAnchor>
    <xdr:from>
      <xdr:col>0</xdr:col>
      <xdr:colOff>203199</xdr:colOff>
      <xdr:row>36</xdr:row>
      <xdr:rowOff>8465</xdr:rowOff>
    </xdr:from>
    <xdr:to>
      <xdr:col>26</xdr:col>
      <xdr:colOff>44703</xdr:colOff>
      <xdr:row>38</xdr:row>
      <xdr:rowOff>101599</xdr:rowOff>
    </xdr:to>
    <xdr:sp macro="" textlink="">
      <xdr:nvSpPr>
        <xdr:cNvPr id="30" name="TextBox 29">
          <a:extLst>
            <a:ext uri="{FF2B5EF4-FFF2-40B4-BE49-F238E27FC236}">
              <a16:creationId xmlns:a16="http://schemas.microsoft.com/office/drawing/2014/main" id="{4C055F8F-3F4B-FBF7-7CD6-CA94B5C88873}"/>
            </a:ext>
          </a:extLst>
        </xdr:cNvPr>
        <xdr:cNvSpPr txBox="1"/>
      </xdr:nvSpPr>
      <xdr:spPr>
        <a:xfrm>
          <a:off x="203199" y="6523565"/>
          <a:ext cx="15691104" cy="4550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mn-lt"/>
            </a:rPr>
            <a:t>Conclusion</a:t>
          </a:r>
        </a:p>
      </xdr:txBody>
    </xdr:sp>
    <xdr:clientData/>
  </xdr:twoCellAnchor>
  <xdr:twoCellAnchor>
    <xdr:from>
      <xdr:col>0</xdr:col>
      <xdr:colOff>203199</xdr:colOff>
      <xdr:row>39</xdr:row>
      <xdr:rowOff>59266</xdr:rowOff>
    </xdr:from>
    <xdr:to>
      <xdr:col>26</xdr:col>
      <xdr:colOff>44703</xdr:colOff>
      <xdr:row>44</xdr:row>
      <xdr:rowOff>42332</xdr:rowOff>
    </xdr:to>
    <xdr:sp macro="" textlink="">
      <xdr:nvSpPr>
        <xdr:cNvPr id="31" name="TextBox 30">
          <a:extLst>
            <a:ext uri="{FF2B5EF4-FFF2-40B4-BE49-F238E27FC236}">
              <a16:creationId xmlns:a16="http://schemas.microsoft.com/office/drawing/2014/main" id="{0131FCD2-088F-14BA-269F-0636BC4B8531}"/>
            </a:ext>
          </a:extLst>
        </xdr:cNvPr>
        <xdr:cNvSpPr txBox="1"/>
      </xdr:nvSpPr>
      <xdr:spPr>
        <a:xfrm>
          <a:off x="203199" y="7117291"/>
          <a:ext cx="15691104" cy="887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buFont typeface="Wingdings" panose="05000000000000000000" pitchFamily="2" charset="2"/>
            <a:buChar char="§"/>
          </a:pPr>
          <a:r>
            <a:rPr lang="en-US" sz="1400">
              <a:latin typeface="+mn-lt"/>
            </a:rPr>
            <a:t>This project demonstrates how Excel can be used as a powerful tool for </a:t>
          </a:r>
          <a:r>
            <a:rPr lang="en-US" sz="1400" b="0">
              <a:latin typeface="+mn-lt"/>
            </a:rPr>
            <a:t>data analysis and business decision-making.</a:t>
          </a:r>
        </a:p>
        <a:p>
          <a:pPr marL="285750" indent="-285750">
            <a:buFont typeface="Wingdings" panose="05000000000000000000" pitchFamily="2" charset="2"/>
            <a:buChar char="§"/>
          </a:pPr>
          <a:r>
            <a:rPr lang="en-US" sz="1400">
              <a:latin typeface="+mn-lt"/>
            </a:rPr>
            <a:t>By applying data cleaning, feature engineering, and visualization techniques, meaningful insights were extracted from the dataset. </a:t>
          </a:r>
        </a:p>
        <a:p>
          <a:pPr marL="285750" indent="-285750">
            <a:buFont typeface="Wingdings" panose="05000000000000000000" pitchFamily="2" charset="2"/>
            <a:buChar char="§"/>
          </a:pPr>
          <a:r>
            <a:rPr lang="en-US" sz="1400">
              <a:latin typeface="+mn-lt"/>
            </a:rPr>
            <a:t>These insights can help businesses optimize their strategies, improve profitability, and target the right customers</a:t>
          </a:r>
          <a:r>
            <a:rPr lang="en-US" sz="1600">
              <a:latin typeface="+mn-lt"/>
            </a:rPr>
            <a:t>.</a:t>
          </a:r>
        </a:p>
        <a:p>
          <a:endParaRPr lang="en-US" sz="1100"/>
        </a:p>
      </xdr:txBody>
    </xdr:sp>
    <xdr:clientData/>
  </xdr:twoCellAnchor>
  <xdr:twoCellAnchor>
    <xdr:from>
      <xdr:col>0</xdr:col>
      <xdr:colOff>203199</xdr:colOff>
      <xdr:row>44</xdr:row>
      <xdr:rowOff>177800</xdr:rowOff>
    </xdr:from>
    <xdr:to>
      <xdr:col>26</xdr:col>
      <xdr:colOff>44703</xdr:colOff>
      <xdr:row>47</xdr:row>
      <xdr:rowOff>67733</xdr:rowOff>
    </xdr:to>
    <xdr:sp macro="" textlink="">
      <xdr:nvSpPr>
        <xdr:cNvPr id="4" name="TextBox 3">
          <a:extLst>
            <a:ext uri="{FF2B5EF4-FFF2-40B4-BE49-F238E27FC236}">
              <a16:creationId xmlns:a16="http://schemas.microsoft.com/office/drawing/2014/main" id="{89A1CE78-7F3C-76F2-C90D-4364F2A9BF03}"/>
            </a:ext>
          </a:extLst>
        </xdr:cNvPr>
        <xdr:cNvSpPr txBox="1"/>
      </xdr:nvSpPr>
      <xdr:spPr>
        <a:xfrm>
          <a:off x="203199" y="8140700"/>
          <a:ext cx="15691104" cy="4328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0">
              <a:solidFill>
                <a:schemeClr val="dk1"/>
              </a:solidFill>
              <a:effectLst/>
              <a:latin typeface="+mj-lt"/>
              <a:ea typeface="+mn-ea"/>
              <a:cs typeface="+mn-cs"/>
            </a:rPr>
            <a:t>Summary</a:t>
          </a:r>
        </a:p>
        <a:p>
          <a:endParaRPr lang="en-US" sz="1100"/>
        </a:p>
      </xdr:txBody>
    </xdr:sp>
    <xdr:clientData/>
  </xdr:twoCellAnchor>
  <xdr:twoCellAnchor>
    <xdr:from>
      <xdr:col>0</xdr:col>
      <xdr:colOff>203199</xdr:colOff>
      <xdr:row>48</xdr:row>
      <xdr:rowOff>8466</xdr:rowOff>
    </xdr:from>
    <xdr:to>
      <xdr:col>26</xdr:col>
      <xdr:colOff>44703</xdr:colOff>
      <xdr:row>54</xdr:row>
      <xdr:rowOff>50799</xdr:rowOff>
    </xdr:to>
    <xdr:sp macro="" textlink="">
      <xdr:nvSpPr>
        <xdr:cNvPr id="5" name="TextBox 4">
          <a:extLst>
            <a:ext uri="{FF2B5EF4-FFF2-40B4-BE49-F238E27FC236}">
              <a16:creationId xmlns:a16="http://schemas.microsoft.com/office/drawing/2014/main" id="{5A243F16-AD16-1DEA-9496-22E5B460AAB8}"/>
            </a:ext>
          </a:extLst>
        </xdr:cNvPr>
        <xdr:cNvSpPr txBox="1"/>
      </xdr:nvSpPr>
      <xdr:spPr>
        <a:xfrm>
          <a:off x="203199" y="8695266"/>
          <a:ext cx="15691104" cy="11281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buFont typeface="Wingdings" panose="05000000000000000000" pitchFamily="2" charset="2"/>
            <a:buChar char="§"/>
          </a:pPr>
          <a:r>
            <a:rPr lang="en-US" sz="1400">
              <a:solidFill>
                <a:schemeClr val="dk1"/>
              </a:solidFill>
              <a:effectLst/>
              <a:latin typeface="+mn-lt"/>
              <a:ea typeface="+mn-ea"/>
              <a:cs typeface="+mn-cs"/>
            </a:rPr>
            <a:t>This report summarises performance across all orders recorded in the clean e-commerce dataset for calendar year 2023. The business generated total revenue of ₹15,984,983 (₹1.60 crore) from 1,200 orders across four geographic regions and four product categories. Total profit stood at ₹2,616,485, representing an overall margin of 16.4%.</a:t>
          </a:r>
        </a:p>
        <a:p>
          <a:pPr marL="285750" indent="-285750">
            <a:buFont typeface="Wingdings" panose="05000000000000000000" pitchFamily="2" charset="2"/>
            <a:buChar char="§"/>
          </a:pPr>
          <a:r>
            <a:rPr lang="en-US" sz="1400">
              <a:solidFill>
                <a:schemeClr val="dk1"/>
              </a:solidFill>
              <a:effectLst/>
              <a:latin typeface="+mn-lt"/>
              <a:ea typeface="+mn-ea"/>
              <a:cs typeface="+mn-cs"/>
            </a:rPr>
            <a:t>Performance was notably balanced across both regions and categories, with no single segment contributing more than 27% of total revenue. The strongest sales month was August (₹17.9 lakh), while February recorded the lowest activity (₹9.6 lakh</a:t>
          </a:r>
          <a:r>
            <a:rPr lang="en-US" sz="1100">
              <a:solidFill>
                <a:schemeClr val="dk1"/>
              </a:solidFill>
              <a:effectLst/>
              <a:latin typeface="+mn-lt"/>
              <a:ea typeface="+mn-ea"/>
              <a:cs typeface="+mn-cs"/>
            </a:rPr>
            <a:t>).</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1.619080208337" createdVersion="8" refreshedVersion="8" minRefreshableVersion="3" recordCount="1200" xr:uid="{B7A5079D-DBE1-41AC-9B81-9DE6F810E220}">
  <cacheSource type="worksheet">
    <worksheetSource name="Table13"/>
  </cacheSource>
  <cacheFields count="21">
    <cacheField name="Order_ID" numFmtId="0">
      <sharedItems/>
    </cacheField>
    <cacheField name="Order_Date" numFmtId="14">
      <sharedItems containsSemiMixedTypes="0" containsNonDate="0" containsDate="1" containsString="0" minDate="2023-01-01T00:00:00" maxDate="2024-01-01T00:00:00"/>
    </cacheField>
    <cacheField name="Region" numFmtId="0">
      <sharedItems count="4">
        <s v="East"/>
        <s v="South"/>
        <s v="North"/>
        <s v="West"/>
      </sharedItems>
    </cacheField>
    <cacheField name="City" numFmtId="0">
      <sharedItems count="6">
        <s v="Bangalore"/>
        <s v="Chennai"/>
        <s v="Kolkata"/>
        <s v="Mumbai"/>
        <s v="Delhi"/>
        <s v="Unknown"/>
      </sharedItems>
    </cacheField>
    <cacheField name="Product_Category" numFmtId="0">
      <sharedItems count="4">
        <s v="Groceries"/>
        <s v="Clothing"/>
        <s v="Furniture"/>
        <s v="Electronics"/>
      </sharedItems>
    </cacheField>
    <cacheField name="Product_Name" numFmtId="0">
      <sharedItems count="17">
        <s v="Oil"/>
        <s v="T-shirt"/>
        <s v="Jeans"/>
        <s v="Bed"/>
        <s v="Headphones"/>
        <s v="Shirt"/>
        <s v="Table"/>
        <s v="Mobile"/>
        <s v="Chair"/>
        <s v="Rice"/>
        <s v="Unknown"/>
        <s v="Wheat"/>
        <s v="Laptop"/>
        <s v="Sofa"/>
        <s v="Tablet"/>
        <s v="Jacket"/>
        <s v="Milk"/>
      </sharedItems>
    </cacheField>
    <cacheField name="Quantity" numFmtId="1">
      <sharedItems containsSemiMixedTypes="0" containsString="0" containsNumber="1" containsInteger="1" minValue="1" maxValue="9" count="9">
        <n v="8"/>
        <n v="5"/>
        <n v="6"/>
        <n v="9"/>
        <n v="3"/>
        <n v="7"/>
        <n v="4"/>
        <n v="2"/>
        <n v="1"/>
      </sharedItems>
    </cacheField>
    <cacheField name="Price" numFmtId="0">
      <sharedItems containsSemiMixedTypes="0" containsString="0" containsNumber="1" containsInteger="1" minValue="202" maxValue="4998"/>
    </cacheField>
    <cacheField name="Sales" numFmtId="0">
      <sharedItems containsSemiMixedTypes="0" containsString="0" containsNumber="1" containsInteger="1" minValue="216" maxValue="44955" count="1148">
        <n v="31776"/>
        <n v="16855"/>
        <n v="15798"/>
        <n v="6066"/>
        <n v="6297"/>
        <n v="21616"/>
        <n v="7815"/>
        <n v="7140"/>
        <n v="722"/>
        <n v="4296"/>
        <n v="20358"/>
        <n v="13560"/>
        <n v="18805"/>
        <n v="6608"/>
        <n v="23784"/>
        <n v="32851"/>
        <n v="3189"/>
        <n v="13146"/>
        <n v="5858"/>
        <n v="8724"/>
        <n v="25875"/>
        <n v="24895"/>
        <n v="4859"/>
        <n v="3199"/>
        <n v="25718"/>
        <n v="25970"/>
        <n v="12780"/>
        <n v="16266"/>
        <n v="1038"/>
        <n v="18095"/>
        <n v="29827"/>
        <n v="15372"/>
        <n v="15792"/>
        <n v="20346"/>
        <n v="26394"/>
        <n v="9266"/>
        <n v="4693"/>
        <n v="14295"/>
        <n v="28432"/>
        <n v="4748"/>
        <n v="216"/>
        <n v="11340"/>
        <n v="1560"/>
        <n v="6921"/>
        <n v="11316"/>
        <n v="36328"/>
        <n v="23895"/>
        <n v="37560"/>
        <n v="15274"/>
        <n v="11490"/>
        <n v="3324"/>
        <n v="17368"/>
        <n v="14856"/>
        <n v="1580"/>
        <n v="3049"/>
        <n v="17715"/>
        <n v="23429"/>
        <n v="16590"/>
        <n v="24230"/>
        <n v="18294"/>
        <n v="12384"/>
        <n v="7548"/>
        <n v="11094"/>
        <n v="5492"/>
        <n v="628"/>
        <n v="7424"/>
        <n v="23888"/>
        <n v="34656"/>
        <n v="4152"/>
        <n v="595"/>
        <n v="15108"/>
        <n v="19180"/>
        <n v="24458"/>
        <n v="2306"/>
        <n v="28737"/>
        <n v="11757"/>
        <n v="31584"/>
        <n v="14484"/>
        <n v="2886"/>
        <n v="22904"/>
        <n v="1023"/>
        <n v="21875"/>
        <n v="11136"/>
        <n v="21180"/>
        <n v="6725"/>
        <n v="21680"/>
        <n v="10572"/>
        <n v="7976"/>
        <n v="846"/>
        <n v="29904"/>
        <n v="24065"/>
        <n v="4346"/>
        <n v="7238"/>
        <n v="5820"/>
        <n v="44271"/>
        <n v="7050"/>
        <n v="14226"/>
        <n v="23639"/>
        <n v="3032"/>
        <n v="2880"/>
        <n v="8792"/>
        <n v="8712"/>
        <n v="4338"/>
        <n v="22464"/>
        <n v="2255"/>
        <n v="4512"/>
        <n v="20979"/>
        <n v="43020"/>
        <n v="34164"/>
        <n v="4716"/>
        <n v="25740"/>
        <n v="24072"/>
        <n v="24560"/>
        <n v="4002"/>
        <n v="26934"/>
        <n v="8046"/>
        <n v="4949"/>
        <n v="11832"/>
        <n v="31304"/>
        <n v="17904"/>
        <n v="9258"/>
        <n v="3591"/>
        <n v="9294"/>
        <n v="23841"/>
        <n v="4870"/>
        <n v="4394"/>
        <n v="4206"/>
        <n v="7854"/>
        <n v="17752"/>
        <n v="3053"/>
        <n v="27424"/>
        <n v="588"/>
        <n v="17224"/>
        <n v="25640"/>
        <n v="12540"/>
        <n v="39114"/>
        <n v="18380"/>
        <n v="29172"/>
        <n v="17648"/>
        <n v="3510"/>
        <n v="4215"/>
        <n v="4580"/>
        <n v="1166"/>
        <n v="36976"/>
        <n v="10767"/>
        <n v="18120"/>
        <n v="2361"/>
        <n v="11767"/>
        <n v="7324"/>
        <n v="28080"/>
        <n v="4686"/>
        <n v="1456"/>
        <n v="16786"/>
        <n v="1426"/>
        <n v="9532"/>
        <n v="33993"/>
        <n v="30961"/>
        <n v="32670"/>
        <n v="7996"/>
        <n v="20529"/>
        <n v="2705"/>
        <n v="5886"/>
        <n v="3066"/>
        <n v="5344"/>
        <n v="37608"/>
        <n v="706"/>
        <n v="34560"/>
        <n v="11247"/>
        <n v="3204"/>
        <n v="4304"/>
        <n v="23556"/>
        <n v="4190"/>
        <n v="5163"/>
        <n v="3332"/>
        <n v="660"/>
        <n v="30296"/>
        <n v="1020"/>
        <n v="8020"/>
        <n v="24960"/>
        <n v="17864"/>
        <n v="42246"/>
        <n v="11540"/>
        <n v="2168"/>
        <n v="27000"/>
        <n v="20552"/>
        <n v="8811"/>
        <n v="6552"/>
        <n v="25938"/>
        <n v="39015"/>
        <n v="33376"/>
        <n v="3311"/>
        <n v="26488"/>
        <n v="20664"/>
        <n v="17244"/>
        <n v="42489"/>
        <n v="15295"/>
        <n v="39960"/>
        <n v="13023"/>
        <n v="8348"/>
        <n v="1085"/>
        <n v="3848"/>
        <n v="8118"/>
        <n v="238"/>
        <n v="6710"/>
        <n v="9504"/>
        <n v="43785"/>
        <n v="992"/>
        <n v="9472"/>
        <n v="18576"/>
        <n v="2904"/>
        <n v="7852"/>
        <n v="6264"/>
        <n v="3178"/>
        <n v="2243"/>
        <n v="3136"/>
        <n v="36296"/>
        <n v="1117"/>
        <n v="8876"/>
        <n v="13536"/>
        <n v="32888"/>
        <n v="1628"/>
        <n v="38781"/>
        <n v="7107"/>
        <n v="17892"/>
        <n v="2583"/>
        <n v="12990"/>
        <n v="1790"/>
        <n v="4620"/>
        <n v="20055"/>
        <n v="29592"/>
        <n v="11373"/>
        <n v="1148"/>
        <n v="19824"/>
        <n v="2043"/>
        <n v="36768"/>
        <n v="13320"/>
        <n v="9042"/>
        <n v="1855"/>
        <n v="16612"/>
        <n v="8806"/>
        <n v="4287"/>
        <n v="9024"/>
        <n v="24738"/>
        <n v="15631"/>
        <n v="5348"/>
        <n v="33216"/>
        <n v="9972"/>
        <n v="4644"/>
        <n v="13923"/>
        <n v="22518"/>
        <n v="8168"/>
        <n v="16730"/>
        <n v="3538"/>
        <n v="11034"/>
        <n v="6885"/>
        <n v="12120"/>
        <n v="3030"/>
        <n v="8226"/>
        <n v="2326"/>
        <n v="915"/>
        <n v="41805"/>
        <n v="17913"/>
        <n v="11988"/>
        <n v="10500"/>
        <n v="16740"/>
        <n v="21725"/>
        <n v="9720"/>
        <n v="9936"/>
        <n v="12222"/>
        <n v="8721"/>
        <n v="25248"/>
        <n v="16806"/>
        <n v="272"/>
        <n v="5528"/>
        <n v="1623"/>
        <n v="7803"/>
        <n v="10340"/>
        <n v="20718"/>
        <n v="5637"/>
        <n v="20715"/>
        <n v="28506"/>
        <n v="5512"/>
        <n v="15085"/>
        <n v="18424"/>
        <n v="4337"/>
        <n v="20028"/>
        <n v="6356"/>
        <n v="40131"/>
        <n v="6480"/>
        <n v="12944"/>
        <n v="15071"/>
        <n v="5248"/>
        <n v="1797"/>
        <n v="13968"/>
        <n v="3868"/>
        <n v="13748"/>
        <n v="12465"/>
        <n v="16420"/>
        <n v="22340"/>
        <n v="34468"/>
        <n v="8008"/>
        <n v="1944"/>
        <n v="441"/>
        <n v="1950"/>
        <n v="18784"/>
        <n v="1821"/>
        <n v="7496"/>
        <n v="4860"/>
        <n v="1446"/>
        <n v="2324"/>
        <n v="31395"/>
        <n v="7752"/>
        <n v="1135"/>
        <n v="35073"/>
        <n v="33504"/>
        <n v="4792"/>
        <n v="5166"/>
        <n v="9016"/>
        <n v="23724"/>
        <n v="666"/>
        <n v="4488"/>
        <n v="2055"/>
        <n v="21231"/>
        <n v="1237"/>
        <n v="24570"/>
        <n v="9704"/>
        <n v="18564"/>
        <n v="3390"/>
        <n v="22029"/>
        <n v="12264"/>
        <n v="19044"/>
        <n v="9842"/>
        <n v="10971"/>
        <n v="13950"/>
        <n v="6291"/>
        <n v="17742"/>
        <n v="14628"/>
        <n v="7300"/>
        <n v="28672"/>
        <n v="16371"/>
        <n v="8658"/>
        <n v="13284"/>
        <n v="7676"/>
        <n v="3556"/>
        <n v="15704"/>
        <n v="19260"/>
        <n v="42111"/>
        <n v="7173"/>
        <n v="34821"/>
        <n v="18940"/>
        <n v="14796"/>
        <n v="5781"/>
        <n v="11964"/>
        <n v="20745"/>
        <n v="1777"/>
        <n v="9204"/>
        <n v="2736"/>
        <n v="14900"/>
        <n v="4196"/>
        <n v="12535"/>
        <n v="5418"/>
        <n v="10374"/>
        <n v="7800"/>
        <n v="14355"/>
        <n v="6380"/>
        <n v="20155"/>
        <n v="2596"/>
        <n v="13752"/>
        <n v="2840"/>
        <n v="7378"/>
        <n v="28968"/>
        <n v="4846"/>
        <n v="15924"/>
        <n v="12351"/>
        <n v="13002"/>
        <n v="22779"/>
        <n v="34496"/>
        <n v="21696"/>
        <n v="9810"/>
        <n v="19068"/>
        <n v="3384"/>
        <n v="2244"/>
        <n v="542"/>
        <n v="44586"/>
        <n v="19200"/>
        <n v="4668"/>
        <n v="17928"/>
        <n v="5574"/>
        <n v="341"/>
        <n v="13776"/>
        <n v="4897"/>
        <n v="18000"/>
        <n v="11526"/>
        <n v="38008"/>
        <n v="8309"/>
        <n v="27720"/>
        <n v="4008"/>
        <n v="3609"/>
        <n v="10167"/>
        <n v="18925"/>
        <n v="7446"/>
        <n v="1350"/>
        <n v="6650"/>
        <n v="4046"/>
        <n v="24927"/>
        <n v="2806"/>
        <n v="9762"/>
        <n v="5645"/>
        <n v="2100"/>
        <n v="5018"/>
        <n v="1615"/>
        <n v="23544"/>
        <n v="26178"/>
        <n v="12950"/>
        <n v="540"/>
        <n v="10968"/>
        <n v="4772"/>
        <n v="23610"/>
        <n v="4280"/>
        <n v="11448"/>
        <n v="5880"/>
        <n v="7182"/>
        <n v="12670"/>
        <n v="36225"/>
        <n v="4408"/>
        <n v="2584"/>
        <n v="8070"/>
        <n v="29868"/>
        <n v="7904"/>
        <n v="12942"/>
        <n v="15948"/>
        <n v="30582"/>
        <n v="2452"/>
        <n v="4584"/>
        <n v="31199"/>
        <n v="18864"/>
        <n v="33320"/>
        <n v="636"/>
        <n v="382"/>
        <n v="3436"/>
        <n v="9298"/>
        <n v="2084"/>
        <n v="5274"/>
        <n v="4432"/>
        <n v="397"/>
        <n v="4099"/>
        <n v="20940"/>
        <n v="18904"/>
        <n v="15285"/>
        <n v="10722"/>
        <n v="41616"/>
        <n v="9772"/>
        <n v="6834"/>
        <n v="5244"/>
        <n v="19285"/>
        <n v="18772"/>
        <n v="19344"/>
        <n v="4123"/>
        <n v="21972"/>
        <n v="35181"/>
        <n v="32214"/>
        <n v="26528"/>
        <n v="6952"/>
        <n v="27412"/>
        <n v="3470"/>
        <n v="1980"/>
        <n v="1272"/>
        <n v="44829"/>
        <n v="22455"/>
        <n v="19225"/>
        <n v="3948"/>
        <n v="3492"/>
        <n v="21544"/>
        <n v="7483"/>
        <n v="2992"/>
        <n v="27296"/>
        <n v="4482"/>
        <n v="24012"/>
        <n v="12085"/>
        <n v="41796"/>
        <n v="21108"/>
        <n v="4106"/>
        <n v="27118"/>
        <n v="3568"/>
        <n v="15596"/>
        <n v="2601"/>
        <n v="6880"/>
        <n v="15666"/>
        <n v="7511"/>
        <n v="14319"/>
        <n v="1880"/>
        <n v="15228"/>
        <n v="24164"/>
        <n v="24880"/>
        <n v="26848"/>
        <n v="17036"/>
        <n v="7626"/>
        <n v="43119"/>
        <n v="3768"/>
        <n v="9098"/>
        <n v="4107"/>
        <n v="35192"/>
        <n v="34776"/>
        <n v="9378"/>
        <n v="31409"/>
        <n v="726"/>
        <n v="25102"/>
        <n v="7194"/>
        <n v="35379"/>
        <n v="22128"/>
        <n v="19036"/>
        <n v="3149"/>
        <n v="249"/>
        <n v="4557"/>
        <n v="23688"/>
        <n v="1434"/>
        <n v="18880"/>
        <n v="814"/>
        <n v="31598"/>
        <n v="18792"/>
        <n v="5826"/>
        <n v="9416"/>
        <n v="19164"/>
        <n v="4347"/>
        <n v="6360"/>
        <n v="2250"/>
        <n v="5937"/>
        <n v="15504"/>
        <n v="21753"/>
        <n v="11936"/>
        <n v="6420"/>
        <n v="13111"/>
        <n v="31656"/>
        <n v="2079"/>
        <n v="4227"/>
        <n v="21336"/>
        <n v="16554"/>
        <n v="26908"/>
        <n v="22918"/>
        <n v="5620"/>
        <n v="8604"/>
        <n v="9548"/>
        <n v="16508"/>
        <n v="4609"/>
        <n v="14136"/>
        <n v="3142"/>
        <n v="19160"/>
        <n v="19734"/>
        <n v="14787"/>
        <n v="17458"/>
        <n v="32040"/>
        <n v="2148"/>
        <n v="4540"/>
        <n v="23000"/>
        <n v="450"/>
        <n v="36837"/>
        <n v="16032"/>
        <n v="8416"/>
        <n v="1749"/>
        <n v="20312"/>
        <n v="5608"/>
        <n v="606"/>
        <n v="12360"/>
        <n v="2570"/>
        <n v="17240"/>
        <n v="11921"/>
        <n v="23541"/>
        <n v="8330"/>
        <n v="8465"/>
        <n v="16650"/>
        <n v="4001"/>
        <n v="583"/>
        <n v="4451"/>
        <n v="19476"/>
        <n v="1612"/>
        <n v="5220"/>
        <n v="38000"/>
        <n v="1405"/>
        <n v="13980"/>
        <n v="2504"/>
        <n v="10188"/>
        <n v="8790"/>
        <n v="9306"/>
        <n v="19170"/>
        <n v="7422"/>
        <n v="24345"/>
        <n v="574"/>
        <n v="10365"/>
        <n v="24450"/>
        <n v="27546"/>
        <n v="8225"/>
        <n v="28216"/>
        <n v="10010"/>
        <n v="20280"/>
        <n v="2588"/>
        <n v="38872"/>
        <n v="8488"/>
        <n v="9392"/>
        <n v="33328"/>
        <n v="23905"/>
        <n v="23912"/>
        <n v="2125"/>
        <n v="18824"/>
        <n v="5814"/>
        <n v="13029"/>
        <n v="17056"/>
        <n v="20418"/>
        <n v="20772"/>
        <n v="17910"/>
        <n v="9459"/>
        <n v="2535"/>
        <n v="32746"/>
        <n v="10988"/>
        <n v="27699"/>
        <n v="8600"/>
        <n v="3557"/>
        <n v="6056"/>
        <n v="1368"/>
        <n v="18848"/>
        <n v="7982"/>
        <n v="28359"/>
        <n v="13302"/>
        <n v="20620"/>
        <n v="4368"/>
        <n v="2572"/>
        <n v="12807"/>
        <n v="15988"/>
        <n v="3376"/>
        <n v="6483"/>
        <n v="8410"/>
        <n v="20972"/>
        <n v="19494"/>
        <n v="10885"/>
        <n v="2296"/>
        <n v="7443"/>
        <n v="4696"/>
        <n v="17232"/>
        <n v="21295"/>
        <n v="10872"/>
        <n v="2550"/>
        <n v="1118"/>
        <n v="12775"/>
        <n v="9595"/>
        <n v="477"/>
        <n v="9894"/>
        <n v="31664"/>
        <n v="26748"/>
        <n v="2662"/>
        <n v="5454"/>
        <n v="33957"/>
        <n v="7998"/>
        <n v="35520"/>
        <n v="8106"/>
        <n v="18896"/>
        <n v="26586"/>
        <n v="8094"/>
        <n v="9135"/>
        <n v="27167"/>
        <n v="8108"/>
        <n v="17226"/>
        <n v="6700"/>
        <n v="9588"/>
        <n v="20907"/>
        <n v="18126"/>
        <n v="30275"/>
        <n v="33885"/>
        <n v="9180"/>
        <n v="29880"/>
        <n v="6532"/>
        <n v="28716"/>
        <n v="10120"/>
        <n v="4548"/>
        <n v="12172"/>
        <n v="23765"/>
        <n v="19024"/>
        <n v="5548"/>
        <n v="976"/>
        <n v="11124"/>
        <n v="21636"/>
        <n v="5575"/>
        <n v="9826"/>
        <n v="8064"/>
        <n v="5444"/>
        <n v="3108"/>
        <n v="14392"/>
        <n v="4854"/>
        <n v="5324"/>
        <n v="633"/>
        <n v="4554"/>
        <n v="8352"/>
        <n v="2304"/>
        <n v="43947"/>
        <n v="17420"/>
        <n v="6534"/>
        <n v="20885"/>
        <n v="25986"/>
        <n v="11871"/>
        <n v="4753"/>
        <n v="12042"/>
        <n v="26803"/>
        <n v="4712"/>
        <n v="1468"/>
        <n v="7945"/>
        <n v="10404"/>
        <n v="13230"/>
        <n v="9402"/>
        <n v="7320"/>
        <n v="17212"/>
        <n v="7376"/>
        <n v="2220"/>
        <n v="20625"/>
        <n v="3486"/>
        <n v="12786"/>
        <n v="17142"/>
        <n v="13869"/>
        <n v="23004"/>
        <n v="23022"/>
        <n v="3955"/>
        <n v="26383"/>
        <n v="9087"/>
        <n v="13456"/>
        <n v="2215"/>
        <n v="12432"/>
        <n v="1744"/>
        <n v="12108"/>
        <n v="6363"/>
        <n v="35235"/>
        <n v="29262"/>
        <n v="11400"/>
        <n v="3624"/>
        <n v="8312"/>
        <n v="8454"/>
        <n v="6934"/>
        <n v="11445"/>
        <n v="17844"/>
        <n v="7623"/>
        <n v="11367"/>
        <n v="34288"/>
        <n v="26296"/>
        <n v="15834"/>
        <n v="2513"/>
        <n v="33624"/>
        <n v="9900"/>
        <n v="7430"/>
        <n v="42867"/>
        <n v="9507"/>
        <n v="39987"/>
        <n v="8940"/>
        <n v="43722"/>
        <n v="28021"/>
        <n v="10000"/>
        <n v="4173"/>
        <n v="14217"/>
        <n v="18800"/>
        <n v="7468"/>
        <n v="6718"/>
        <n v="10376"/>
        <n v="22955"/>
        <n v="25173"/>
        <n v="11046"/>
        <n v="10064"/>
        <n v="9280"/>
        <n v="18528"/>
        <n v="13608"/>
        <n v="4257"/>
        <n v="17944"/>
        <n v="10596"/>
        <n v="13840"/>
        <n v="8196"/>
        <n v="2176"/>
        <n v="16440"/>
        <n v="6538"/>
        <n v="29556"/>
        <n v="6266"/>
        <n v="29056"/>
        <n v="3117"/>
        <n v="27162"/>
        <n v="3974"/>
        <n v="43317"/>
        <n v="18046"/>
        <n v="5322"/>
        <n v="13532"/>
        <n v="12280"/>
        <n v="20240"/>
        <n v="4445"/>
        <n v="11109"/>
        <n v="945"/>
        <n v="5092"/>
        <n v="9976"/>
        <n v="745"/>
        <n v="5498"/>
        <n v="30712"/>
        <n v="11268"/>
        <n v="30975"/>
        <n v="19655"/>
        <n v="8245"/>
        <n v="17526"/>
        <n v="712"/>
        <n v="2531"/>
        <n v="10232"/>
        <n v="31388"/>
        <n v="2050"/>
        <n v="38120"/>
        <n v="13605"/>
        <n v="23504"/>
        <n v="440"/>
        <n v="14607"/>
        <n v="8403"/>
        <n v="1517"/>
        <n v="5115"/>
        <n v="378"/>
        <n v="18570"/>
        <n v="25634"/>
        <n v="2104"/>
        <n v="14495"/>
        <n v="16645"/>
        <n v="747"/>
        <n v="3580"/>
        <n v="7980"/>
        <n v="6628"/>
        <n v="22967"/>
        <n v="3368"/>
        <n v="7352"/>
        <n v="3330"/>
        <n v="18858"/>
        <n v="17185"/>
        <n v="17005"/>
        <n v="4412"/>
        <n v="24950"/>
        <n v="19416"/>
        <n v="12470"/>
        <n v="1916"/>
        <n v="3967"/>
        <n v="15604"/>
        <n v="2711"/>
        <n v="13368"/>
        <n v="4833"/>
        <n v="1194"/>
        <n v="25128"/>
        <n v="14408"/>
        <n v="2998"/>
        <n v="8763"/>
        <n v="33425"/>
        <n v="5075"/>
        <n v="13412"/>
        <n v="6860"/>
        <n v="21175"/>
        <n v="1162"/>
        <n v="9018"/>
        <n v="529"/>
        <n v="24903"/>
        <n v="5340"/>
        <n v="6318"/>
        <n v="32935"/>
        <n v="11683"/>
        <n v="807"/>
        <n v="23832"/>
        <n v="36585"/>
        <n v="33404"/>
        <n v="2476"/>
        <n v="5738"/>
        <n v="26504"/>
        <n v="18480"/>
        <n v="1836"/>
        <n v="25104"/>
        <n v="5672"/>
        <n v="12368"/>
        <n v="22197"/>
        <n v="4321"/>
        <n v="4514"/>
        <n v="37216"/>
        <n v="18018"/>
        <n v="4136"/>
        <n v="18498"/>
        <n v="11571"/>
        <n v="27612"/>
        <n v="18040"/>
        <n v="8404"/>
        <n v="5986"/>
        <n v="9315"/>
        <n v="27993"/>
        <n v="19092"/>
        <n v="8577"/>
        <n v="24619"/>
        <n v="10990"/>
        <n v="8714"/>
        <n v="7011"/>
        <n v="38196"/>
        <n v="4248"/>
        <n v="14364"/>
        <n v="4075"/>
        <n v="1455"/>
        <n v="25920"/>
        <n v="38826"/>
        <n v="2253"/>
        <n v="11724"/>
        <n v="2448"/>
        <n v="5412"/>
        <n v="1548"/>
        <n v="4785"/>
        <n v="16768"/>
        <n v="5661"/>
        <n v="19323"/>
        <n v="14368"/>
        <n v="21973"/>
        <n v="1188"/>
        <n v="5280"/>
        <n v="20015"/>
        <n v="5930"/>
        <n v="30541"/>
        <n v="22365"/>
        <n v="2574"/>
        <n v="26040"/>
        <n v="7383"/>
        <n v="1492"/>
        <n v="1572"/>
        <n v="22722"/>
        <n v="10212"/>
        <n v="11802"/>
        <n v="1060"/>
        <n v="26460"/>
        <n v="33256"/>
        <n v="16548"/>
        <n v="29932"/>
        <n v="5916"/>
        <n v="8334"/>
        <n v="4132"/>
        <n v="16230"/>
        <n v="572"/>
        <n v="5194"/>
        <n v="16532"/>
        <n v="16200"/>
        <n v="6384"/>
        <n v="17296"/>
        <n v="2268"/>
        <n v="4740"/>
        <n v="7155"/>
        <n v="15120"/>
        <n v="1402"/>
        <n v="6025"/>
        <n v="22830"/>
        <n v="3256"/>
        <n v="20670"/>
        <n v="2394"/>
        <n v="1608"/>
        <n v="28242"/>
        <n v="31680"/>
        <n v="3491"/>
        <n v="1928"/>
        <n v="3697"/>
        <n v="13255"/>
        <n v="4923"/>
        <n v="16288"/>
        <n v="17084"/>
        <n v="1953"/>
        <n v="3410"/>
        <n v="16072"/>
        <n v="29393"/>
        <n v="5968"/>
        <n v="5400"/>
        <n v="11575"/>
        <n v="3514"/>
        <n v="10556"/>
        <n v="2700"/>
        <n v="19194"/>
        <n v="19325"/>
        <n v="705"/>
        <n v="14904"/>
        <n v="9316"/>
        <n v="13071"/>
        <n v="17628"/>
        <n v="24075"/>
        <n v="22329"/>
        <n v="14307"/>
        <n v="14175"/>
        <n v="11312"/>
        <n v="5198"/>
        <n v="7056"/>
        <n v="9090"/>
        <n v="5540"/>
        <n v="14664"/>
        <n v="12501"/>
        <n v="6357"/>
        <n v="2830"/>
        <n v="16060"/>
        <n v="13790"/>
        <n v="22232"/>
        <n v="1754"/>
        <n v="1982"/>
        <n v="12543"/>
        <n v="8085"/>
        <n v="2818"/>
        <n v="18036"/>
        <n v="1600"/>
        <n v="1064"/>
        <n v="28679"/>
        <n v="2311"/>
        <n v="5292"/>
        <n v="20925"/>
        <n v="19572"/>
        <n v="22024"/>
        <n v="14772"/>
        <n v="2975"/>
        <n v="11200"/>
        <n v="19020"/>
        <n v="5154"/>
        <n v="26856"/>
        <n v="23562"/>
        <n v="23706"/>
        <n v="822"/>
        <n v="10269"/>
        <n v="5874"/>
        <n v="26784"/>
        <n v="5089"/>
        <n v="1376"/>
        <n v="10852"/>
        <n v="10524"/>
        <n v="4164"/>
        <n v="4887"/>
        <n v="19805"/>
        <n v="5156"/>
        <n v="9268"/>
        <n v="23892"/>
        <n v="3691"/>
        <n v="8920"/>
        <n v="3767"/>
        <n v="14620"/>
        <n v="18264"/>
        <n v="2576"/>
        <n v="8362"/>
        <n v="1918"/>
        <n v="23826"/>
        <n v="5760"/>
        <n v="3536"/>
        <n v="14073"/>
        <n v="2894"/>
        <n v="21198"/>
        <n v="5742"/>
        <n v="21016"/>
        <n v="5426"/>
        <n v="4768"/>
        <n v="6556"/>
        <n v="20030"/>
        <n v="8272"/>
        <n v="29790"/>
        <n v="1449"/>
        <n v="7276"/>
        <n v="16704"/>
        <n v="709"/>
        <n v="21006"/>
        <n v="3008"/>
        <n v="8048"/>
        <n v="14152"/>
        <n v="6388"/>
        <n v="9605"/>
        <n v="1499"/>
        <n v="21978"/>
        <n v="26754"/>
        <n v="3988"/>
        <n v="27426"/>
        <n v="4165"/>
        <n v="5296"/>
        <n v="33208"/>
        <n v="23290"/>
        <n v="12810"/>
        <n v="5579"/>
        <n v="13848"/>
        <n v="1431"/>
        <n v="29463"/>
        <n v="2610"/>
        <n v="8344"/>
        <n v="32265"/>
        <n v="10612"/>
        <n v="12978"/>
        <n v="9846"/>
        <n v="14421"/>
        <n v="1926"/>
        <n v="1112"/>
        <n v="13854"/>
        <n v="12145"/>
        <n v="2460"/>
        <n v="17304"/>
        <n v="32473"/>
        <n v="3164"/>
        <n v="2440"/>
        <n v="11655"/>
        <n v="33896"/>
        <n v="27839"/>
        <n v="28056"/>
        <n v="3116"/>
        <n v="4149"/>
        <n v="14539"/>
        <n v="25716"/>
        <n v="1392"/>
        <n v="29952"/>
        <n v="16830"/>
        <n v="14463"/>
        <n v="14994"/>
        <n v="19392"/>
        <n v="8994"/>
        <n v="16814"/>
        <n v="23226"/>
        <n v="2712"/>
        <n v="8708"/>
        <n v="12509"/>
        <n v="7296"/>
        <n v="7002"/>
        <n v="3212"/>
        <n v="9778"/>
        <n v="19971"/>
        <n v="23830"/>
        <n v="3728"/>
        <n v="25624"/>
        <n v="1242"/>
        <n v="10735"/>
        <n v="14040"/>
        <n v="7536"/>
        <n v="4635"/>
        <n v="20223"/>
        <n v="29598"/>
        <n v="6711"/>
        <n v="9248"/>
        <n v="22041"/>
        <n v="6024"/>
        <n v="25083"/>
        <n v="44955"/>
        <n v="31374"/>
        <n v="9695"/>
        <n v="15112"/>
        <n v="19338"/>
        <n v="2658"/>
        <n v="13636"/>
        <n v="12450"/>
        <n v="20076"/>
        <n v="7110"/>
        <n v="14780"/>
        <n v="3403"/>
        <n v="484"/>
        <n v="3534"/>
        <n v="7202"/>
        <n v="8556"/>
        <n v="9693"/>
        <n v="17730"/>
        <n v="2061"/>
        <n v="34041"/>
        <n v="9080"/>
        <n v="2640"/>
        <n v="30447"/>
      </sharedItems>
    </cacheField>
    <cacheField name="Profit" numFmtId="164">
      <sharedItems containsSemiMixedTypes="0" containsString="0" containsNumber="1" minValue="36.71" maxValue="10331.870000000001" count="1198">
        <n v="5766.22"/>
        <n v="1757.76"/>
        <n v="1752.16"/>
        <n v="1116.23"/>
        <n v="1054.24"/>
        <n v="1968.33"/>
        <n v="945.41"/>
        <n v="1375.37"/>
        <n v="106.26"/>
        <n v="737.83"/>
        <n v="2200.61"/>
        <n v="1117.26"/>
        <n v="2650.36"/>
        <n v="600.04"/>
        <n v="5489.97"/>
        <n v="5385.77"/>
        <n v="600.14"/>
        <n v="2740.2"/>
        <n v="1273.4100000000001"/>
        <n v="1497.81"/>
        <n v="3620.86"/>
        <n v="3024.78"/>
        <n v="592.65"/>
        <n v="275.98"/>
        <n v="5033.53"/>
        <n v="5440.07"/>
        <n v="2796.18"/>
        <n v="1414.03"/>
        <n v="144.57"/>
        <n v="4024.52"/>
        <n v="5914.2"/>
        <n v="1911.37"/>
        <n v="2012.03"/>
        <n v="4698.32"/>
        <n v="4832.5600000000004"/>
        <n v="1506.23"/>
        <n v="635.04999999999995"/>
        <n v="1788.08"/>
        <n v="4374.18"/>
        <n v="565.64"/>
        <n v="53.8"/>
        <n v="2696.81"/>
        <n v="205.87"/>
        <n v="1647.91"/>
        <n v="1174.76"/>
        <n v="5126.37"/>
        <n v="5621.32"/>
        <n v="3328.97"/>
        <n v="1315.25"/>
        <n v="995.06"/>
        <n v="419.36"/>
        <n v="3454.79"/>
        <n v="2195.71"/>
        <n v="148.12"/>
        <n v="368.21"/>
        <n v="2973.26"/>
        <n v="4128.8100000000004"/>
        <n v="1442.07"/>
        <n v="3364.86"/>
        <n v="2274.89"/>
        <n v="2430.66"/>
        <n v="1472.76"/>
        <n v="2663.1"/>
        <n v="1016.59"/>
        <n v="80.33"/>
        <n v="1607.98"/>
        <n v="5933.44"/>
        <n v="4178.18"/>
        <n v="688.79"/>
        <n v="144.56"/>
        <n v="2831.43"/>
        <n v="4115.42"/>
        <n v="2188.94"/>
        <n v="426.83"/>
        <n v="6656.14"/>
        <n v="1688.61"/>
        <n v="5704.74"/>
        <n v="2203.27"/>
        <n v="511.26"/>
        <n v="4484.07"/>
        <n v="173.73"/>
        <n v="3712.39"/>
        <n v="1881.17"/>
        <n v="4939.1099999999997"/>
        <n v="753.07"/>
        <n v="2692.47"/>
        <n v="2536.12"/>
        <n v="1812.39"/>
        <n v="209.38"/>
        <n v="6654.11"/>
        <n v="4755.04"/>
        <n v="4614.8999999999996"/>
        <n v="550.66"/>
        <n v="909.63"/>
        <n v="980.25"/>
        <n v="7154.54"/>
        <n v="727.44"/>
        <n v="2894.81"/>
        <n v="5356.64"/>
        <n v="375.67"/>
        <n v="455.67"/>
        <n v="975.21"/>
        <n v="981.75"/>
        <n v="499.2"/>
        <n v="3634.56"/>
        <n v="467.25"/>
        <n v="408.78"/>
        <n v="4351.7700000000004"/>
        <n v="4774.71"/>
        <n v="6180.63"/>
        <n v="845.64"/>
        <n v="3647.98"/>
        <n v="5746.65"/>
        <n v="5481.63"/>
        <n v="979.73"/>
        <n v="4704.01"/>
        <n v="1616.14"/>
        <n v="638.75"/>
        <n v="1689.24"/>
        <n v="2971.93"/>
        <n v="3849.88"/>
        <n v="2208.9499999999998"/>
        <n v="637.98"/>
        <n v="1794.52"/>
        <n v="5216.93"/>
        <n v="805.8"/>
        <n v="401.28"/>
        <n v="575.94000000000005"/>
        <n v="1681.24"/>
        <n v="1521.36"/>
        <n v="522.67999999999995"/>
        <n v="4710.79"/>
        <n v="106.86"/>
        <n v="4186.17"/>
        <n v="2490.54"/>
        <n v="1052.28"/>
        <n v="8026.02"/>
        <n v="1987.59"/>
        <n v="3461.47"/>
        <n v="3223.1"/>
        <n v="558.67999999999995"/>
        <n v="463.59"/>
        <n v="818.45"/>
        <n v="286.64999999999998"/>
        <n v="6700.62"/>
        <n v="1236.8499999999999"/>
        <n v="2355.38"/>
        <n v="388.37"/>
        <n v="2736.57"/>
        <n v="1406.33"/>
        <n v="4964.7"/>
        <n v="1162.52"/>
        <n v="151.4"/>
        <n v="3763.12"/>
        <n v="334.83"/>
        <n v="818.02"/>
        <n v="7132.17"/>
        <n v="3435.38"/>
        <n v="3824.48"/>
        <n v="1568.35"/>
        <n v="3576.36"/>
        <n v="279.35000000000002"/>
        <n v="1044.53"/>
        <n v="292.37"/>
        <n v="1083.02"/>
        <n v="7692.24"/>
        <n v="1312.93"/>
        <n v="113.4"/>
        <n v="4212.46"/>
        <n v="909.81"/>
        <n v="686.62"/>
        <n v="880.07"/>
        <n v="4660.3100000000004"/>
        <n v="731.1"/>
        <n v="783.23"/>
        <n v="736.09"/>
        <n v="130.91999999999999"/>
        <n v="6496.16"/>
        <n v="161.69999999999999"/>
        <n v="737.08"/>
        <n v="4461.07"/>
        <n v="5515.62"/>
        <n v="2328.9699999999998"/>
        <n v="6139.84"/>
        <n v="1431.27"/>
        <n v="479.58"/>
        <n v="6553.87"/>
        <n v="3454.88"/>
        <n v="1440.61"/>
        <n v="1122.26"/>
        <n v="2646.13"/>
        <n v="9300.01"/>
        <n v="2946.87"/>
        <n v="761.84"/>
        <n v="5172.12"/>
        <n v="3966.18"/>
        <n v="3373.34"/>
        <n v="4329.96"/>
        <n v="1969.94"/>
        <n v="3258.43"/>
        <n v="2901.79"/>
        <n v="1761.81"/>
        <n v="150.6"/>
        <n v="392.94"/>
        <n v="1592.43"/>
        <n v="40.36"/>
        <n v="1283.4000000000001"/>
        <n v="2284.9"/>
        <n v="10157.98"/>
        <n v="199.92"/>
        <n v="2156.4499999999998"/>
        <n v="1900.54"/>
        <n v="470.04"/>
        <n v="1373.55"/>
        <n v="831.62"/>
        <n v="780.83"/>
        <n v="476.8"/>
        <n v="555.24"/>
        <n v="4918.05"/>
        <n v="150.52000000000001"/>
        <n v="1012.09"/>
        <n v="3237.22"/>
        <n v="6623.47"/>
        <n v="281.79000000000002"/>
        <n v="3640.65"/>
        <n v="966.08"/>
        <n v="3434.91"/>
        <n v="352.56"/>
        <n v="1526.27"/>
        <n v="269.76"/>
        <n v="401.1"/>
        <n v="4582.21"/>
        <n v="3427.13"/>
        <n v="1693.47"/>
        <n v="172.45"/>
        <n v="2796.57"/>
        <n v="253.09"/>
        <n v="4423"/>
        <n v="2083.3000000000002"/>
        <n v="779.73"/>
        <n v="402.47"/>
        <n v="1381.43"/>
        <n v="844.52"/>
        <n v="1702.38"/>
        <n v="2507.84"/>
        <n v="1750.97"/>
        <n v="1049.02"/>
        <n v="2828.87"/>
        <n v="1928.44"/>
        <n v="1142.98"/>
        <n v="2653.54"/>
        <n v="4719.51"/>
        <n v="1554.72"/>
        <n v="3316.38"/>
        <n v="645.99"/>
        <n v="1900.07"/>
        <n v="678.28"/>
        <n v="1782.15"/>
        <n v="464.34"/>
        <n v="1189.58"/>
        <n v="287.61"/>
        <n v="168.14"/>
        <n v="4631.8"/>
        <n v="3849.13"/>
        <n v="2621.5"/>
        <n v="2418.31"/>
        <n v="3917.18"/>
        <n v="4441.3"/>
        <n v="1478.13"/>
        <n v="1160.98"/>
        <n v="1459.69"/>
        <n v="1104.71"/>
        <n v="4991.8900000000003"/>
        <n v="3931.58"/>
        <n v="36.71"/>
        <n v="507.96"/>
        <n v="314.56"/>
        <n v="1216.33"/>
        <n v="1943.33"/>
        <n v="4320.6899999999996"/>
        <n v="817.53"/>
        <n v="4363.8599999999997"/>
        <n v="5940.54"/>
        <n v="474.84"/>
        <n v="3609.58"/>
        <n v="1980.58"/>
        <n v="744.9"/>
        <n v="4292.1000000000004"/>
        <n v="882.45"/>
        <n v="7347.31"/>
        <n v="1427.44"/>
        <n v="239.53"/>
        <n v="1268.03"/>
        <n v="2383.7199999999998"/>
        <n v="803.77"/>
        <n v="162.79"/>
        <n v="2598.92"/>
        <n v="437.42"/>
        <n v="2004.5"/>
        <n v="2671.97"/>
        <n v="1347.43"/>
        <n v="1949.11"/>
        <n v="5618.32"/>
        <n v="1177.6600000000001"/>
        <n v="373.2"/>
        <n v="38.159999999999997"/>
        <n v="452.73"/>
        <n v="1655.46"/>
        <n v="178.3"/>
        <n v="1836.73"/>
        <n v="934.34"/>
        <n v="308.02999999999997"/>
        <n v="233.88"/>
        <n v="7292.7"/>
        <n v="1413.34"/>
        <n v="206.29"/>
        <n v="8428.84"/>
        <n v="4308.75"/>
        <n v="998.45"/>
        <n v="1278.04"/>
        <n v="1834"/>
        <n v="4955.74"/>
        <n v="131.28"/>
        <n v="784.8"/>
        <n v="443.9"/>
        <n v="4527.3999999999996"/>
        <n v="256.58"/>
        <n v="4062.61"/>
        <n v="1754.65"/>
        <n v="1576.87"/>
        <n v="775.04"/>
        <n v="1960.07"/>
        <n v="2308.13"/>
        <n v="4194.8599999999997"/>
        <n v="1181.98"/>
        <n v="1436.16"/>
        <n v="2888.03"/>
        <n v="890.68"/>
        <n v="2981.96"/>
        <n v="3263.93"/>
        <n v="684.03"/>
        <n v="2328.02"/>
        <n v="3138.03"/>
        <n v="1098.46"/>
        <n v="2078.36"/>
        <n v="674.76"/>
        <n v="533"/>
        <n v="3611.34"/>
        <n v="3682.7"/>
        <n v="10294.06"/>
        <n v="1258.2"/>
        <n v="6034.57"/>
        <n v="4560.16"/>
        <n v="3068.37"/>
        <n v="1242.79"/>
        <n v="2742.52"/>
        <n v="4307.16"/>
        <n v="292.54000000000002"/>
        <n v="1042.3900000000001"/>
        <n v="514.04"/>
        <n v="3201.33"/>
        <n v="1037.25"/>
        <n v="2704.56"/>
        <n v="880.48"/>
        <n v="1583.83"/>
        <n v="662.94"/>
        <n v="3389.15"/>
        <n v="1217.2"/>
        <n v="1911.11"/>
        <n v="495.04"/>
        <n v="1395.35"/>
        <n v="556.30999999999995"/>
        <n v="686.92"/>
        <n v="2480.88"/>
        <n v="1052.83"/>
        <n v="1731.64"/>
        <n v="1993.97"/>
        <n v="2604.39"/>
        <n v="1892.05"/>
        <n v="4410.6099999999997"/>
        <n v="2627.86"/>
        <n v="1162.29"/>
        <n v="1067.75"/>
        <n v="4242.3599999999997"/>
        <n v="570.70000000000005"/>
        <n v="379.89"/>
        <n v="83.02"/>
        <n v="10331.870000000001"/>
        <n v="3829.4"/>
        <n v="891.02"/>
        <n v="2253.96"/>
        <n v="1305.74"/>
        <n v="62.69"/>
        <n v="1120.03"/>
        <n v="777.08"/>
        <n v="3939.05"/>
        <n v="1916.31"/>
        <n v="1111"/>
        <n v="7375.84"/>
        <n v="1824.69"/>
        <n v="5062.93"/>
        <n v="556"/>
        <n v="596.07000000000005"/>
        <n v="510.77"/>
        <n v="1013.4"/>
        <n v="3219.12"/>
        <n v="1210.8699999999999"/>
        <n v="186.76"/>
        <n v="1018.04"/>
        <n v="889.36"/>
        <n v="2562.0700000000002"/>
        <n v="2701.25"/>
        <n v="298.16000000000003"/>
        <n v="899.97"/>
        <n v="1259.3599999999999"/>
        <n v="515.01"/>
        <n v="636.66999999999996"/>
        <n v="1046.54"/>
        <n v="215.4"/>
        <n v="2236.5500000000002"/>
        <n v="6455.98"/>
        <n v="2005.63"/>
        <n v="74.64"/>
        <n v="1959.76"/>
        <n v="549.94000000000005"/>
        <n v="4379.9399999999996"/>
        <n v="859.64"/>
        <n v="1808.09"/>
        <n v="1150.8800000000001"/>
        <n v="1200.78"/>
        <n v="1451.32"/>
        <n v="7367.14"/>
        <n v="1069.06"/>
        <n v="578.78"/>
        <n v="687.84"/>
        <n v="6817.32"/>
        <n v="1006.88"/>
        <n v="1476.82"/>
        <n v="3283.39"/>
        <n v="7044.63"/>
        <n v="206.37"/>
        <n v="1111.02"/>
        <n v="6709.9"/>
        <n v="2186.13"/>
        <n v="4173.28"/>
        <n v="54.52"/>
        <n v="63.23"/>
        <n v="673.61"/>
        <n v="1307.26"/>
        <n v="1884.64"/>
        <n v="183.32"/>
        <n v="643.22"/>
        <n v="989.49"/>
        <n v="57.23"/>
        <n v="768.81"/>
        <n v="4791.84"/>
        <n v="4545.9799999999996"/>
        <n v="1495.14"/>
        <n v="1060.04"/>
        <n v="3338"/>
        <n v="9482.61"/>
        <n v="841.46"/>
        <n v="1005.78"/>
        <n v="471.31"/>
        <n v="1590.97"/>
        <n v="2821.79"/>
        <n v="3073.69"/>
        <n v="648.70000000000005"/>
        <n v="2211.5700000000002"/>
        <n v="1823.32"/>
        <n v="6227.4"/>
        <n v="2706.33"/>
        <n v="3917.15"/>
        <n v="1439.52"/>
        <n v="4666.22"/>
        <n v="360.66"/>
        <n v="431.42"/>
        <n v="306.62"/>
        <n v="4060.37"/>
        <n v="2308.9699999999998"/>
        <n v="4175.3599999999997"/>
        <n v="638.89"/>
        <n v="511.98"/>
        <n v="3809.45"/>
        <n v="1390.33"/>
        <n v="727.72"/>
        <n v="6147.54"/>
        <n v="1090.1500000000001"/>
        <n v="1957.86"/>
        <n v="1627.65"/>
        <n v="6760.56"/>
        <n v="4988.25"/>
        <n v="602.41999999999996"/>
        <n v="3439.73"/>
        <n v="502.94"/>
        <n v="1320.64"/>
        <n v="508.56"/>
        <n v="1154.73"/>
        <n v="3773.9"/>
        <n v="1735.87"/>
        <n v="1952.62"/>
        <n v="431.49"/>
        <n v="2131.04"/>
        <n v="3093.48"/>
        <n v="1990.45"/>
        <n v="3535.08"/>
        <n v="2260.92"/>
        <n v="1031.8"/>
        <n v="10060.950000000001"/>
        <n v="351.7"/>
        <n v="1630.74"/>
        <n v="991.29"/>
        <n v="3012.39"/>
        <n v="3893.41"/>
        <n v="2964.51"/>
        <n v="2310.2600000000002"/>
        <n v="5162.51"/>
        <n v="161.63"/>
        <n v="4146.47"/>
        <n v="794.75"/>
        <n v="6903.01"/>
        <n v="2947.16"/>
        <n v="2049.77"/>
        <n v="430.75"/>
        <n v="38.24"/>
        <n v="1125.3399999999999"/>
        <n v="5578.63"/>
        <n v="248.26"/>
        <n v="2166.5700000000002"/>
        <n v="152.4"/>
        <n v="2933.85"/>
        <n v="3495.69"/>
        <n v="1024.3399999999999"/>
        <n v="1031.94"/>
        <n v="4409.8100000000004"/>
        <n v="811.47"/>
        <n v="747.19"/>
        <n v="434.36"/>
        <n v="1230.3"/>
        <n v="2591.6999999999998"/>
        <n v="4332.0600000000004"/>
        <n v="1389.94"/>
        <n v="748.63"/>
        <n v="3021.35"/>
        <n v="4671.3599999999997"/>
        <n v="297.48"/>
        <n v="602.91999999999996"/>
        <n v="2823.04"/>
        <n v="3647.48"/>
        <n v="2573.59"/>
        <n v="4300.42"/>
        <n v="3429.54"/>
        <n v="516.95000000000005"/>
        <n v="1897.21"/>
        <n v="1169.56"/>
        <n v="3535.68"/>
        <n v="1106.1199999999999"/>
        <n v="2339.9699999999998"/>
        <n v="577.48"/>
        <n v="3126.8"/>
        <n v="2574.37"/>
        <n v="2073.52"/>
        <n v="2119.9899999999998"/>
        <n v="4899.57"/>
        <n v="354.46"/>
        <n v="453.66"/>
        <n v="4494.49"/>
        <n v="72.28"/>
        <n v="7477.37"/>
        <n v="2604.66"/>
        <n v="1935.98"/>
        <n v="200.42"/>
        <n v="4552.8900000000003"/>
        <n v="1391.72"/>
        <n v="84.59"/>
        <n v="2368.7199999999998"/>
        <n v="573.61"/>
        <n v="3625.7"/>
        <n v="2003.46"/>
        <n v="2663.56"/>
        <n v="1512.03"/>
        <n v="1768.38"/>
        <n v="1904.48"/>
        <n v="793.58"/>
        <n v="101.09"/>
        <n v="706.51"/>
        <n v="4129.97"/>
        <n v="170.23"/>
        <n v="976.7"/>
        <n v="9475.18"/>
        <n v="281.23"/>
        <n v="2225.48"/>
        <n v="1146.8499999999999"/>
        <n v="500.92"/>
        <n v="1831.59"/>
        <n v="1713.53"/>
        <n v="2212.88"/>
        <n v="2977.49"/>
        <n v="661.07"/>
        <n v="281.54000000000002"/>
        <n v="4243.26"/>
        <n v="5918.72"/>
        <n v="62.65"/>
        <n v="2509.38"/>
        <n v="2282.5300000000002"/>
        <n v="3284.45"/>
        <n v="1864.69"/>
        <n v="6107.32"/>
        <n v="2242.8000000000002"/>
        <n v="4561.6400000000003"/>
        <n v="299.77999999999997"/>
        <n v="6007.19"/>
        <n v="969.39"/>
        <n v="708.65"/>
        <n v="1022.97"/>
        <n v="4203.7299999999996"/>
        <n v="5084.46"/>
        <n v="3708.68"/>
        <n v="335.61"/>
        <n v="2510.35"/>
        <n v="5584.98"/>
        <n v="1018.2"/>
        <n v="1943.36"/>
        <n v="3944.72"/>
        <n v="5001.1899999999996"/>
        <n v="3677.67"/>
        <n v="4182.74"/>
        <n v="1347.5"/>
        <n v="492.73"/>
        <n v="4085.13"/>
        <n v="2280.5100000000002"/>
        <n v="5088.03"/>
        <n v="1817.42"/>
        <n v="888.98"/>
        <n v="1178.79"/>
        <n v="321.20999999999998"/>
        <n v="4240.93"/>
        <n v="960.8"/>
        <n v="3623.67"/>
        <n v="2349.65"/>
        <n v="4576.84"/>
        <n v="559.44000000000005"/>
        <n v="223.91"/>
        <n v="1668.26"/>
        <n v="2033.18"/>
        <n v="469.16"/>
        <n v="897.09"/>
        <n v="761.17"/>
        <n v="3270.4"/>
        <n v="4557.8999999999996"/>
        <n v="2613.06"/>
        <n v="1827.05"/>
        <n v="355.44"/>
        <n v="747.14"/>
        <n v="722.03"/>
        <n v="1511.11"/>
        <n v="4864.0600000000004"/>
        <n v="1022.67"/>
        <n v="360.73"/>
        <n v="95.61"/>
        <n v="2736.58"/>
        <n v="1334.46"/>
        <n v="56.53"/>
        <n v="2176.7199999999998"/>
        <n v="2811.88"/>
        <n v="3145.85"/>
        <n v="350.21"/>
        <n v="103.24"/>
        <n v="1042.8399999999999"/>
        <n v="3388.26"/>
        <n v="1122.07"/>
        <n v="8271.69"/>
        <n v="1555.44"/>
        <n v="2218.6799999999998"/>
        <n v="4397.66"/>
        <n v="716.61"/>
        <n v="1899.24"/>
        <n v="5981.09"/>
        <n v="1787.39"/>
        <n v="1315.79"/>
        <n v="3967.84"/>
        <n v="802.41"/>
        <n v="2043.78"/>
        <n v="4016.57"/>
        <n v="1652.51"/>
        <n v="6417.37"/>
        <n v="4975.26"/>
        <n v="988.81"/>
        <n v="3937.66"/>
        <n v="566.29999999999995"/>
        <n v="3793.2"/>
        <n v="1783.47"/>
        <n v="609.36"/>
        <n v="1078.3800000000001"/>
        <n v="4967.95"/>
        <n v="3371.8"/>
        <n v="828.38"/>
        <n v="134.08000000000001"/>
        <n v="1527.8"/>
        <n v="4769.25"/>
        <n v="1068.0899999999999"/>
        <n v="1629.01"/>
        <n v="1340.27"/>
        <n v="831.15"/>
        <n v="475.64"/>
        <n v="1191"/>
        <n v="561.87"/>
        <n v="481.14"/>
        <n v="66.97"/>
        <n v="657.04"/>
        <n v="1606.87"/>
        <n v="517.03"/>
        <n v="3723.78"/>
        <n v="3695.96"/>
        <n v="1511.74"/>
        <n v="3611.82"/>
        <n v="6458.75"/>
        <n v="2314.62"/>
        <n v="991.37"/>
        <n v="996.61"/>
        <n v="2757.44"/>
        <n v="1093.3"/>
        <n v="295.16000000000003"/>
        <n v="1843.63"/>
        <n v="1803.1"/>
        <n v="2138.0700000000002"/>
        <n v="1399.05"/>
        <n v="983.84"/>
        <n v="2299.36"/>
        <n v="912.02"/>
        <n v="248.04"/>
        <n v="2465.35"/>
        <n v="443.54"/>
        <n v="1167.8499999999999"/>
        <n v="2822.98"/>
        <n v="2484.38"/>
        <n v="5404.28"/>
        <n v="3138.59"/>
        <n v="522.97"/>
        <n v="4732.38"/>
        <n v="977.1"/>
        <n v="3072.7"/>
        <n v="326.67"/>
        <n v="3011.98"/>
        <n v="177.12"/>
        <n v="649.57000000000005"/>
        <n v="1492"/>
        <n v="1459.61"/>
        <n v="1767.64"/>
        <n v="4021.41"/>
        <n v="403.84"/>
        <n v="5342.27"/>
        <n v="1201.03"/>
        <n v="297.87"/>
        <n v="829.52"/>
        <n v="1312.38"/>
        <n v="970.95"/>
        <n v="2110.87"/>
        <n v="1723.29"/>
        <n v="3817.12"/>
        <n v="713.65"/>
        <n v="1653.53"/>
        <n v="3874.81"/>
        <n v="4633.96"/>
        <n v="3360.42"/>
        <n v="605.16999999999996"/>
        <n v="7242.69"/>
        <n v="871.06"/>
        <n v="808.97"/>
        <n v="7653.27"/>
        <n v="1729.24"/>
        <n v="4415.9799999999996"/>
        <n v="2117.12"/>
        <n v="1756.73"/>
        <n v="8995.6299999999992"/>
        <n v="4242.43"/>
        <n v="1108.08"/>
        <n v="723.01"/>
        <n v="3539.95"/>
        <n v="2169.7800000000002"/>
        <n v="802.42"/>
        <n v="1385.16"/>
        <n v="1290.75"/>
        <n v="4217.25"/>
        <n v="1661.48"/>
        <n v="2404.59"/>
        <n v="998.04"/>
        <n v="2339.0500000000002"/>
        <n v="1241.04"/>
        <n v="3284.29"/>
        <n v="2075.29"/>
        <n v="545.57000000000005"/>
        <n v="4069.55"/>
        <n v="1782.97"/>
        <n v="848.13"/>
        <n v="455.22"/>
        <n v="3119.53"/>
        <n v="1291.79"/>
        <n v="4515.8999999999996"/>
        <n v="834.98"/>
        <n v="4153.25"/>
        <n v="589.32000000000005"/>
        <n v="5924.21"/>
        <n v="943.65"/>
        <n v="8548.82"/>
        <n v="3010.02"/>
        <n v="723.26"/>
        <n v="1802.41"/>
        <n v="2332.7399999999998"/>
        <n v="4920.55"/>
        <n v="659.21"/>
        <n v="2453.7600000000002"/>
        <n v="150.91"/>
        <n v="672.51"/>
        <n v="1256.93"/>
        <n v="789.24"/>
        <n v="106.35"/>
        <n v="872.21"/>
        <n v="5224.4399999999996"/>
        <n v="2472.6799999999998"/>
        <n v="7379.49"/>
        <n v="1577.89"/>
        <n v="967.45"/>
        <n v="1902.07"/>
        <n v="71.38"/>
        <n v="303.38"/>
        <n v="1905.13"/>
        <n v="5226.4799999999996"/>
        <n v="177.14"/>
        <n v="8120.51"/>
        <n v="1887.67"/>
        <n v="1953.34"/>
        <n v="45.45"/>
        <n v="2104.39"/>
        <n v="824.81"/>
        <n v="203.99"/>
        <n v="1199.99"/>
        <n v="60.86"/>
        <n v="1850.41"/>
        <n v="2918.88"/>
        <n v="380.15"/>
        <n v="3122.15"/>
        <n v="1579.04"/>
        <n v="82.5"/>
        <n v="791.02"/>
        <n v="836.49"/>
        <n v="608.03"/>
        <n v="2417.19"/>
        <n v="382.06"/>
        <n v="1458.15"/>
        <n v="368.39"/>
        <n v="3354.53"/>
        <n v="1965.37"/>
        <n v="2508.85"/>
        <n v="780.79"/>
        <n v="3193.66"/>
        <n v="1708.34"/>
        <n v="4460.87"/>
        <n v="2574.6"/>
        <n v="215.28"/>
        <n v="547.9"/>
        <n v="2901.5"/>
        <n v="395.45"/>
        <n v="2772.43"/>
        <n v="408.71"/>
        <n v="259.04000000000002"/>
        <n v="3918.55"/>
        <n v="1206.74"/>
        <n v="610.92999999999995"/>
        <n v="2096.4899999999998"/>
        <n v="2678.56"/>
        <n v="7529.75"/>
        <n v="713.22"/>
        <n v="2293.5700000000002"/>
        <n v="1524.36"/>
        <n v="5042.3599999999997"/>
        <n v="152.77000000000001"/>
        <n v="2098.67"/>
        <n v="95.53"/>
        <n v="3176.08"/>
        <n v="595.85"/>
        <n v="1104.95"/>
        <n v="6761.97"/>
        <n v="958.48"/>
        <n v="148.82"/>
        <n v="2336.66"/>
        <n v="5826.64"/>
        <n v="6755.72"/>
        <n v="214.88"/>
        <n v="800.64"/>
        <n v="1106.1600000000001"/>
        <n v="4962.37"/>
        <n v="1778.86"/>
        <n v="198.25"/>
        <n v="2445.19"/>
        <n v="1283.6500000000001"/>
        <n v="762.05"/>
        <n v="1560.39"/>
        <n v="4328.1400000000003"/>
        <n v="1039.27"/>
        <n v="1011.3"/>
        <n v="4886.74"/>
        <n v="2629.82"/>
        <n v="643.96"/>
        <n v="3456.27"/>
        <n v="989.51"/>
        <n v="3164.14"/>
        <n v="2600"/>
        <n v="1447.48"/>
        <n v="2290.81"/>
        <n v="854.74"/>
        <n v="7291.59"/>
        <n v="1544.32"/>
        <n v="4461.22"/>
        <n v="2780.34"/>
        <n v="1386.86"/>
        <n v="4303.58"/>
        <n v="1818.49"/>
        <n v="1457.35"/>
        <n v="1008.85"/>
        <n v="3396.46"/>
        <n v="860.13"/>
        <n v="289.55"/>
        <n v="3062.34"/>
        <n v="656.43"/>
        <n v="345.67"/>
        <n v="6298.77"/>
        <n v="5779.04"/>
        <n v="239.42"/>
        <n v="1111.25"/>
        <n v="198.41"/>
        <n v="994.36"/>
        <n v="304.98"/>
        <n v="820.62"/>
        <n v="3773.87"/>
        <n v="1121.7"/>
        <n v="327.33"/>
        <n v="3136.3"/>
        <n v="1607.43"/>
        <n v="3673.59"/>
        <n v="144.35"/>
        <n v="1200.67"/>
        <n v="3949.38"/>
        <n v="1167.74"/>
        <n v="6709.79"/>
        <n v="1815.04"/>
        <n v="504.04"/>
        <n v="5357.18"/>
        <n v="1440.53"/>
        <n v="257.54000000000002"/>
        <n v="318.82"/>
        <n v="5184.47"/>
        <n v="1281.8599999999999"/>
        <n v="1410.44"/>
        <n v="144.15"/>
        <n v="940.69"/>
        <n v="4676.2"/>
        <n v="5873.2"/>
        <n v="2925.39"/>
        <n v="3973.17"/>
        <n v="772.94"/>
        <n v="1811.42"/>
        <n v="681.46"/>
        <n v="3571.2"/>
        <n v="61.64"/>
        <n v="1004.41"/>
        <n v="1638.45"/>
        <n v="3892.97"/>
        <n v="1522.58"/>
        <n v="4120.1499999999996"/>
        <n v="338.71"/>
        <n v="900.83"/>
        <n v="620.99"/>
        <n v="2306.89"/>
        <n v="334.17"/>
        <n v="1318.7"/>
        <n v="4370.5"/>
        <n v="514.71"/>
        <n v="4948.45"/>
        <n v="562.33000000000004"/>
        <n v="278.02"/>
        <n v="2738.39"/>
        <n v="2785.04"/>
        <n v="5746.08"/>
        <n v="703.98"/>
        <n v="381.66"/>
        <n v="411.47"/>
        <n v="975.7"/>
        <n v="2977.67"/>
        <n v="1192.2"/>
        <n v="3836.18"/>
        <n v="1792.53"/>
        <n v="258.98"/>
        <n v="443.71"/>
        <n v="3733.34"/>
        <n v="7189.99"/>
        <n v="785.6"/>
        <n v="530.42999999999995"/>
        <n v="2743.67"/>
        <n v="418.16"/>
        <n v="914.48"/>
        <n v="300.19"/>
        <n v="4429.92"/>
        <n v="2803.7"/>
        <n v="168.6"/>
        <n v="1832.93"/>
        <n v="755.37"/>
        <n v="1470.22"/>
        <n v="1432.23"/>
        <n v="4405.05"/>
        <n v="3984.14"/>
        <n v="2407.8200000000002"/>
        <n v="2064.6999999999998"/>
        <n v="2373.9699999999998"/>
        <n v="940.6"/>
        <n v="854.79"/>
        <n v="997.27"/>
        <n v="1330.32"/>
        <n v="1036.55"/>
        <n v="2858.85"/>
        <n v="1578.24"/>
        <n v="1305.8399999999999"/>
        <n v="724.3"/>
        <n v="698.96"/>
        <n v="2863.45"/>
        <n v="2746.89"/>
        <n v="3593.38"/>
        <n v="140.54"/>
        <n v="231.92"/>
        <n v="2161.16"/>
        <n v="1716.1"/>
        <n v="426.13"/>
        <n v="2317.96"/>
        <n v="323.18"/>
        <n v="177.22"/>
        <n v="3328.31"/>
        <n v="302.52999999999997"/>
        <n v="567"/>
        <n v="2985.65"/>
        <n v="4133.84"/>
        <n v="5268.23"/>
        <n v="3316.65"/>
        <n v="726.01"/>
        <n v="922.68"/>
        <n v="2626.37"/>
        <n v="1012.01"/>
        <n v="4598"/>
        <n v="4460.7700000000004"/>
        <n v="4404.37"/>
        <n v="142.09"/>
        <n v="2423.31"/>
        <n v="1092.17"/>
        <n v="5617.56"/>
        <n v="797.54"/>
        <n v="154.91999999999999"/>
        <n v="1772.71"/>
        <n v="1268.32"/>
        <n v="502.19"/>
        <n v="963.86"/>
        <n v="2691.29"/>
        <n v="479.64"/>
        <n v="1064.4000000000001"/>
        <n v="3343.21"/>
        <n v="346.69"/>
        <n v="218.3"/>
        <n v="1818.51"/>
        <n v="687.42"/>
        <n v="3049.33"/>
        <n v="3443.12"/>
        <n v="530.30999999999995"/>
        <n v="1361.78"/>
        <n v="164.03"/>
        <n v="5645.32"/>
        <n v="661.26"/>
        <n v="450.8"/>
        <n v="1534.5"/>
        <n v="285.70999999999998"/>
        <n v="2621.37"/>
        <n v="597.23"/>
        <n v="1685.81"/>
        <n v="1161.82"/>
        <n v="1032.46"/>
        <n v="1312.7"/>
        <n v="5919.09"/>
        <n v="2909.18"/>
        <n v="1211.17"/>
        <n v="2205.39"/>
        <n v="3264.27"/>
        <n v="279.36"/>
        <n v="1344.73"/>
        <n v="663.25"/>
        <n v="3732.1"/>
        <n v="125.28"/>
        <n v="3071.16"/>
        <n v="390.87"/>
        <n v="1307.76"/>
        <n v="2397.5"/>
        <n v="803.64"/>
        <n v="1826.03"/>
        <n v="211.51"/>
        <n v="4308.6099999999997"/>
        <n v="4454.01"/>
        <n v="769.76"/>
        <n v="3470.03"/>
        <n v="340.36"/>
        <n v="828.63"/>
        <n v="419.08"/>
        <n v="477.8"/>
        <n v="6481.16"/>
        <n v="2283.86"/>
        <n v="2620.79"/>
        <n v="529.91999999999996"/>
        <n v="3125.24"/>
        <n v="330.65"/>
        <n v="842.47"/>
        <n v="6794.37"/>
        <n v="415.24"/>
        <n v="1652.2"/>
        <n v="774.66"/>
        <n v="3273.07"/>
        <n v="1821.69"/>
        <n v="2893.92"/>
        <n v="2431.1999999999998"/>
        <n v="1289.4000000000001"/>
        <n v="369.51"/>
        <n v="206.54"/>
        <n v="2244.6799999999998"/>
        <n v="2447.1999999999998"/>
        <n v="569.54999999999995"/>
        <n v="4277.13"/>
        <n v="1375.16"/>
        <n v="6919.49"/>
        <n v="780.65"/>
        <n v="272.73"/>
        <n v="1644.63"/>
        <n v="2764.11"/>
        <n v="5099.7"/>
        <n v="4911.29"/>
        <n v="559.51"/>
        <n v="864.4"/>
        <n v="1545.83"/>
        <n v="3894.49"/>
        <n v="342.03"/>
        <n v="5767.53"/>
        <n v="2318.29"/>
        <n v="1592.76"/>
        <n v="1499.03"/>
        <n v="3366.79"/>
        <n v="1114.5999999999999"/>
        <n v="3529.2"/>
        <n v="4188.32"/>
        <n v="517.5"/>
        <n v="1892.52"/>
        <n v="2168.88"/>
        <n v="1708.48"/>
        <n v="830.05"/>
        <n v="746.35"/>
        <n v="1315.19"/>
        <n v="2055.94"/>
        <n v="3145.05"/>
        <n v="380.83"/>
        <n v="2623.66"/>
        <n v="237.75"/>
        <n v="2102.91"/>
        <n v="1971.78"/>
        <n v="607.89"/>
        <n v="800.3"/>
        <n v="4054.97"/>
        <n v="3593.75"/>
        <n v="1024.79"/>
        <n v="1604.03"/>
        <n v="3054.47"/>
        <n v="725.78"/>
        <n v="4732.67"/>
        <n v="9309.7999999999993"/>
        <n v="2971.05"/>
        <n v="2422.44"/>
        <n v="4619.84"/>
        <n v="1946.89"/>
        <n v="4199.29"/>
        <n v="275.12"/>
        <n v="2895.16"/>
        <n v="1839.38"/>
        <n v="1940.7"/>
        <n v="1521.74"/>
        <n v="1433.07"/>
        <n v="582.02"/>
        <n v="102.09"/>
        <n v="411.01"/>
        <n v="1683.1"/>
        <n v="2015"/>
        <n v="1094.5"/>
        <n v="2101.87"/>
        <n v="279.45"/>
        <n v="7983.67"/>
        <n v="1830.29"/>
        <n v="248.41"/>
        <n v="3433.9"/>
      </sharedItems>
    </cacheField>
    <cacheField name="Profit Margin" numFmtId="2">
      <sharedItems containsSemiMixedTypes="0" containsString="0" containsNumber="1" minValue="8.0002009646302247E-2" maxValue="0.24992409333708182"/>
    </cacheField>
    <cacheField name="Revenue" numFmtId="0">
      <sharedItems count="3">
        <s v="High"/>
        <s v="Medain"/>
        <s v="Low"/>
      </sharedItems>
    </cacheField>
    <cacheField name="Month column" numFmtId="0">
      <sharedItems count="12">
        <s v="May"/>
        <s v="Oct"/>
        <s v="Jun"/>
        <s v="Nov"/>
        <s v="Mar"/>
        <s v="Sep"/>
        <s v="Jan"/>
        <s v="Dec"/>
        <s v="Feb"/>
        <s v="Aug"/>
        <s v="Jul"/>
        <s v="Apr"/>
      </sharedItems>
    </cacheField>
    <cacheField name="Year" numFmtId="0">
      <sharedItems containsSemiMixedTypes="0" containsString="0" containsNumber="1" containsInteger="1" minValue="2023" maxValue="2023"/>
    </cacheField>
    <cacheField name="Cost price" numFmtId="0">
      <sharedItems containsSemiMixedTypes="0" containsString="0" containsNumber="1" minValue="141.39999999999998" maxValue="3498.6" count="1047">
        <n v="2780.3999999999996"/>
        <n v="2359.6999999999998"/>
        <n v="1843.1"/>
        <n v="471.79999999999995"/>
        <n v="1469.3"/>
        <n v="2161.6"/>
        <n v="1094.0999999999999"/>
        <n v="1249.5"/>
        <n v="252.7"/>
        <n v="375.9"/>
        <n v="1583.3999999999999"/>
        <n v="1186.5"/>
        <n v="2632.7"/>
        <n v="2312.7999999999997"/>
        <n v="2081.1"/>
        <n v="3285.1"/>
        <n v="744.09999999999991"/>
        <n v="1314.6"/>
        <n v="2050.2999999999997"/>
        <n v="1526.6999999999998"/>
        <n v="2012.4999999999998"/>
        <n v="3485.2999999999997"/>
        <n v="3401.2999999999997"/>
        <n v="2239.2999999999997"/>
        <n v="2571.7999999999997"/>
        <n v="2597"/>
        <n v="1491"/>
        <n v="1897.6999999999998"/>
        <n v="242.2"/>
        <n v="1809.4999999999998"/>
        <n v="2982.7"/>
        <n v="2690.1"/>
        <n v="1579.1999999999998"/>
        <n v="2373.6999999999998"/>
        <n v="3079.2999999999997"/>
        <n v="3243.1"/>
        <n v="3335.5"/>
        <n v="2487.7999999999997"/>
        <n v="3323.6"/>
        <n v="151.19999999999999"/>
        <n v="882"/>
        <n v="273"/>
        <n v="538.29999999999995"/>
        <n v="1320.1999999999998"/>
        <n v="3178.7"/>
        <n v="1858.4999999999998"/>
        <n v="3286.5"/>
        <n v="1527.3999999999999"/>
        <n v="1340.5"/>
        <n v="2326.7999999999997"/>
        <n v="3039.3999999999996"/>
        <n v="3466.3999999999996"/>
        <n v="221.2"/>
        <n v="2134.2999999999997"/>
        <n v="2480.1"/>
        <n v="2342.8999999999996"/>
        <n v="2322.6"/>
        <n v="3392.2"/>
        <n v="1083.5999999999999"/>
        <n v="1320.8999999999999"/>
        <n v="2588.6"/>
        <n v="1922.1999999999998"/>
        <n v="219.79999999999998"/>
        <n v="649.59999999999991"/>
        <n v="2090.1999999999998"/>
        <n v="3032.3999999999996"/>
        <n v="2906.3999999999996"/>
        <n v="416.5"/>
        <n v="2643.8999999999996"/>
        <n v="2685.2"/>
        <n v="2445.7999999999997"/>
        <n v="807.09999999999991"/>
        <n v="2235.1"/>
        <n v="2743.2999999999997"/>
        <n v="3158.3999999999996"/>
        <n v="1689.8"/>
        <n v="1010.0999999999999"/>
        <n v="2290.3999999999996"/>
        <n v="716.09999999999991"/>
        <n v="3062.5"/>
        <n v="2598.3999999999996"/>
        <n v="2471"/>
        <n v="941.49999999999989"/>
        <n v="3035.2"/>
        <n v="2466.7999999999997"/>
        <n v="697.9"/>
        <n v="296.09999999999997"/>
        <n v="3488.7999999999997"/>
        <n v="3369.1"/>
        <n v="3042.2"/>
        <n v="2533.2999999999997"/>
        <n v="679"/>
        <n v="3443.2999999999997"/>
        <n v="1645"/>
        <n v="3319.3999999999996"/>
        <n v="2363.8999999999996"/>
        <n v="2122.4"/>
        <n v="672"/>
        <n v="769.3"/>
        <n v="3049.2"/>
        <n v="506.09999999999997"/>
        <n v="1747.1999999999998"/>
        <n v="1578.5"/>
        <n v="394.79999999999995"/>
        <n v="2097.9"/>
        <n v="3346"/>
        <n v="2657.2"/>
        <n v="1650.6"/>
        <n v="2001.9999999999998"/>
        <n v="2808.3999999999996"/>
        <n v="2149"/>
        <n v="466.9"/>
        <n v="3142.2999999999997"/>
        <n v="938.69999999999993"/>
        <n v="3464.2999999999997"/>
        <n v="2760.7999999999997"/>
        <n v="2739.1"/>
        <n v="1566.6"/>
        <n v="3240.2999999999997"/>
        <n v="2513.6999999999998"/>
        <n v="2168.6"/>
        <n v="1854.3"/>
        <n v="3409"/>
        <n v="1537.8999999999999"/>
        <n v="981.4"/>
        <n v="785.4"/>
        <n v="1775.1999999999998"/>
        <n v="2137.1"/>
        <n v="2399.6"/>
        <n v="205.79999999999998"/>
        <n v="3014.2"/>
        <n v="2243.5"/>
        <n v="2194.5"/>
        <n v="2573.1999999999998"/>
        <n v="3403.3999999999996"/>
        <n v="3088.3999999999996"/>
        <n v="409.5"/>
        <n v="983.49999999999989"/>
        <n v="3206"/>
        <n v="816.19999999999993"/>
        <n v="3235.3999999999996"/>
        <n v="2512.2999999999997"/>
        <n v="1585.5"/>
        <n v="1652.6999999999998"/>
        <n v="1176.6999999999998"/>
        <n v="2563.3999999999996"/>
        <n v="2457"/>
        <n v="1640.1"/>
        <n v="254.79999999999998"/>
        <n v="1678.6"/>
        <n v="499.09999999999997"/>
        <n v="3336.2"/>
        <n v="3096.1"/>
        <n v="2541"/>
        <n v="2798.6"/>
        <n v="1596.6999999999998"/>
        <n v="378.7"/>
        <n v="457.79999999999995"/>
        <n v="2146.1999999999998"/>
        <n v="935.19999999999993"/>
        <n v="3290.7"/>
        <n v="1373.3999999999999"/>
        <n v="247.1"/>
        <n v="3024"/>
        <n v="2624.2999999999997"/>
        <n v="2242.7999999999997"/>
        <n v="376.59999999999997"/>
        <n v="2748.2"/>
        <n v="2933"/>
        <n v="1204.6999999999998"/>
        <n v="1166.1999999999998"/>
        <n v="230.99999999999997"/>
        <n v="2650.8999999999996"/>
        <n v="357"/>
        <n v="2807"/>
        <n v="3494.3999999999996"/>
        <n v="1563.1"/>
        <n v="3285.7999999999997"/>
        <n v="1615.6"/>
        <n v="758.8"/>
        <n v="2100"/>
        <n v="2055.1999999999998"/>
        <n v="2055.9"/>
        <n v="764.4"/>
        <n v="2017.3999999999999"/>
        <n v="3034.5"/>
        <n v="2920.3999999999996"/>
        <n v="2317.6999999999998"/>
        <n v="1808.1"/>
        <n v="1341.1999999999998"/>
        <n v="3304.7"/>
        <n v="1529.5"/>
        <n v="3496.5"/>
        <n v="1012.9"/>
        <n v="1460.8999999999999"/>
        <n v="759.5"/>
        <n v="673.4"/>
        <n v="1894.1999999999998"/>
        <n v="166.6"/>
        <n v="2348.5"/>
        <n v="831.59999999999991"/>
        <n v="3405.5"/>
        <n v="694.4"/>
        <n v="828.8"/>
        <n v="3250.7999999999997"/>
        <n v="508.2"/>
        <n v="1374.1"/>
        <n v="548.09999999999991"/>
        <n v="1112.3"/>
        <n v="1570.1"/>
        <n v="2195.1999999999998"/>
        <n v="3175.8999999999996"/>
        <n v="781.9"/>
        <n v="3106.6"/>
        <n v="2877.7"/>
        <n v="284.89999999999998"/>
        <n v="3016.2999999999997"/>
        <n v="1658.3"/>
        <n v="1789.1999999999998"/>
        <n v="602.69999999999993"/>
        <n v="3031"/>
        <n v="250.6"/>
        <n v="808.5"/>
        <n v="2807.7"/>
        <n v="3452.3999999999996"/>
        <n v="2653.7"/>
        <n v="401.79999999999995"/>
        <n v="1734.6"/>
        <n v="158.89999999999998"/>
        <n v="3217.2"/>
        <n v="1036"/>
        <n v="1054.8999999999999"/>
        <n v="1298.5"/>
        <n v="2907.1"/>
        <n v="880.59999999999991"/>
        <n v="1000.3"/>
        <n v="2886.1"/>
        <n v="1871.8"/>
        <n v="541.79999999999995"/>
        <n v="1082.8999999999999"/>
        <n v="2627.1"/>
        <n v="714.69999999999993"/>
        <n v="1673"/>
        <n v="2476.6"/>
        <n v="858.19999999999993"/>
        <n v="963.9"/>
        <n v="2121"/>
        <n v="424.2"/>
        <n v="639.79999999999995"/>
        <n v="814.09999999999991"/>
        <n v="213.5"/>
        <n v="3251.5"/>
        <n v="1791.3"/>
        <n v="1398.6"/>
        <n v="1050"/>
        <n v="1302"/>
        <n v="3041.5"/>
        <n v="2268"/>
        <n v="3477.6"/>
        <n v="1222.1999999999998"/>
        <n v="678.3"/>
        <n v="2945.6"/>
        <n v="1960.6999999999998"/>
        <n v="190.39999999999998"/>
        <n v="1934.8"/>
        <n v="1820.6999999999998"/>
        <n v="1447.6"/>
        <n v="1611.3999999999999"/>
        <n v="1315.3"/>
        <n v="2900.1"/>
        <n v="3325.7"/>
        <n v="1929.1999999999998"/>
        <n v="2111.9"/>
        <n v="3224.2"/>
        <n v="3035.8999999999996"/>
        <n v="2336.6"/>
        <n v="2224.6"/>
        <n v="3121.2999999999997"/>
        <n v="1512"/>
        <n v="2265.1999999999998"/>
        <n v="1507.1"/>
        <n v="459.2"/>
        <n v="419.29999999999995"/>
        <n v="2444.3999999999996"/>
        <n v="676.9"/>
        <n v="1374.8"/>
        <n v="1745.1"/>
        <n v="2298.7999999999997"/>
        <n v="3127.6"/>
        <n v="3446.7999999999997"/>
        <n v="2802.7999999999997"/>
        <n v="308.7"/>
        <n v="682.5"/>
        <n v="1643.6"/>
        <n v="424.9"/>
        <n v="1311.8"/>
        <n v="680.4"/>
        <n v="1012.1999999999999"/>
        <n v="813.4"/>
        <n v="3139.5"/>
        <n v="794.5"/>
        <n v="2727.8999999999996"/>
        <n v="2931.6"/>
        <n v="1677.1999999999998"/>
        <n v="3155.6"/>
        <n v="2767.7999999999997"/>
        <n v="155.39999999999998"/>
        <n v="392.7"/>
        <n v="1438.5"/>
        <n v="1651.3"/>
        <n v="865.9"/>
        <n v="2866.5"/>
        <n v="849.09999999999991"/>
        <n v="1856.3999999999999"/>
        <n v="2373"/>
        <n v="2202.8999999999996"/>
        <n v="2861.6"/>
        <n v="2221.7999999999997"/>
        <n v="984.19999999999993"/>
        <n v="853.3"/>
        <n v="1627.5"/>
        <n v="489.29999999999995"/>
        <n v="2069.9"/>
        <n v="3413.2"/>
        <n v="1277.5"/>
        <n v="2508.7999999999997"/>
        <n v="1273.3"/>
        <n v="1549.8"/>
        <n v="1343.3"/>
        <n v="622.29999999999995"/>
        <n v="2696.3999999999996"/>
        <n v="3275.2999999999997"/>
        <n v="557.9"/>
        <n v="2708.2999999999997"/>
        <n v="2651.6"/>
        <n v="1348.8999999999999"/>
        <n v="2093.6999999999998"/>
        <n v="1613.5"/>
        <n v="1243.8999999999999"/>
        <n v="3221.3999999999996"/>
        <n v="478.79999999999995"/>
        <n v="2607.5"/>
        <n v="1468.6"/>
        <n v="1754.8999999999999"/>
        <n v="1210.3"/>
        <n v="1819.9999999999998"/>
        <n v="1116.5"/>
        <n v="2233"/>
        <n v="2821.7"/>
        <n v="908.59999999999991"/>
        <n v="3208.7999999999997"/>
        <n v="248.49999999999997"/>
        <n v="737.8"/>
        <n v="3379.6"/>
        <n v="1857.8"/>
        <n v="2881.8999999999996"/>
        <n v="1516.8999999999999"/>
        <n v="1771.6999999999998"/>
        <n v="3449.6"/>
        <n v="1898.3999999999999"/>
        <n v="830.9"/>
        <n v="1906.8"/>
        <n v="1184.3999999999999"/>
        <n v="1570.8"/>
        <n v="379.4"/>
        <n v="3467.7999999999997"/>
        <n v="3360"/>
        <n v="544.59999999999991"/>
        <n v="1394.3999999999999"/>
        <n v="650.29999999999995"/>
        <n v="238.7"/>
        <n v="1607.1999999999998"/>
        <n v="3427.8999999999996"/>
        <n v="1400"/>
        <n v="2689.3999999999996"/>
        <n v="1089.1999999999998"/>
        <n v="2772"/>
        <n v="2020.1999999999998"/>
        <n v="2805.6"/>
        <n v="280.7"/>
        <n v="2372.2999999999997"/>
        <n v="2649.5"/>
        <n v="1737.3999999999999"/>
        <n v="944.99999999999989"/>
        <n v="930.99999999999989"/>
        <n v="1416.1"/>
        <n v="1568.6999999999998"/>
        <n v="2492.6999999999998"/>
        <n v="1964.1999999999998"/>
        <n v="2277.7999999999997"/>
        <n v="790.3"/>
        <n v="1470"/>
        <n v="964.59999999999991"/>
        <n v="1756.3"/>
        <n v="226.1"/>
        <n v="1831.1999999999998"/>
        <n v="3054.1"/>
        <n v="1812.9999999999998"/>
        <n v="378"/>
        <n v="2559.1999999999998"/>
        <n v="1670.1999999999998"/>
        <n v="2754.5"/>
        <n v="599.19999999999993"/>
        <n v="1335.6"/>
        <n v="823.19999999999993"/>
        <n v="1675.8"/>
        <n v="1267"/>
        <n v="2817.5"/>
        <n v="771.4"/>
        <n v="1808.8"/>
        <n v="1882.9999999999998"/>
        <n v="3484.6"/>
        <n v="2766.3999999999996"/>
        <n v="3019.7999999999997"/>
        <n v="1240.3999999999999"/>
        <n v="2378.6"/>
        <n v="429.09999999999997"/>
        <n v="1604.3999999999999"/>
        <n v="3119.8999999999996"/>
        <n v="2915.5"/>
        <n v="445.2"/>
        <n v="267.39999999999998"/>
        <n v="601.29999999999995"/>
        <n v="3254.2999999999997"/>
        <n v="1458.8"/>
        <n v="1845.8999999999999"/>
        <n v="3102.3999999999996"/>
        <n v="277.89999999999998"/>
        <n v="2869.2999999999997"/>
        <n v="3308.2"/>
        <n v="2139.9"/>
        <n v="2501.7999999999997"/>
        <n v="2990.3999999999996"/>
        <n v="3236.7999999999997"/>
        <n v="977.19999999999993"/>
        <n v="797.3"/>
        <n v="1223.5999999999999"/>
        <n v="2699.8999999999996"/>
        <n v="3385.2"/>
        <n v="2774.7999999999997"/>
        <n v="2736.2999999999997"/>
        <n v="2321.1999999999998"/>
        <n v="2433.1999999999998"/>
        <n v="2741.2"/>
        <n v="2429"/>
        <n v="461.99999999999994"/>
        <n v="890.4"/>
        <n v="3486.7"/>
        <n v="1746.5"/>
        <n v="2691.5"/>
        <n v="921.19999999999993"/>
        <n v="1885.1"/>
        <n v="748.3"/>
        <n v="1047.2"/>
        <n v="2388.3999999999996"/>
        <n v="3137.3999999999996"/>
        <n v="1867.6"/>
        <n v="1691.8999999999999"/>
        <n v="2462.6"/>
        <n v="2874.2"/>
        <n v="2711.7999999999997"/>
        <n v="624.4"/>
        <n v="2729.2999999999997"/>
        <n v="602"/>
        <n v="751.09999999999991"/>
        <n v="1113.6999999999998"/>
        <n v="329"/>
        <n v="2664.8999999999996"/>
        <n v="2416.3999999999996"/>
        <n v="3483.2"/>
        <n v="2349.1999999999998"/>
        <n v="2981.2999999999997"/>
        <n v="2669.1"/>
        <n v="3353.7"/>
        <n v="329.7"/>
        <n v="3184.2999999999997"/>
        <n v="2874.8999999999996"/>
        <n v="2704.7999999999997"/>
        <n v="3140.8999999999996"/>
        <n v="169.39999999999998"/>
        <n v="2510.1999999999998"/>
        <n v="839.3"/>
        <n v="2751.7"/>
        <n v="1936.1999999999998"/>
        <n v="3331.2999999999997"/>
        <n v="2204.2999999999997"/>
        <n v="174.29999999999998"/>
        <n v="455.7"/>
        <n v="2072.6999999999998"/>
        <n v="501.9"/>
        <n v="3304"/>
        <n v="3159.7999999999997"/>
        <n v="3288.6"/>
        <n v="1359.3999999999999"/>
        <n v="3295.6"/>
        <n v="2235.7999999999997"/>
        <n v="338.09999999999997"/>
        <n v="1484"/>
        <n v="262.5"/>
        <n v="1385.3"/>
        <n v="2713.2"/>
        <n v="2088.7999999999997"/>
        <n v="2247"/>
        <n v="1311.1"/>
        <n v="2769.8999999999996"/>
        <n v="485.09999999999997"/>
        <n v="2958.8999999999996"/>
        <n v="1866.8999999999999"/>
        <n v="1931.3"/>
        <n v="2690.7999999999997"/>
        <n v="2291.7999999999997"/>
        <n v="786.8"/>
        <n v="2007.6"/>
        <n v="1670.8999999999999"/>
        <n v="2888.8999999999996"/>
        <n v="3226.2999999999997"/>
        <n v="1649.1999999999998"/>
        <n v="2199.3999999999996"/>
        <n v="3353"/>
        <n v="2302.2999999999997"/>
        <n v="3450.2999999999997"/>
        <n v="1745.8"/>
        <n v="2492"/>
        <n v="1503.6"/>
        <n v="3178"/>
        <n v="3220"/>
        <n v="315"/>
        <n v="2865.1"/>
        <n v="1870.3999999999999"/>
        <n v="408.09999999999997"/>
        <n v="1777.3"/>
        <n v="1962.8"/>
        <n v="141.39999999999998"/>
        <n v="2163"/>
        <n v="899.49999999999989"/>
        <n v="1508.5"/>
        <n v="1192.0999999999999"/>
        <n v="2354.1"/>
        <n v="833"/>
        <n v="1185.0999999999999"/>
        <n v="1942.4999999999998"/>
        <n v="2800.7"/>
        <n v="3115.7"/>
        <n v="2272.1999999999998"/>
        <n v="282.09999999999997"/>
        <n v="1218"/>
        <n v="3325"/>
        <n v="3262"/>
        <n v="219.1"/>
        <n v="2377.1999999999998"/>
        <n v="2051"/>
        <n v="2171.3999999999996"/>
        <n v="2683.7999999999997"/>
        <n v="1893.4999999999998"/>
        <n v="2418.5"/>
        <n v="2852.5"/>
        <n v="3213.7"/>
        <n v="822.5"/>
        <n v="2468.8999999999996"/>
        <n v="1000.9999999999999"/>
        <n v="2839.2"/>
        <n v="905.8"/>
        <n v="742.69999999999993"/>
        <n v="2916.2"/>
        <n v="3346.7"/>
        <n v="2391.1999999999998"/>
        <n v="297.5"/>
        <n v="1647.1"/>
        <n v="452.2"/>
        <n v="3040.1"/>
        <n v="1492.3999999999999"/>
        <n v="2382.1"/>
        <n v="2423.3999999999996"/>
        <n v="2089.5"/>
        <n v="2207.1"/>
        <n v="354.9"/>
        <n v="3274.6"/>
        <n v="1922.8999999999999"/>
        <n v="1204"/>
        <n v="2489.8999999999996"/>
        <n v="2119.6"/>
        <n v="239.39999999999998"/>
        <n v="3298.3999999999996"/>
        <n v="2793.7"/>
        <n v="2205.6999999999998"/>
        <n v="3103.7999999999997"/>
        <n v="2886.7999999999997"/>
        <n v="1019.1999999999999"/>
        <n v="900.19999999999993"/>
        <n v="2988.2999999999997"/>
        <n v="2797.8999999999996"/>
        <n v="2363.1999999999998"/>
        <n v="1512.6999999999998"/>
        <n v="2943.5"/>
        <n v="2097.1999999999998"/>
        <n v="2274.2999999999997"/>
        <n v="1523.8999999999999"/>
        <n v="1818.6"/>
        <n v="229.6"/>
        <n v="578.9"/>
        <n v="821.8"/>
        <n v="2010.3999999999999"/>
        <n v="845.59999999999991"/>
        <n v="391.29999999999995"/>
        <n v="333.9"/>
        <n v="1154.3"/>
        <n v="2770.6"/>
        <n v="3120.6"/>
        <n v="1863.3999999999999"/>
        <n v="636.29999999999995"/>
        <n v="3395.7"/>
        <n v="1866.1999999999998"/>
        <n v="3108"/>
        <n v="945.69999999999993"/>
        <n v="3306.7999999999997"/>
        <n v="3101.7"/>
        <n v="2832.8999999999996"/>
        <n v="2131.5"/>
        <n v="2716.7"/>
        <n v="1299.8999999999999"/>
        <n v="2837.7999999999997"/>
        <n v="2009.6999999999998"/>
        <n v="1172.5"/>
        <n v="1677.8999999999999"/>
        <n v="1626.1"/>
        <n v="1409.8"/>
        <n v="3027.5"/>
        <n v="2635.5"/>
        <n v="1606.5"/>
        <n v="3486"/>
        <n v="2286.1999999999998"/>
        <n v="3350.2"/>
        <n v="1771"/>
        <n v="3183.6"/>
        <n v="2130.1"/>
        <n v="2376.5"/>
        <n v="3329.2"/>
        <n v="970.9"/>
        <n v="170.79999999999998"/>
        <n v="1946.6999999999998"/>
        <n v="2524.1999999999998"/>
        <n v="780.5"/>
        <n v="3439.1"/>
        <n v="1881.6"/>
        <n v="952.69999999999993"/>
        <n v="310.79999999999995"/>
        <n v="2518.6"/>
        <n v="3397.7999999999997"/>
        <n v="931.69999999999993"/>
        <n v="147.69999999999999"/>
        <n v="1593.8999999999999"/>
        <n v="730.8"/>
        <n v="268.79999999999995"/>
        <n v="3418.1"/>
        <n v="3048.5"/>
        <n v="2923.8999999999996"/>
        <n v="3031.7"/>
        <n v="923.3"/>
        <n v="475.29999999999995"/>
        <n v="2809.7999999999997"/>
        <n v="2680.2999999999997"/>
        <n v="1027.5999999999999"/>
        <n v="1213.8"/>
        <n v="1029"/>
        <n v="1096.8999999999999"/>
        <n v="1708"/>
        <n v="3012.1"/>
        <n v="1290.8"/>
        <n v="259"/>
        <n v="2887.5"/>
        <n v="348.59999999999997"/>
        <n v="2983.3999999999996"/>
        <n v="1999.8999999999999"/>
        <n v="3236.1"/>
        <n v="2685.8999999999996"/>
        <n v="395.5"/>
        <n v="2638.2999999999997"/>
        <n v="2120.2999999999997"/>
        <n v="2354.7999999999997"/>
        <n v="310.09999999999997"/>
        <n v="1450.3999999999999"/>
        <n v="610.4"/>
        <n v="2825.2"/>
        <n v="494.9"/>
        <n v="3301.2"/>
        <n v="2740.5"/>
        <n v="3413.8999999999996"/>
        <n v="1596"/>
        <n v="422.79999999999995"/>
        <n v="2909.2"/>
        <n v="986.3"/>
        <n v="2426.8999999999996"/>
        <n v="1144.5"/>
        <n v="2081.7999999999997"/>
        <n v="762.3"/>
        <n v="2652.2999999999997"/>
        <n v="3000.2"/>
        <n v="2300.8999999999996"/>
        <n v="1759.1"/>
        <n v="2615.1999999999998"/>
        <n v="1155"/>
        <n v="2600.5"/>
        <n v="3334.1"/>
        <n v="2218.2999999999997"/>
        <n v="3110.1"/>
        <n v="3129"/>
        <n v="3400.6"/>
        <n v="2802.1"/>
        <n v="1750"/>
        <n v="973.69999999999993"/>
        <n v="3317.2999999999997"/>
        <n v="2632"/>
        <n v="2613.7999999999997"/>
        <n v="2351.2999999999997"/>
        <n v="1815.8"/>
        <n v="1278.8999999999999"/>
        <n v="1957.8999999999999"/>
        <n v="1104.5999999999999"/>
        <n v="3248"/>
        <n v="1587.6"/>
        <n v="331.09999999999997"/>
        <n v="3140.2"/>
        <n v="2472.3999999999996"/>
        <n v="2422"/>
        <n v="1912.3999999999999"/>
        <n v="653.79999999999995"/>
        <n v="2193.1"/>
        <n v="2542.3999999999996"/>
        <n v="2181.8999999999996"/>
        <n v="3168.8999999999996"/>
        <n v="2781.7999999999997"/>
        <n v="1804.6"/>
        <n v="620.9"/>
        <n v="2368.1"/>
        <n v="1074.5"/>
        <n v="2592.1"/>
        <n v="220.5"/>
        <n v="891.09999999999991"/>
        <n v="385.7"/>
        <n v="521.5"/>
        <n v="1924.3"/>
        <n v="2687.2999999999997"/>
        <n v="2629.2"/>
        <n v="3097.5"/>
        <n v="2044.6999999999998"/>
        <n v="498.4"/>
        <n v="895.3"/>
        <n v="3138.7999999999997"/>
        <n v="717.5"/>
        <n v="1904.6999999999998"/>
        <n v="2056.6"/>
        <n v="308"/>
        <n v="3408.2999999999997"/>
        <n v="1061.8999999999999"/>
        <n v="1193.5"/>
        <n v="264.59999999999997"/>
        <n v="2166.5"/>
        <n v="368.2"/>
        <n v="2029.3"/>
        <n v="2330.2999999999997"/>
        <n v="522.9"/>
        <n v="1253"/>
        <n v="1861.9999999999998"/>
        <n v="2319.7999999999997"/>
        <n v="2296.6999999999998"/>
        <n v="2357.6"/>
        <n v="643.29999999999995"/>
        <n v="1165.5"/>
        <n v="1885.8"/>
        <n v="2405.8999999999996"/>
        <n v="2380.6999999999998"/>
        <n v="3493"/>
        <n v="2776.8999999999996"/>
        <n v="2730.7"/>
        <n v="2339.3999999999996"/>
        <n v="3383.1"/>
        <n v="417.9"/>
        <n v="2198.6999999999998"/>
        <n v="1260.6999999999998"/>
        <n v="1049.3"/>
        <n v="3342.5"/>
        <n v="710.5"/>
        <n v="960.4"/>
        <n v="2117.5"/>
        <n v="3156.2999999999997"/>
        <n v="370.29999999999995"/>
        <n v="1936.8999999999999"/>
        <n v="934.49999999999989"/>
        <n v="737.09999999999991"/>
        <n v="3293.5"/>
        <n v="1168.3"/>
        <n v="188.29999999999998"/>
        <n v="2085.2999999999997"/>
        <n v="2845.5"/>
        <n v="3340.3999999999996"/>
        <n v="1733.1999999999998"/>
        <n v="2008.3"/>
        <n v="444.5"/>
        <n v="2319.1"/>
        <n v="2156"/>
        <n v="142.79999999999998"/>
        <n v="2196.6"/>
        <n v="1985.1999999999998"/>
        <n v="317.09999999999997"/>
        <n v="2164.3999999999996"/>
        <n v="2219.6999999999998"/>
        <n v="3024.7"/>
        <n v="3256.3999999999996"/>
        <n v="2102.1"/>
        <n v="2158.1"/>
        <n v="3157"/>
        <n v="2941.3999999999996"/>
        <n v="2095.1"/>
        <n v="724.5"/>
        <n v="2799.2999999999997"/>
        <n v="3341.1"/>
        <n v="667.09999999999991"/>
        <n v="2461.8999999999996"/>
        <n v="1538.6"/>
        <n v="3049.8999999999996"/>
        <n v="545.29999999999995"/>
        <n v="2970.7999999999997"/>
        <n v="991.19999999999993"/>
        <n v="957.59999999999991"/>
        <n v="203.7"/>
        <n v="525.69999999999993"/>
        <n v="2051.6999999999998"/>
        <n v="1713.6"/>
        <n v="631.4"/>
        <n v="669.9"/>
        <n v="2934.3999999999996"/>
        <n v="509.59999999999997"/>
        <n v="1502.8999999999999"/>
        <n v="2514.3999999999996"/>
        <n v="2197.2999999999997"/>
        <n v="1847.9999999999998"/>
        <n v="2075.5"/>
        <n v="3131.1"/>
        <n v="1801.8"/>
        <n v="3038"/>
        <n v="1722.6999999999998"/>
        <n v="1044.3999999999999"/>
        <n v="366.79999999999995"/>
        <n v="1191.3999999999999"/>
        <n v="1376.8999999999999"/>
        <n v="185.5"/>
        <n v="723.8"/>
        <n v="2058"/>
        <n v="2909.8999999999996"/>
        <n v="1654.8"/>
        <n v="2993.2"/>
        <n v="2070.6"/>
        <n v="972.3"/>
        <n v="2892.3999999999996"/>
        <n v="200.2"/>
        <n v="1817.8999999999999"/>
        <n v="2893.1"/>
        <n v="1889.9999999999998"/>
        <n v="1489.6"/>
        <n v="3026.7999999999997"/>
        <n v="1659"/>
        <n v="556.5"/>
        <n v="2116.7999999999997"/>
        <n v="490.7"/>
        <n v="843.5"/>
        <n v="3196.2"/>
        <n v="2411.5"/>
        <n v="279.29999999999995"/>
        <n v="562.79999999999995"/>
        <n v="3294.8999999999996"/>
        <n v="2464"/>
        <n v="2443.6999999999998"/>
        <n v="337.4"/>
        <n v="2587.8999999999996"/>
        <n v="534.79999999999995"/>
        <n v="1855.6999999999998"/>
        <n v="3446.1"/>
        <n v="1425.1999999999998"/>
        <n v="2989.7"/>
        <n v="1367.1"/>
        <n v="2939.2999999999997"/>
        <n v="522.19999999999993"/>
        <n v="1260"/>
        <n v="1620.5"/>
        <n v="1229.8999999999999"/>
        <n v="1055.5999999999999"/>
        <n v="210"/>
        <n v="1919.3999999999999"/>
        <n v="2705.5"/>
        <n v="493.49999999999994"/>
        <n v="1159.1999999999998"/>
        <n v="1896.3"/>
        <n v="1630.3"/>
        <n v="3084.8999999999996"/>
        <n v="3370.5"/>
        <n v="1736.6999999999998"/>
        <n v="3338.2999999999997"/>
        <n v="3307.5"/>
        <n v="1131.1999999999998"/>
        <n v="1819.3"/>
        <n v="617.4"/>
        <n v="707"/>
        <n v="1938.9999999999998"/>
        <n v="1283.0999999999999"/>
        <n v="2916.8999999999996"/>
        <n v="1483.3"/>
        <n v="396.2"/>
        <n v="2248.3999999999996"/>
        <n v="1379"/>
        <n v="2223.1999999999998"/>
        <n v="613.9"/>
        <n v="1387.3999999999999"/>
        <n v="2926.7"/>
        <n v="1131.8999999999999"/>
        <n v="2104.1999999999998"/>
        <n v="224"/>
        <n v="372.4"/>
        <n v="2867.8999999999996"/>
        <n v="1617.6999999999998"/>
        <n v="1234.8"/>
        <n v="2929.5"/>
        <n v="2283.3999999999996"/>
        <n v="1927.1"/>
        <n v="1723.3999999999999"/>
        <n v="2082.5"/>
        <n v="1120"/>
        <n v="2662.7999999999997"/>
        <n v="1832.6"/>
        <n v="1843.8"/>
        <n v="287.7"/>
        <n v="798.69999999999993"/>
        <n v="3124.7999999999997"/>
        <n v="508.9"/>
        <n v="963.19999999999993"/>
        <n v="1899.1"/>
        <n v="1227.8"/>
        <n v="728.69999999999993"/>
        <n v="3420.8999999999996"/>
        <n v="2772.7"/>
        <n v="902.3"/>
        <n v="926.8"/>
        <n v="2787.3999999999996"/>
        <n v="2583.6999999999998"/>
        <n v="2636.8999999999996"/>
        <n v="2046.8"/>
        <n v="225.39999999999998"/>
        <n v="191.79999999999998"/>
        <n v="2779.7"/>
        <n v="503.99999999999994"/>
        <n v="309.39999999999998"/>
        <n v="3283.7"/>
        <n v="2025.8"/>
        <n v="2473.1"/>
        <n v="1838.8999999999999"/>
        <n v="834.4"/>
        <n v="2294.6"/>
        <n v="2804.2"/>
        <n v="936.59999999999991"/>
        <n v="2317"/>
        <n v="1395.8"/>
        <n v="2546.6"/>
        <n v="1461.6"/>
        <n v="496.29999999999995"/>
        <n v="1633.8"/>
        <n v="1052.8"/>
        <n v="704.19999999999993"/>
        <n v="1238.3"/>
        <n v="1117.8999999999999"/>
        <n v="1344.6999999999998"/>
        <n v="1709.3999999999999"/>
        <n v="2742.6"/>
        <n v="463.4"/>
        <n v="2905.7"/>
        <n v="3260.6"/>
        <n v="2989"/>
        <n v="1211.6999999999998"/>
        <n v="1001.6999999999999"/>
        <n v="2946.2999999999997"/>
        <n v="304.5"/>
        <n v="2748.8999999999996"/>
        <n v="730.09999999999991"/>
        <n v="2509.5"/>
        <n v="1061.2"/>
        <n v="1514.1"/>
        <n v="1148.6999999999998"/>
        <n v="3364.8999999999996"/>
        <n v="1348.1999999999998"/>
        <n v="389.2"/>
        <n v="3232.6"/>
        <n v="1214.5"/>
        <n v="344.4"/>
        <n v="1730.3999999999999"/>
        <n v="3247.2999999999997"/>
        <n v="1107.3999999999999"/>
        <n v="854"/>
        <n v="2719.5"/>
        <n v="2965.8999999999996"/>
        <n v="2783.8999999999996"/>
        <n v="2181.1999999999998"/>
        <n v="2904.2999999999997"/>
        <n v="1453.8999999999999"/>
        <n v="243.6"/>
        <n v="2620.7999999999997"/>
        <n v="1963.4999999999998"/>
        <n v="1124.8999999999999"/>
        <n v="3498.6"/>
        <n v="1696.8"/>
        <n v="3147.8999999999996"/>
        <n v="1681.3999999999999"/>
        <n v="2709.7"/>
        <n v="316.39999999999998"/>
        <n v="1250.8999999999999"/>
        <n v="638.4"/>
        <n v="2450.6999999999998"/>
        <n v="562.09999999999991"/>
        <n v="3422.2999999999997"/>
        <n v="1997.1"/>
        <n v="1304.8"/>
        <n v="2242.1"/>
        <n v="434.7"/>
        <n v="3276"/>
        <n v="659.4"/>
        <n v="3244.5"/>
        <n v="1572.8999999999999"/>
        <n v="3453.1"/>
        <n v="1565.8999999999999"/>
        <n v="809.19999999999993"/>
        <n v="1714.3"/>
        <n v="2108.4"/>
        <n v="1950.8999999999999"/>
        <n v="2440.1999999999998"/>
        <n v="969.49999999999989"/>
        <n v="1322.3"/>
        <n v="2256.1"/>
        <n v="930.3"/>
        <n v="2386.2999999999997"/>
        <n v="1452.5"/>
        <n v="2069.1999999999998"/>
        <n v="1236.8999999999999"/>
        <n v="2520.6999999999998"/>
        <n v="1497.3"/>
        <n v="753.9"/>
        <n v="2068.5"/>
        <n v="1442.6999999999998"/>
        <n v="3404.1"/>
        <n v="1589"/>
        <n v="616"/>
      </sharedItems>
    </cacheField>
    <cacheField name="Actual Profit" numFmtId="0">
      <sharedItems containsSemiMixedTypes="0" containsString="0" containsNumber="1" minValue="64.800000000000011" maxValue="13486.5"/>
    </cacheField>
    <cacheField name="Discount" numFmtId="0">
      <sharedItems containsSemiMixedTypes="0" containsString="0" containsNumber="1" minValue="0.05" maxValue="0.1" count="2">
        <n v="0.1"/>
        <n v="0.05"/>
      </sharedItems>
    </cacheField>
    <cacheField name="Net Sales" numFmtId="0">
      <sharedItems containsSemiMixedTypes="0" containsString="0" containsNumber="1" minValue="162.20000000000002" maxValue="40768.630000000005"/>
    </cacheField>
    <cacheField name="Order Size" numFmtId="0">
      <sharedItems count="3">
        <s v="Bulk"/>
        <s v="Median"/>
        <s v="Small"/>
      </sharedItems>
    </cacheField>
    <cacheField name="Regional type" numFmtId="0">
      <sharedItems count="2">
        <s v="Normal"/>
        <s v="High Demand"/>
      </sharedItems>
    </cacheField>
    <cacheField name="Customer value score" numFmtId="0">
      <sharedItems count="3">
        <s v="High Value"/>
        <s v="Median Value"/>
        <s v="low Value"/>
      </sharedItems>
    </cacheField>
  </cacheFields>
  <extLst>
    <ext xmlns:x14="http://schemas.microsoft.com/office/spreadsheetml/2009/9/main" uri="{725AE2AE-9491-48be-B2B4-4EB974FC3084}">
      <x14:pivotCacheDefinition pivotCacheId="1378339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1000"/>
    <d v="2023-05-02T00:00:00"/>
    <x v="0"/>
    <x v="0"/>
    <x v="0"/>
    <x v="0"/>
    <x v="0"/>
    <n v="3972"/>
    <x v="0"/>
    <x v="0"/>
    <n v="0.18146462739174221"/>
    <x v="0"/>
    <x v="0"/>
    <n v="2023"/>
    <x v="0"/>
    <n v="9532.8000000000029"/>
    <x v="0"/>
    <n v="26009.78"/>
    <x v="0"/>
    <x v="0"/>
    <x v="0"/>
  </r>
  <r>
    <s v="ORD1001"/>
    <d v="2023-05-11T00:00:00"/>
    <x v="1"/>
    <x v="1"/>
    <x v="0"/>
    <x v="0"/>
    <x v="1"/>
    <n v="3371"/>
    <x v="1"/>
    <x v="1"/>
    <n v="0.1042871551468407"/>
    <x v="1"/>
    <x v="0"/>
    <n v="2023"/>
    <x v="1"/>
    <n v="5056.5"/>
    <x v="1"/>
    <n v="15097.24"/>
    <x v="1"/>
    <x v="0"/>
    <x v="1"/>
  </r>
  <r>
    <s v="ORD1002"/>
    <d v="2023-10-04T00:00:00"/>
    <x v="2"/>
    <x v="2"/>
    <x v="1"/>
    <x v="1"/>
    <x v="2"/>
    <n v="2633"/>
    <x v="2"/>
    <x v="2"/>
    <n v="0.11091024180275985"/>
    <x v="1"/>
    <x v="1"/>
    <n v="2023"/>
    <x v="2"/>
    <n v="4739.4000000000015"/>
    <x v="0"/>
    <n v="14045.84"/>
    <x v="1"/>
    <x v="1"/>
    <x v="1"/>
  </r>
  <r>
    <s v="ORD1003"/>
    <d v="2023-06-19T00:00:00"/>
    <x v="3"/>
    <x v="2"/>
    <x v="1"/>
    <x v="2"/>
    <x v="3"/>
    <n v="674"/>
    <x v="3"/>
    <x v="3"/>
    <n v="0.18401417738212991"/>
    <x v="2"/>
    <x v="2"/>
    <n v="2023"/>
    <x v="3"/>
    <n v="1819.8000000000002"/>
    <x v="0"/>
    <n v="4949.7700000000004"/>
    <x v="0"/>
    <x v="0"/>
    <x v="2"/>
  </r>
  <r>
    <s v="ORD1004"/>
    <d v="2023-11-16T00:00:00"/>
    <x v="2"/>
    <x v="0"/>
    <x v="2"/>
    <x v="3"/>
    <x v="4"/>
    <n v="2099"/>
    <x v="4"/>
    <x v="4"/>
    <n v="0.16741940606638081"/>
    <x v="2"/>
    <x v="3"/>
    <n v="2023"/>
    <x v="4"/>
    <n v="1889.1000000000004"/>
    <x v="1"/>
    <n v="5242.76"/>
    <x v="2"/>
    <x v="1"/>
    <x v="2"/>
  </r>
  <r>
    <s v="ORD1005"/>
    <d v="2023-03-30T00:00:00"/>
    <x v="3"/>
    <x v="3"/>
    <x v="3"/>
    <x v="4"/>
    <x v="5"/>
    <n v="3088"/>
    <x v="5"/>
    <x v="5"/>
    <n v="9.1058937823834188E-2"/>
    <x v="0"/>
    <x v="4"/>
    <n v="2023"/>
    <x v="5"/>
    <n v="6484.8000000000011"/>
    <x v="0"/>
    <n v="19647.669999999998"/>
    <x v="0"/>
    <x v="0"/>
    <x v="0"/>
  </r>
  <r>
    <s v="ORD1006"/>
    <d v="2023-09-21T00:00:00"/>
    <x v="0"/>
    <x v="0"/>
    <x v="1"/>
    <x v="5"/>
    <x v="1"/>
    <n v="1563"/>
    <x v="6"/>
    <x v="6"/>
    <n v="0.12097376839411388"/>
    <x v="2"/>
    <x v="5"/>
    <n v="2023"/>
    <x v="6"/>
    <n v="2344.5"/>
    <x v="1"/>
    <n v="6869.59"/>
    <x v="1"/>
    <x v="0"/>
    <x v="2"/>
  </r>
  <r>
    <s v="ORD1007"/>
    <d v="2023-01-02T00:00:00"/>
    <x v="1"/>
    <x v="3"/>
    <x v="1"/>
    <x v="5"/>
    <x v="6"/>
    <n v="1785"/>
    <x v="7"/>
    <x v="7"/>
    <n v="0.19262885154061624"/>
    <x v="2"/>
    <x v="6"/>
    <n v="2023"/>
    <x v="7"/>
    <n v="2142"/>
    <x v="1"/>
    <n v="5764.63"/>
    <x v="1"/>
    <x v="0"/>
    <x v="2"/>
  </r>
  <r>
    <s v="ORD1008"/>
    <d v="2023-09-27T00:00:00"/>
    <x v="0"/>
    <x v="2"/>
    <x v="2"/>
    <x v="6"/>
    <x v="7"/>
    <n v="361"/>
    <x v="8"/>
    <x v="8"/>
    <n v="0.14717451523545708"/>
    <x v="2"/>
    <x v="5"/>
    <n v="2023"/>
    <x v="8"/>
    <n v="216.60000000000002"/>
    <x v="1"/>
    <n v="615.74"/>
    <x v="2"/>
    <x v="0"/>
    <x v="2"/>
  </r>
  <r>
    <s v="ORD1009"/>
    <d v="2023-10-07T00:00:00"/>
    <x v="1"/>
    <x v="4"/>
    <x v="3"/>
    <x v="7"/>
    <x v="0"/>
    <n v="537"/>
    <x v="9"/>
    <x v="9"/>
    <n v="0.17174813780260709"/>
    <x v="2"/>
    <x v="1"/>
    <n v="2023"/>
    <x v="9"/>
    <n v="1288.8000000000002"/>
    <x v="0"/>
    <n v="3558.1699999999996"/>
    <x v="0"/>
    <x v="0"/>
    <x v="2"/>
  </r>
  <r>
    <s v="ORD1010"/>
    <d v="2023-12-11T00:00:00"/>
    <x v="0"/>
    <x v="4"/>
    <x v="2"/>
    <x v="3"/>
    <x v="3"/>
    <n v="2262"/>
    <x v="10"/>
    <x v="10"/>
    <n v="0.10809558895765793"/>
    <x v="0"/>
    <x v="7"/>
    <n v="2023"/>
    <x v="10"/>
    <n v="6107.4000000000015"/>
    <x v="0"/>
    <n v="18157.39"/>
    <x v="0"/>
    <x v="0"/>
    <x v="0"/>
  </r>
  <r>
    <s v="ORD1011"/>
    <d v="2023-03-22T00:00:00"/>
    <x v="3"/>
    <x v="0"/>
    <x v="2"/>
    <x v="8"/>
    <x v="0"/>
    <n v="1695"/>
    <x v="11"/>
    <x v="11"/>
    <n v="8.2393805309734516E-2"/>
    <x v="1"/>
    <x v="4"/>
    <n v="2023"/>
    <x v="11"/>
    <n v="4068"/>
    <x v="0"/>
    <n v="12442.74"/>
    <x v="0"/>
    <x v="0"/>
    <x v="1"/>
  </r>
  <r>
    <s v="ORD1012"/>
    <d v="2023-02-10T00:00:00"/>
    <x v="3"/>
    <x v="4"/>
    <x v="0"/>
    <x v="9"/>
    <x v="1"/>
    <n v="3761"/>
    <x v="12"/>
    <x v="12"/>
    <n v="0.14093911193831429"/>
    <x v="1"/>
    <x v="8"/>
    <n v="2023"/>
    <x v="12"/>
    <n v="5641.5"/>
    <x v="1"/>
    <n v="16154.64"/>
    <x v="1"/>
    <x v="0"/>
    <x v="1"/>
  </r>
  <r>
    <s v="ORD1013"/>
    <d v="2023-03-03T00:00:00"/>
    <x v="3"/>
    <x v="1"/>
    <x v="2"/>
    <x v="3"/>
    <x v="7"/>
    <n v="3304"/>
    <x v="13"/>
    <x v="13"/>
    <n v="9.080508474576271E-2"/>
    <x v="2"/>
    <x v="4"/>
    <n v="2023"/>
    <x v="13"/>
    <n v="1982.4000000000005"/>
    <x v="1"/>
    <n v="6007.96"/>
    <x v="2"/>
    <x v="0"/>
    <x v="2"/>
  </r>
  <r>
    <s v="ORD1014"/>
    <d v="2023-08-15T00:00:00"/>
    <x v="2"/>
    <x v="0"/>
    <x v="0"/>
    <x v="0"/>
    <x v="0"/>
    <n v="2973"/>
    <x v="14"/>
    <x v="14"/>
    <n v="0.23082618567103935"/>
    <x v="0"/>
    <x v="9"/>
    <n v="2023"/>
    <x v="14"/>
    <n v="7135.2000000000007"/>
    <x v="0"/>
    <n v="18294.03"/>
    <x v="0"/>
    <x v="1"/>
    <x v="0"/>
  </r>
  <r>
    <s v="ORD1015"/>
    <d v="2023-07-26T00:00:00"/>
    <x v="0"/>
    <x v="3"/>
    <x v="3"/>
    <x v="10"/>
    <x v="5"/>
    <n v="4693"/>
    <x v="15"/>
    <x v="15"/>
    <n v="0.16394538979026516"/>
    <x v="0"/>
    <x v="10"/>
    <n v="2023"/>
    <x v="15"/>
    <n v="9855.2999999999993"/>
    <x v="0"/>
    <n v="27465.23"/>
    <x v="0"/>
    <x v="0"/>
    <x v="0"/>
  </r>
  <r>
    <s v="ORD1016"/>
    <d v="2023-02-21T00:00:00"/>
    <x v="2"/>
    <x v="2"/>
    <x v="1"/>
    <x v="1"/>
    <x v="4"/>
    <n v="1063"/>
    <x v="16"/>
    <x v="16"/>
    <n v="0.18819065537786139"/>
    <x v="2"/>
    <x v="8"/>
    <n v="2023"/>
    <x v="16"/>
    <n v="956.70000000000027"/>
    <x v="1"/>
    <n v="2588.86"/>
    <x v="2"/>
    <x v="1"/>
    <x v="2"/>
  </r>
  <r>
    <s v="ORD1017"/>
    <d v="2023-02-05T00:00:00"/>
    <x v="2"/>
    <x v="5"/>
    <x v="1"/>
    <x v="5"/>
    <x v="5"/>
    <n v="1878"/>
    <x v="17"/>
    <x v="17"/>
    <n v="0.20844363304427202"/>
    <x v="1"/>
    <x v="8"/>
    <n v="2023"/>
    <x v="17"/>
    <n v="3943.8000000000011"/>
    <x v="0"/>
    <n v="10405.799999999999"/>
    <x v="0"/>
    <x v="1"/>
    <x v="1"/>
  </r>
  <r>
    <s v="ORD1018"/>
    <d v="2023-05-14T00:00:00"/>
    <x v="3"/>
    <x v="2"/>
    <x v="0"/>
    <x v="11"/>
    <x v="7"/>
    <n v="2929"/>
    <x v="18"/>
    <x v="18"/>
    <n v="0.21737965175827928"/>
    <x v="2"/>
    <x v="0"/>
    <n v="2023"/>
    <x v="18"/>
    <n v="1757.4000000000005"/>
    <x v="1"/>
    <n v="4584.5899999999992"/>
    <x v="2"/>
    <x v="0"/>
    <x v="2"/>
  </r>
  <r>
    <s v="ORD1019"/>
    <d v="2023-12-14T00:00:00"/>
    <x v="2"/>
    <x v="4"/>
    <x v="2"/>
    <x v="3"/>
    <x v="6"/>
    <n v="2181"/>
    <x v="19"/>
    <x v="19"/>
    <n v="0.17168844566712516"/>
    <x v="2"/>
    <x v="7"/>
    <n v="2023"/>
    <x v="19"/>
    <n v="2617.2000000000007"/>
    <x v="1"/>
    <n v="7226.1900000000005"/>
    <x v="1"/>
    <x v="1"/>
    <x v="2"/>
  </r>
  <r>
    <s v="ORD1020"/>
    <d v="2023-09-16T00:00:00"/>
    <x v="0"/>
    <x v="0"/>
    <x v="3"/>
    <x v="12"/>
    <x v="3"/>
    <n v="2875"/>
    <x v="20"/>
    <x v="20"/>
    <n v="0.13993661835748794"/>
    <x v="0"/>
    <x v="5"/>
    <n v="2023"/>
    <x v="20"/>
    <n v="7762.5000000000036"/>
    <x v="0"/>
    <n v="22254.14"/>
    <x v="0"/>
    <x v="0"/>
    <x v="0"/>
  </r>
  <r>
    <s v="ORD1021"/>
    <d v="2023-11-11T00:00:00"/>
    <x v="1"/>
    <x v="4"/>
    <x v="3"/>
    <x v="7"/>
    <x v="1"/>
    <n v="4979"/>
    <x v="21"/>
    <x v="21"/>
    <n v="0.12150150632657161"/>
    <x v="0"/>
    <x v="3"/>
    <n v="2023"/>
    <x v="21"/>
    <n v="7468.5"/>
    <x v="1"/>
    <n v="21870.219999999998"/>
    <x v="1"/>
    <x v="0"/>
    <x v="0"/>
  </r>
  <r>
    <s v="ORD1022"/>
    <d v="2023-10-22T00:00:00"/>
    <x v="1"/>
    <x v="0"/>
    <x v="2"/>
    <x v="8"/>
    <x v="8"/>
    <n v="4859"/>
    <x v="22"/>
    <x v="22"/>
    <n v="0.12196954105783082"/>
    <x v="2"/>
    <x v="1"/>
    <n v="2023"/>
    <x v="22"/>
    <n v="1457.7000000000003"/>
    <x v="1"/>
    <n v="4266.3499999999995"/>
    <x v="2"/>
    <x v="0"/>
    <x v="2"/>
  </r>
  <r>
    <s v="ORD1023"/>
    <d v="2023-04-23T00:00:00"/>
    <x v="1"/>
    <x v="3"/>
    <x v="3"/>
    <x v="12"/>
    <x v="8"/>
    <n v="3199"/>
    <x v="23"/>
    <x v="23"/>
    <n v="8.6270709596748985E-2"/>
    <x v="2"/>
    <x v="11"/>
    <n v="2023"/>
    <x v="23"/>
    <n v="959.70000000000027"/>
    <x v="1"/>
    <n v="2923.02"/>
    <x v="2"/>
    <x v="0"/>
    <x v="2"/>
  </r>
  <r>
    <s v="ORD1024"/>
    <d v="2023-02-22T00:00:00"/>
    <x v="3"/>
    <x v="3"/>
    <x v="2"/>
    <x v="6"/>
    <x v="5"/>
    <n v="3674"/>
    <x v="24"/>
    <x v="24"/>
    <n v="0.19572011820514815"/>
    <x v="0"/>
    <x v="8"/>
    <n v="2023"/>
    <x v="24"/>
    <n v="7715.4000000000015"/>
    <x v="0"/>
    <n v="20684.47"/>
    <x v="0"/>
    <x v="0"/>
    <x v="0"/>
  </r>
  <r>
    <s v="ORD1025"/>
    <d v="2023-05-03T00:00:00"/>
    <x v="2"/>
    <x v="1"/>
    <x v="2"/>
    <x v="6"/>
    <x v="5"/>
    <n v="3710"/>
    <x v="25"/>
    <x v="25"/>
    <n v="0.20947516365036581"/>
    <x v="0"/>
    <x v="0"/>
    <n v="2023"/>
    <x v="25"/>
    <n v="7791"/>
    <x v="0"/>
    <n v="20529.93"/>
    <x v="0"/>
    <x v="1"/>
    <x v="0"/>
  </r>
  <r>
    <s v="ORD1026"/>
    <d v="2023-05-24T00:00:00"/>
    <x v="2"/>
    <x v="4"/>
    <x v="2"/>
    <x v="6"/>
    <x v="2"/>
    <n v="2130"/>
    <x v="26"/>
    <x v="26"/>
    <n v="0.21879342723004694"/>
    <x v="1"/>
    <x v="0"/>
    <n v="2023"/>
    <x v="26"/>
    <n v="3834"/>
    <x v="0"/>
    <n v="9983.82"/>
    <x v="1"/>
    <x v="1"/>
    <x v="1"/>
  </r>
  <r>
    <s v="ORD1027"/>
    <d v="2023-05-28T00:00:00"/>
    <x v="3"/>
    <x v="0"/>
    <x v="2"/>
    <x v="13"/>
    <x v="2"/>
    <n v="2711"/>
    <x v="27"/>
    <x v="27"/>
    <n v="8.6931636542481247E-2"/>
    <x v="1"/>
    <x v="0"/>
    <n v="2023"/>
    <x v="27"/>
    <n v="4879.8000000000011"/>
    <x v="0"/>
    <n v="14851.97"/>
    <x v="1"/>
    <x v="0"/>
    <x v="1"/>
  </r>
  <r>
    <s v="ORD1028"/>
    <d v="2023-07-18T00:00:00"/>
    <x v="3"/>
    <x v="4"/>
    <x v="2"/>
    <x v="13"/>
    <x v="4"/>
    <n v="346"/>
    <x v="28"/>
    <x v="28"/>
    <n v="0.13927745664739885"/>
    <x v="2"/>
    <x v="10"/>
    <n v="2023"/>
    <x v="28"/>
    <n v="311.40000000000009"/>
    <x v="1"/>
    <n v="893.43"/>
    <x v="2"/>
    <x v="0"/>
    <x v="2"/>
  </r>
  <r>
    <s v="ORD1029"/>
    <d v="2023-09-24T00:00:00"/>
    <x v="3"/>
    <x v="4"/>
    <x v="3"/>
    <x v="14"/>
    <x v="5"/>
    <n v="2585"/>
    <x v="29"/>
    <x v="29"/>
    <n v="0.22241061066592982"/>
    <x v="1"/>
    <x v="5"/>
    <n v="2023"/>
    <x v="29"/>
    <n v="5428.5000000000018"/>
    <x v="0"/>
    <n v="14070.48"/>
    <x v="0"/>
    <x v="0"/>
    <x v="1"/>
  </r>
  <r>
    <s v="ORD1030"/>
    <d v="2023-09-20T00:00:00"/>
    <x v="3"/>
    <x v="3"/>
    <x v="3"/>
    <x v="7"/>
    <x v="5"/>
    <n v="4261"/>
    <x v="30"/>
    <x v="30"/>
    <n v="0.19828343447212257"/>
    <x v="0"/>
    <x v="5"/>
    <n v="2023"/>
    <x v="30"/>
    <n v="8948.1000000000022"/>
    <x v="0"/>
    <n v="23912.799999999999"/>
    <x v="0"/>
    <x v="0"/>
    <x v="0"/>
  </r>
  <r>
    <s v="ORD1031"/>
    <d v="2023-10-31T00:00:00"/>
    <x v="1"/>
    <x v="2"/>
    <x v="2"/>
    <x v="8"/>
    <x v="6"/>
    <n v="3843"/>
    <x v="31"/>
    <x v="31"/>
    <n v="0.12434100962789486"/>
    <x v="1"/>
    <x v="1"/>
    <n v="2023"/>
    <x v="31"/>
    <n v="4611.6000000000004"/>
    <x v="1"/>
    <n v="13460.630000000001"/>
    <x v="1"/>
    <x v="0"/>
    <x v="1"/>
  </r>
  <r>
    <s v="ORD1032"/>
    <d v="2023-05-27T00:00:00"/>
    <x v="3"/>
    <x v="0"/>
    <x v="3"/>
    <x v="10"/>
    <x v="5"/>
    <n v="2256"/>
    <x v="32"/>
    <x v="32"/>
    <n v="0.12740818135764945"/>
    <x v="1"/>
    <x v="0"/>
    <n v="2023"/>
    <x v="32"/>
    <n v="4737.6000000000022"/>
    <x v="0"/>
    <n v="13779.970000000001"/>
    <x v="0"/>
    <x v="0"/>
    <x v="1"/>
  </r>
  <r>
    <s v="ORD1033"/>
    <d v="2023-04-26T00:00:00"/>
    <x v="0"/>
    <x v="4"/>
    <x v="2"/>
    <x v="3"/>
    <x v="2"/>
    <n v="3391"/>
    <x v="33"/>
    <x v="33"/>
    <n v="0.23092106556571315"/>
    <x v="0"/>
    <x v="11"/>
    <n v="2023"/>
    <x v="33"/>
    <n v="6103.8000000000011"/>
    <x v="0"/>
    <n v="15647.68"/>
    <x v="1"/>
    <x v="0"/>
    <x v="0"/>
  </r>
  <r>
    <s v="ORD1034"/>
    <d v="2023-08-15T00:00:00"/>
    <x v="3"/>
    <x v="5"/>
    <x v="2"/>
    <x v="3"/>
    <x v="2"/>
    <n v="4399"/>
    <x v="34"/>
    <x v="34"/>
    <n v="0.18309312722588469"/>
    <x v="0"/>
    <x v="9"/>
    <n v="2023"/>
    <x v="34"/>
    <n v="7918.2000000000007"/>
    <x v="0"/>
    <n v="21561.439999999999"/>
    <x v="1"/>
    <x v="0"/>
    <x v="0"/>
  </r>
  <r>
    <s v="ORD1035"/>
    <d v="2023-06-12T00:00:00"/>
    <x v="3"/>
    <x v="1"/>
    <x v="0"/>
    <x v="9"/>
    <x v="7"/>
    <n v="4633"/>
    <x v="35"/>
    <x v="35"/>
    <n v="0.16255450032376431"/>
    <x v="2"/>
    <x v="2"/>
    <n v="2023"/>
    <x v="35"/>
    <n v="2779.8"/>
    <x v="1"/>
    <n v="7759.77"/>
    <x v="2"/>
    <x v="0"/>
    <x v="2"/>
  </r>
  <r>
    <s v="ORD1036"/>
    <d v="2023-05-15T00:00:00"/>
    <x v="0"/>
    <x v="4"/>
    <x v="3"/>
    <x v="14"/>
    <x v="8"/>
    <n v="4693"/>
    <x v="36"/>
    <x v="36"/>
    <n v="0.13531855955678671"/>
    <x v="2"/>
    <x v="0"/>
    <n v="2023"/>
    <x v="15"/>
    <n v="1407.9"/>
    <x v="1"/>
    <n v="4057.95"/>
    <x v="2"/>
    <x v="0"/>
    <x v="2"/>
  </r>
  <r>
    <s v="ORD1037"/>
    <d v="2023-08-26T00:00:00"/>
    <x v="1"/>
    <x v="1"/>
    <x v="2"/>
    <x v="8"/>
    <x v="4"/>
    <n v="4765"/>
    <x v="37"/>
    <x v="37"/>
    <n v="0.12508429520811473"/>
    <x v="1"/>
    <x v="9"/>
    <n v="2023"/>
    <x v="36"/>
    <n v="4288.5"/>
    <x v="1"/>
    <n v="12506.92"/>
    <x v="2"/>
    <x v="0"/>
    <x v="1"/>
  </r>
  <r>
    <s v="ORD1038"/>
    <d v="2023-10-04T00:00:00"/>
    <x v="1"/>
    <x v="4"/>
    <x v="0"/>
    <x v="11"/>
    <x v="0"/>
    <n v="3554"/>
    <x v="38"/>
    <x v="38"/>
    <n v="0.1538470737197524"/>
    <x v="0"/>
    <x v="1"/>
    <n v="2023"/>
    <x v="37"/>
    <n v="8529.6000000000022"/>
    <x v="0"/>
    <n v="24057.82"/>
    <x v="0"/>
    <x v="0"/>
    <x v="0"/>
  </r>
  <r>
    <s v="ORD1039"/>
    <d v="2023-10-31T00:00:00"/>
    <x v="0"/>
    <x v="2"/>
    <x v="2"/>
    <x v="13"/>
    <x v="8"/>
    <n v="4748"/>
    <x v="39"/>
    <x v="39"/>
    <n v="0.11913226621735468"/>
    <x v="2"/>
    <x v="1"/>
    <n v="2023"/>
    <x v="38"/>
    <n v="1424.4"/>
    <x v="1"/>
    <n v="4182.3600000000006"/>
    <x v="2"/>
    <x v="0"/>
    <x v="2"/>
  </r>
  <r>
    <s v="ORD1040"/>
    <d v="2023-06-07T00:00:00"/>
    <x v="2"/>
    <x v="1"/>
    <x v="0"/>
    <x v="0"/>
    <x v="8"/>
    <n v="216"/>
    <x v="40"/>
    <x v="40"/>
    <n v="0.24907407407407406"/>
    <x v="2"/>
    <x v="2"/>
    <n v="2023"/>
    <x v="39"/>
    <n v="64.800000000000011"/>
    <x v="1"/>
    <n v="162.20000000000002"/>
    <x v="2"/>
    <x v="1"/>
    <x v="2"/>
  </r>
  <r>
    <s v="ORD1041"/>
    <d v="2023-10-29T00:00:00"/>
    <x v="2"/>
    <x v="0"/>
    <x v="1"/>
    <x v="15"/>
    <x v="3"/>
    <n v="1260"/>
    <x v="41"/>
    <x v="41"/>
    <n v="0.23781393298059963"/>
    <x v="1"/>
    <x v="1"/>
    <n v="2023"/>
    <x v="40"/>
    <n v="3402"/>
    <x v="0"/>
    <n v="8643.19"/>
    <x v="0"/>
    <x v="1"/>
    <x v="1"/>
  </r>
  <r>
    <s v="ORD1042"/>
    <d v="2023-06-10T00:00:00"/>
    <x v="3"/>
    <x v="0"/>
    <x v="2"/>
    <x v="8"/>
    <x v="6"/>
    <n v="390"/>
    <x v="42"/>
    <x v="42"/>
    <n v="0.13196794871794873"/>
    <x v="2"/>
    <x v="2"/>
    <n v="2023"/>
    <x v="41"/>
    <n v="468"/>
    <x v="1"/>
    <n v="1354.13"/>
    <x v="1"/>
    <x v="0"/>
    <x v="2"/>
  </r>
  <r>
    <s v="ORD1043"/>
    <d v="2023-06-23T00:00:00"/>
    <x v="3"/>
    <x v="3"/>
    <x v="2"/>
    <x v="6"/>
    <x v="3"/>
    <n v="769"/>
    <x v="43"/>
    <x v="43"/>
    <n v="0.23810287530703655"/>
    <x v="2"/>
    <x v="2"/>
    <n v="2023"/>
    <x v="42"/>
    <n v="2076.3000000000002"/>
    <x v="0"/>
    <n v="5273.09"/>
    <x v="0"/>
    <x v="0"/>
    <x v="2"/>
  </r>
  <r>
    <s v="ORD1044"/>
    <d v="2023-06-04T00:00:00"/>
    <x v="1"/>
    <x v="3"/>
    <x v="2"/>
    <x v="13"/>
    <x v="2"/>
    <n v="1886"/>
    <x v="44"/>
    <x v="44"/>
    <n v="0.10381406857546836"/>
    <x v="1"/>
    <x v="2"/>
    <n v="2023"/>
    <x v="43"/>
    <n v="3394.8000000000011"/>
    <x v="0"/>
    <n v="10141.24"/>
    <x v="1"/>
    <x v="0"/>
    <x v="1"/>
  </r>
  <r>
    <s v="ORD1045"/>
    <d v="2023-06-19T00:00:00"/>
    <x v="0"/>
    <x v="3"/>
    <x v="1"/>
    <x v="10"/>
    <x v="0"/>
    <n v="4541"/>
    <x v="45"/>
    <x v="45"/>
    <n v="0.14111346619687293"/>
    <x v="0"/>
    <x v="2"/>
    <n v="2023"/>
    <x v="44"/>
    <n v="10898.400000000001"/>
    <x v="0"/>
    <n v="31201.63"/>
    <x v="0"/>
    <x v="0"/>
    <x v="0"/>
  </r>
  <r>
    <s v="ORD1046"/>
    <d v="2023-11-09T00:00:00"/>
    <x v="3"/>
    <x v="1"/>
    <x v="0"/>
    <x v="11"/>
    <x v="3"/>
    <n v="2655"/>
    <x v="46"/>
    <x v="46"/>
    <n v="0.23525088930738647"/>
    <x v="0"/>
    <x v="3"/>
    <n v="2023"/>
    <x v="45"/>
    <n v="7168.5000000000036"/>
    <x v="0"/>
    <n v="18273.68"/>
    <x v="0"/>
    <x v="0"/>
    <x v="0"/>
  </r>
  <r>
    <s v="ORD1047"/>
    <d v="2023-05-23T00:00:00"/>
    <x v="3"/>
    <x v="3"/>
    <x v="2"/>
    <x v="8"/>
    <x v="0"/>
    <n v="4695"/>
    <x v="47"/>
    <x v="47"/>
    <n v="8.8630724174653883E-2"/>
    <x v="0"/>
    <x v="0"/>
    <n v="2023"/>
    <x v="46"/>
    <n v="11268"/>
    <x v="0"/>
    <n v="34231.03"/>
    <x v="0"/>
    <x v="0"/>
    <x v="0"/>
  </r>
  <r>
    <s v="ORD1048"/>
    <d v="2023-06-02T00:00:00"/>
    <x v="1"/>
    <x v="1"/>
    <x v="1"/>
    <x v="1"/>
    <x v="5"/>
    <n v="2182"/>
    <x v="48"/>
    <x v="48"/>
    <n v="8.6110383658504652E-2"/>
    <x v="1"/>
    <x v="2"/>
    <n v="2023"/>
    <x v="47"/>
    <n v="4582.2000000000007"/>
    <x v="0"/>
    <n v="13958.75"/>
    <x v="0"/>
    <x v="0"/>
    <x v="1"/>
  </r>
  <r>
    <s v="ORD1049"/>
    <d v="2023-09-28T00:00:00"/>
    <x v="1"/>
    <x v="0"/>
    <x v="1"/>
    <x v="2"/>
    <x v="2"/>
    <n v="1915"/>
    <x v="49"/>
    <x v="49"/>
    <n v="8.6602262837249783E-2"/>
    <x v="1"/>
    <x v="5"/>
    <n v="2023"/>
    <x v="48"/>
    <n v="3447"/>
    <x v="0"/>
    <n v="10494.94"/>
    <x v="1"/>
    <x v="0"/>
    <x v="1"/>
  </r>
  <r>
    <s v="ORD1050"/>
    <d v="2023-04-18T00:00:00"/>
    <x v="2"/>
    <x v="2"/>
    <x v="2"/>
    <x v="8"/>
    <x v="8"/>
    <n v="3324"/>
    <x v="50"/>
    <x v="50"/>
    <n v="0.12616125150421179"/>
    <x v="2"/>
    <x v="11"/>
    <n v="2023"/>
    <x v="49"/>
    <n v="997.20000000000027"/>
    <x v="1"/>
    <n v="2904.6400000000003"/>
    <x v="2"/>
    <x v="1"/>
    <x v="2"/>
  </r>
  <r>
    <s v="ORD1051"/>
    <d v="2023-11-04T00:00:00"/>
    <x v="3"/>
    <x v="1"/>
    <x v="1"/>
    <x v="5"/>
    <x v="6"/>
    <n v="4342"/>
    <x v="51"/>
    <x v="51"/>
    <n v="0.19891697374481807"/>
    <x v="1"/>
    <x v="3"/>
    <n v="2023"/>
    <x v="50"/>
    <n v="5210.4000000000015"/>
    <x v="1"/>
    <n v="13913.21"/>
    <x v="1"/>
    <x v="0"/>
    <x v="1"/>
  </r>
  <r>
    <s v="ORD1052"/>
    <d v="2023-10-02T00:00:00"/>
    <x v="3"/>
    <x v="3"/>
    <x v="1"/>
    <x v="1"/>
    <x v="4"/>
    <n v="4952"/>
    <x v="52"/>
    <x v="52"/>
    <n v="0.14779954227248251"/>
    <x v="1"/>
    <x v="1"/>
    <n v="2023"/>
    <x v="51"/>
    <n v="4456.8000000000011"/>
    <x v="1"/>
    <n v="12660.29"/>
    <x v="2"/>
    <x v="0"/>
    <x v="1"/>
  </r>
  <r>
    <s v="ORD1053"/>
    <d v="2023-05-07T00:00:00"/>
    <x v="2"/>
    <x v="2"/>
    <x v="0"/>
    <x v="11"/>
    <x v="1"/>
    <n v="316"/>
    <x v="53"/>
    <x v="53"/>
    <n v="9.3746835443037982E-2"/>
    <x v="2"/>
    <x v="0"/>
    <n v="2023"/>
    <x v="52"/>
    <n v="474"/>
    <x v="1"/>
    <n v="1431.88"/>
    <x v="1"/>
    <x v="1"/>
    <x v="2"/>
  </r>
  <r>
    <s v="ORD1054"/>
    <d v="2023-04-28T00:00:00"/>
    <x v="3"/>
    <x v="4"/>
    <x v="3"/>
    <x v="12"/>
    <x v="8"/>
    <n v="3049"/>
    <x v="54"/>
    <x v="54"/>
    <n v="0.12076418497868152"/>
    <x v="2"/>
    <x v="11"/>
    <n v="2023"/>
    <x v="53"/>
    <n v="914.70000000000027"/>
    <x v="1"/>
    <n v="2680.79"/>
    <x v="2"/>
    <x v="0"/>
    <x v="2"/>
  </r>
  <r>
    <s v="ORD1055"/>
    <d v="2023-07-11T00:00:00"/>
    <x v="0"/>
    <x v="1"/>
    <x v="2"/>
    <x v="8"/>
    <x v="1"/>
    <n v="3543"/>
    <x v="55"/>
    <x v="55"/>
    <n v="0.16783855489697996"/>
    <x v="1"/>
    <x v="10"/>
    <n v="2023"/>
    <x v="54"/>
    <n v="5314.5"/>
    <x v="1"/>
    <n v="14741.74"/>
    <x v="1"/>
    <x v="0"/>
    <x v="1"/>
  </r>
  <r>
    <s v="ORD1056"/>
    <d v="2023-03-27T00:00:00"/>
    <x v="2"/>
    <x v="1"/>
    <x v="1"/>
    <x v="5"/>
    <x v="5"/>
    <n v="3347"/>
    <x v="56"/>
    <x v="56"/>
    <n v="0.17622647146698539"/>
    <x v="0"/>
    <x v="4"/>
    <n v="2023"/>
    <x v="55"/>
    <n v="7028.7000000000044"/>
    <x v="0"/>
    <n v="19300.189999999999"/>
    <x v="0"/>
    <x v="1"/>
    <x v="0"/>
  </r>
  <r>
    <s v="ORD1057"/>
    <d v="2023-08-26T00:00:00"/>
    <x v="1"/>
    <x v="2"/>
    <x v="1"/>
    <x v="1"/>
    <x v="1"/>
    <n v="3318"/>
    <x v="57"/>
    <x v="57"/>
    <n v="8.6924050632911393E-2"/>
    <x v="1"/>
    <x v="9"/>
    <n v="2023"/>
    <x v="56"/>
    <n v="4977"/>
    <x v="1"/>
    <n v="15147.93"/>
    <x v="1"/>
    <x v="0"/>
    <x v="1"/>
  </r>
  <r>
    <s v="ORD1058"/>
    <d v="2023-09-11T00:00:00"/>
    <x v="1"/>
    <x v="1"/>
    <x v="3"/>
    <x v="14"/>
    <x v="1"/>
    <n v="4846"/>
    <x v="58"/>
    <x v="58"/>
    <n v="0.13887164671894348"/>
    <x v="0"/>
    <x v="5"/>
    <n v="2023"/>
    <x v="57"/>
    <n v="7269"/>
    <x v="1"/>
    <n v="20865.14"/>
    <x v="1"/>
    <x v="0"/>
    <x v="0"/>
  </r>
  <r>
    <s v="ORD1059"/>
    <d v="2023-09-07T00:00:00"/>
    <x v="0"/>
    <x v="3"/>
    <x v="0"/>
    <x v="11"/>
    <x v="2"/>
    <n v="3049"/>
    <x v="59"/>
    <x v="59"/>
    <n v="0.12435170001093254"/>
    <x v="1"/>
    <x v="5"/>
    <n v="2023"/>
    <x v="53"/>
    <n v="5488.2000000000007"/>
    <x v="0"/>
    <n v="16019.11"/>
    <x v="1"/>
    <x v="0"/>
    <x v="1"/>
  </r>
  <r>
    <s v="ORD1060"/>
    <d v="2023-01-16T00:00:00"/>
    <x v="3"/>
    <x v="3"/>
    <x v="2"/>
    <x v="8"/>
    <x v="0"/>
    <n v="1548"/>
    <x v="60"/>
    <x v="60"/>
    <n v="0.19627422480620155"/>
    <x v="1"/>
    <x v="6"/>
    <n v="2023"/>
    <x v="58"/>
    <n v="3715.2000000000007"/>
    <x v="0"/>
    <n v="9953.34"/>
    <x v="0"/>
    <x v="0"/>
    <x v="1"/>
  </r>
  <r>
    <s v="ORD1061"/>
    <d v="2023-06-12T00:00:00"/>
    <x v="3"/>
    <x v="4"/>
    <x v="3"/>
    <x v="14"/>
    <x v="6"/>
    <n v="1887"/>
    <x v="61"/>
    <x v="61"/>
    <n v="0.19511923688394275"/>
    <x v="2"/>
    <x v="2"/>
    <n v="2023"/>
    <x v="59"/>
    <n v="2264.4000000000005"/>
    <x v="1"/>
    <n v="6075.2400000000007"/>
    <x v="1"/>
    <x v="0"/>
    <x v="2"/>
  </r>
  <r>
    <s v="ORD1062"/>
    <d v="2023-11-19T00:00:00"/>
    <x v="2"/>
    <x v="4"/>
    <x v="3"/>
    <x v="12"/>
    <x v="4"/>
    <n v="3698"/>
    <x v="62"/>
    <x v="62"/>
    <n v="0.24004867495943752"/>
    <x v="1"/>
    <x v="3"/>
    <n v="2023"/>
    <x v="60"/>
    <n v="3328.2000000000007"/>
    <x v="1"/>
    <n v="8430.9"/>
    <x v="2"/>
    <x v="1"/>
    <x v="1"/>
  </r>
  <r>
    <s v="ORD1063"/>
    <d v="2023-08-03T00:00:00"/>
    <x v="2"/>
    <x v="3"/>
    <x v="2"/>
    <x v="6"/>
    <x v="7"/>
    <n v="2746"/>
    <x v="63"/>
    <x v="63"/>
    <n v="0.18510378732702112"/>
    <x v="2"/>
    <x v="9"/>
    <n v="2023"/>
    <x v="61"/>
    <n v="1647.6000000000004"/>
    <x v="1"/>
    <n v="4475.41"/>
    <x v="2"/>
    <x v="1"/>
    <x v="2"/>
  </r>
  <r>
    <s v="ORD1064"/>
    <d v="2023-07-15T00:00:00"/>
    <x v="1"/>
    <x v="1"/>
    <x v="2"/>
    <x v="8"/>
    <x v="7"/>
    <n v="314"/>
    <x v="64"/>
    <x v="64"/>
    <n v="0.1279140127388535"/>
    <x v="2"/>
    <x v="10"/>
    <n v="2023"/>
    <x v="62"/>
    <n v="188.40000000000003"/>
    <x v="1"/>
    <n v="547.66999999999996"/>
    <x v="2"/>
    <x v="0"/>
    <x v="2"/>
  </r>
  <r>
    <s v="ORD1065"/>
    <d v="2023-09-06T00:00:00"/>
    <x v="3"/>
    <x v="3"/>
    <x v="1"/>
    <x v="5"/>
    <x v="0"/>
    <n v="928"/>
    <x v="65"/>
    <x v="65"/>
    <n v="0.21659213362068966"/>
    <x v="2"/>
    <x v="5"/>
    <n v="2023"/>
    <x v="63"/>
    <n v="2227.2000000000007"/>
    <x v="0"/>
    <n v="5816.02"/>
    <x v="0"/>
    <x v="0"/>
    <x v="2"/>
  </r>
  <r>
    <s v="ORD1066"/>
    <d v="2023-02-05T00:00:00"/>
    <x v="1"/>
    <x v="4"/>
    <x v="3"/>
    <x v="12"/>
    <x v="0"/>
    <n v="2986"/>
    <x v="66"/>
    <x v="66"/>
    <n v="0.24838580040187541"/>
    <x v="0"/>
    <x v="8"/>
    <n v="2023"/>
    <x v="64"/>
    <n v="7166.4000000000015"/>
    <x v="0"/>
    <n v="17954.560000000001"/>
    <x v="0"/>
    <x v="0"/>
    <x v="0"/>
  </r>
  <r>
    <s v="ORD1067"/>
    <d v="2023-07-02T00:00:00"/>
    <x v="2"/>
    <x v="4"/>
    <x v="0"/>
    <x v="0"/>
    <x v="0"/>
    <n v="4332"/>
    <x v="67"/>
    <x v="67"/>
    <n v="0.12056151892890121"/>
    <x v="0"/>
    <x v="10"/>
    <n v="2023"/>
    <x v="65"/>
    <n v="10396.800000000003"/>
    <x v="0"/>
    <n v="30477.82"/>
    <x v="0"/>
    <x v="1"/>
    <x v="0"/>
  </r>
  <r>
    <s v="ORD1068"/>
    <d v="2023-08-05T00:00:00"/>
    <x v="1"/>
    <x v="1"/>
    <x v="0"/>
    <x v="9"/>
    <x v="8"/>
    <n v="4152"/>
    <x v="68"/>
    <x v="68"/>
    <n v="0.16589354527938341"/>
    <x v="2"/>
    <x v="9"/>
    <n v="2023"/>
    <x v="66"/>
    <n v="1245.6000000000004"/>
    <x v="1"/>
    <n v="3463.21"/>
    <x v="2"/>
    <x v="0"/>
    <x v="2"/>
  </r>
  <r>
    <s v="ORD1069"/>
    <d v="2023-03-17T00:00:00"/>
    <x v="2"/>
    <x v="2"/>
    <x v="0"/>
    <x v="16"/>
    <x v="8"/>
    <n v="595"/>
    <x v="69"/>
    <x v="69"/>
    <n v="0.24295798319327733"/>
    <x v="2"/>
    <x v="4"/>
    <n v="2023"/>
    <x v="67"/>
    <n v="178.5"/>
    <x v="1"/>
    <n v="450.44"/>
    <x v="2"/>
    <x v="1"/>
    <x v="2"/>
  </r>
  <r>
    <s v="ORD1070"/>
    <d v="2023-03-10T00:00:00"/>
    <x v="0"/>
    <x v="2"/>
    <x v="1"/>
    <x v="15"/>
    <x v="6"/>
    <n v="3777"/>
    <x v="70"/>
    <x v="70"/>
    <n v="0.18741262907069101"/>
    <x v="1"/>
    <x v="4"/>
    <n v="2023"/>
    <x v="68"/>
    <n v="4532.4000000000015"/>
    <x v="1"/>
    <n v="12276.57"/>
    <x v="1"/>
    <x v="0"/>
    <x v="1"/>
  </r>
  <r>
    <s v="ORD1071"/>
    <d v="2023-02-26T00:00:00"/>
    <x v="0"/>
    <x v="1"/>
    <x v="3"/>
    <x v="14"/>
    <x v="1"/>
    <n v="3836"/>
    <x v="71"/>
    <x v="71"/>
    <n v="0.21456830031282587"/>
    <x v="1"/>
    <x v="8"/>
    <n v="2023"/>
    <x v="69"/>
    <n v="5754"/>
    <x v="1"/>
    <n v="15064.580000000002"/>
    <x v="1"/>
    <x v="0"/>
    <x v="1"/>
  </r>
  <r>
    <s v="ORD1072"/>
    <d v="2023-06-12T00:00:00"/>
    <x v="0"/>
    <x v="1"/>
    <x v="3"/>
    <x v="7"/>
    <x v="5"/>
    <n v="3494"/>
    <x v="72"/>
    <x v="72"/>
    <n v="8.9497914792705871E-2"/>
    <x v="0"/>
    <x v="2"/>
    <n v="2023"/>
    <x v="70"/>
    <n v="7337.4000000000015"/>
    <x v="0"/>
    <n v="22269.06"/>
    <x v="0"/>
    <x v="0"/>
    <x v="0"/>
  </r>
  <r>
    <s v="ORD1073"/>
    <d v="2023-09-10T00:00:00"/>
    <x v="1"/>
    <x v="1"/>
    <x v="0"/>
    <x v="16"/>
    <x v="7"/>
    <n v="1153"/>
    <x v="73"/>
    <x v="73"/>
    <n v="0.18509540329575022"/>
    <x v="2"/>
    <x v="5"/>
    <n v="2023"/>
    <x v="71"/>
    <n v="691.80000000000018"/>
    <x v="1"/>
    <n v="1879.1699999999998"/>
    <x v="2"/>
    <x v="0"/>
    <x v="2"/>
  </r>
  <r>
    <s v="ORD1074"/>
    <d v="2023-07-13T00:00:00"/>
    <x v="2"/>
    <x v="1"/>
    <x v="2"/>
    <x v="6"/>
    <x v="3"/>
    <n v="3193"/>
    <x v="74"/>
    <x v="74"/>
    <n v="0.23162264676201413"/>
    <x v="0"/>
    <x v="10"/>
    <n v="2023"/>
    <x v="72"/>
    <n v="8621.1000000000022"/>
    <x v="0"/>
    <n v="22080.86"/>
    <x v="0"/>
    <x v="1"/>
    <x v="0"/>
  </r>
  <r>
    <s v="ORD1075"/>
    <d v="2023-11-17T00:00:00"/>
    <x v="1"/>
    <x v="2"/>
    <x v="3"/>
    <x v="7"/>
    <x v="4"/>
    <n v="3919"/>
    <x v="75"/>
    <x v="75"/>
    <n v="0.14362592498086246"/>
    <x v="1"/>
    <x v="3"/>
    <n v="2023"/>
    <x v="73"/>
    <n v="3527.1000000000004"/>
    <x v="1"/>
    <n v="10068.39"/>
    <x v="2"/>
    <x v="0"/>
    <x v="1"/>
  </r>
  <r>
    <s v="ORD1076"/>
    <d v="2023-10-19T00:00:00"/>
    <x v="1"/>
    <x v="2"/>
    <x v="3"/>
    <x v="4"/>
    <x v="5"/>
    <n v="4512"/>
    <x v="76"/>
    <x v="76"/>
    <n v="0.18062120060790274"/>
    <x v="0"/>
    <x v="1"/>
    <n v="2023"/>
    <x v="74"/>
    <n v="9475.2000000000044"/>
    <x v="0"/>
    <n v="25879.26"/>
    <x v="0"/>
    <x v="0"/>
    <x v="0"/>
  </r>
  <r>
    <s v="ORD1077"/>
    <d v="2023-12-12T00:00:00"/>
    <x v="0"/>
    <x v="0"/>
    <x v="0"/>
    <x v="10"/>
    <x v="2"/>
    <n v="2414"/>
    <x v="77"/>
    <x v="77"/>
    <n v="0.15211750897542115"/>
    <x v="1"/>
    <x v="7"/>
    <n v="2023"/>
    <x v="75"/>
    <n v="4345.2000000000007"/>
    <x v="0"/>
    <n v="12280.73"/>
    <x v="1"/>
    <x v="0"/>
    <x v="1"/>
  </r>
  <r>
    <s v="ORD1078"/>
    <d v="2023-05-28T00:00:00"/>
    <x v="3"/>
    <x v="1"/>
    <x v="3"/>
    <x v="12"/>
    <x v="7"/>
    <n v="1443"/>
    <x v="78"/>
    <x v="78"/>
    <n v="0.17715176715176714"/>
    <x v="2"/>
    <x v="0"/>
    <n v="2023"/>
    <x v="76"/>
    <n v="865.80000000000018"/>
    <x v="1"/>
    <n v="2374.7399999999998"/>
    <x v="2"/>
    <x v="0"/>
    <x v="2"/>
  </r>
  <r>
    <s v="ORD1079"/>
    <d v="2023-12-14T00:00:00"/>
    <x v="1"/>
    <x v="4"/>
    <x v="0"/>
    <x v="9"/>
    <x v="5"/>
    <n v="3272"/>
    <x v="79"/>
    <x v="79"/>
    <n v="0.19577672022354173"/>
    <x v="0"/>
    <x v="7"/>
    <n v="2023"/>
    <x v="77"/>
    <n v="6871.2000000000025"/>
    <x v="0"/>
    <n v="18419.93"/>
    <x v="0"/>
    <x v="0"/>
    <x v="0"/>
  </r>
  <r>
    <s v="ORD1080"/>
    <d v="2023-04-27T00:00:00"/>
    <x v="1"/>
    <x v="3"/>
    <x v="0"/>
    <x v="0"/>
    <x v="8"/>
    <n v="1023"/>
    <x v="80"/>
    <x v="80"/>
    <n v="0.16982404692082109"/>
    <x v="2"/>
    <x v="11"/>
    <n v="2023"/>
    <x v="78"/>
    <n v="306.90000000000009"/>
    <x v="1"/>
    <n v="849.27"/>
    <x v="2"/>
    <x v="0"/>
    <x v="2"/>
  </r>
  <r>
    <s v="ORD1081"/>
    <d v="2023-07-22T00:00:00"/>
    <x v="3"/>
    <x v="1"/>
    <x v="2"/>
    <x v="8"/>
    <x v="1"/>
    <n v="4375"/>
    <x v="81"/>
    <x v="81"/>
    <n v="0.16970925714285715"/>
    <x v="0"/>
    <x v="10"/>
    <n v="2023"/>
    <x v="79"/>
    <n v="6562.5"/>
    <x v="1"/>
    <n v="18162.61"/>
    <x v="1"/>
    <x v="0"/>
    <x v="0"/>
  </r>
  <r>
    <s v="ORD1082"/>
    <d v="2023-08-21T00:00:00"/>
    <x v="2"/>
    <x v="4"/>
    <x v="2"/>
    <x v="13"/>
    <x v="4"/>
    <n v="3712"/>
    <x v="82"/>
    <x v="82"/>
    <n v="0.16892690373563218"/>
    <x v="1"/>
    <x v="9"/>
    <n v="2023"/>
    <x v="80"/>
    <n v="3340.8000000000011"/>
    <x v="1"/>
    <n v="9254.83"/>
    <x v="2"/>
    <x v="1"/>
    <x v="1"/>
  </r>
  <r>
    <s v="ORD1083"/>
    <d v="2023-01-12T00:00:00"/>
    <x v="1"/>
    <x v="2"/>
    <x v="3"/>
    <x v="7"/>
    <x v="2"/>
    <n v="3530"/>
    <x v="83"/>
    <x v="83"/>
    <n v="0.23319688385269119"/>
    <x v="0"/>
    <x v="6"/>
    <n v="2023"/>
    <x v="81"/>
    <n v="6354"/>
    <x v="0"/>
    <n v="16240.89"/>
    <x v="1"/>
    <x v="0"/>
    <x v="0"/>
  </r>
  <r>
    <s v="ORD1084"/>
    <d v="2023-03-31T00:00:00"/>
    <x v="3"/>
    <x v="3"/>
    <x v="2"/>
    <x v="3"/>
    <x v="1"/>
    <n v="1345"/>
    <x v="84"/>
    <x v="84"/>
    <n v="0.11198066914498142"/>
    <x v="2"/>
    <x v="4"/>
    <n v="2023"/>
    <x v="82"/>
    <n v="2017.5000000000009"/>
    <x v="1"/>
    <n v="5971.93"/>
    <x v="1"/>
    <x v="0"/>
    <x v="2"/>
  </r>
  <r>
    <s v="ORD1085"/>
    <d v="2023-05-25T00:00:00"/>
    <x v="2"/>
    <x v="4"/>
    <x v="2"/>
    <x v="6"/>
    <x v="1"/>
    <n v="4336"/>
    <x v="85"/>
    <x v="85"/>
    <n v="0.12419142066420663"/>
    <x v="0"/>
    <x v="0"/>
    <n v="2023"/>
    <x v="83"/>
    <n v="6504"/>
    <x v="1"/>
    <n v="18987.53"/>
    <x v="1"/>
    <x v="1"/>
    <x v="0"/>
  </r>
  <r>
    <s v="ORD1086"/>
    <d v="2023-09-13T00:00:00"/>
    <x v="2"/>
    <x v="4"/>
    <x v="3"/>
    <x v="14"/>
    <x v="4"/>
    <n v="3524"/>
    <x v="86"/>
    <x v="86"/>
    <n v="0.23989027620128642"/>
    <x v="1"/>
    <x v="5"/>
    <n v="2023"/>
    <x v="84"/>
    <n v="3171.6000000000004"/>
    <x v="1"/>
    <n v="8035.88"/>
    <x v="2"/>
    <x v="1"/>
    <x v="1"/>
  </r>
  <r>
    <s v="ORD1087"/>
    <d v="2023-12-31T00:00:00"/>
    <x v="2"/>
    <x v="4"/>
    <x v="1"/>
    <x v="2"/>
    <x v="0"/>
    <n v="997"/>
    <x v="87"/>
    <x v="87"/>
    <n v="0.22723044132397194"/>
    <x v="2"/>
    <x v="7"/>
    <n v="2023"/>
    <x v="85"/>
    <n v="2392.8000000000002"/>
    <x v="0"/>
    <n v="6163.61"/>
    <x v="0"/>
    <x v="1"/>
    <x v="2"/>
  </r>
  <r>
    <s v="ORD1088"/>
    <d v="2023-09-24T00:00:00"/>
    <x v="2"/>
    <x v="3"/>
    <x v="1"/>
    <x v="5"/>
    <x v="7"/>
    <n v="423"/>
    <x v="88"/>
    <x v="88"/>
    <n v="0.24749408983451537"/>
    <x v="2"/>
    <x v="5"/>
    <n v="2023"/>
    <x v="86"/>
    <n v="253.80000000000007"/>
    <x v="1"/>
    <n v="636.62"/>
    <x v="2"/>
    <x v="1"/>
    <x v="2"/>
  </r>
  <r>
    <s v="ORD1089"/>
    <d v="2023-04-08T00:00:00"/>
    <x v="2"/>
    <x v="0"/>
    <x v="0"/>
    <x v="9"/>
    <x v="2"/>
    <n v="4984"/>
    <x v="89"/>
    <x v="89"/>
    <n v="0.22251571696094166"/>
    <x v="0"/>
    <x v="11"/>
    <n v="2023"/>
    <x v="87"/>
    <n v="8971.2000000000007"/>
    <x v="0"/>
    <n v="23249.890000000003"/>
    <x v="1"/>
    <x v="1"/>
    <x v="0"/>
  </r>
  <r>
    <s v="ORD1090"/>
    <d v="2023-07-16T00:00:00"/>
    <x v="0"/>
    <x v="1"/>
    <x v="0"/>
    <x v="9"/>
    <x v="1"/>
    <n v="4813"/>
    <x v="90"/>
    <x v="90"/>
    <n v="0.19759152295865365"/>
    <x v="0"/>
    <x v="10"/>
    <n v="2023"/>
    <x v="88"/>
    <n v="7219.5"/>
    <x v="1"/>
    <n v="19309.96"/>
    <x v="1"/>
    <x v="0"/>
    <x v="0"/>
  </r>
  <r>
    <s v="ORD1091"/>
    <d v="2023-03-24T00:00:00"/>
    <x v="2"/>
    <x v="1"/>
    <x v="1"/>
    <x v="15"/>
    <x v="1"/>
    <n v="3836"/>
    <x v="71"/>
    <x v="91"/>
    <n v="0.24061001042752866"/>
    <x v="1"/>
    <x v="4"/>
    <n v="2023"/>
    <x v="69"/>
    <n v="5754"/>
    <x v="1"/>
    <n v="14565.100000000002"/>
    <x v="1"/>
    <x v="1"/>
    <x v="1"/>
  </r>
  <r>
    <s v="ORD1092"/>
    <d v="2023-09-17T00:00:00"/>
    <x v="1"/>
    <x v="4"/>
    <x v="1"/>
    <x v="5"/>
    <x v="8"/>
    <n v="4346"/>
    <x v="91"/>
    <x v="92"/>
    <n v="0.12670501610676482"/>
    <x v="2"/>
    <x v="5"/>
    <n v="2023"/>
    <x v="89"/>
    <n v="1303.8000000000002"/>
    <x v="1"/>
    <n v="3795.3399999999997"/>
    <x v="2"/>
    <x v="0"/>
    <x v="2"/>
  </r>
  <r>
    <s v="ORD1093"/>
    <d v="2023-02-08T00:00:00"/>
    <x v="1"/>
    <x v="3"/>
    <x v="3"/>
    <x v="14"/>
    <x v="7"/>
    <n v="3619"/>
    <x v="92"/>
    <x v="93"/>
    <n v="0.12567421939762366"/>
    <x v="2"/>
    <x v="8"/>
    <n v="2023"/>
    <x v="90"/>
    <n v="2171.4000000000005"/>
    <x v="1"/>
    <n v="6328.37"/>
    <x v="2"/>
    <x v="0"/>
    <x v="2"/>
  </r>
  <r>
    <s v="ORD1094"/>
    <d v="2023-09-25T00:00:00"/>
    <x v="2"/>
    <x v="2"/>
    <x v="1"/>
    <x v="2"/>
    <x v="2"/>
    <n v="970"/>
    <x v="93"/>
    <x v="94"/>
    <n v="0.1684278350515464"/>
    <x v="2"/>
    <x v="5"/>
    <n v="2023"/>
    <x v="91"/>
    <n v="1746"/>
    <x v="0"/>
    <n v="4839.75"/>
    <x v="1"/>
    <x v="1"/>
    <x v="2"/>
  </r>
  <r>
    <s v="ORD1095"/>
    <d v="2023-07-26T00:00:00"/>
    <x v="2"/>
    <x v="1"/>
    <x v="3"/>
    <x v="7"/>
    <x v="3"/>
    <n v="4919"/>
    <x v="94"/>
    <x v="95"/>
    <n v="0.1616078245352488"/>
    <x v="0"/>
    <x v="10"/>
    <n v="2023"/>
    <x v="92"/>
    <n v="13281.300000000003"/>
    <x v="0"/>
    <n v="37116.46"/>
    <x v="0"/>
    <x v="1"/>
    <x v="0"/>
  </r>
  <r>
    <s v="ORD1096"/>
    <d v="2023-09-09T00:00:00"/>
    <x v="1"/>
    <x v="3"/>
    <x v="1"/>
    <x v="2"/>
    <x v="4"/>
    <n v="2350"/>
    <x v="95"/>
    <x v="96"/>
    <n v="0.10318297872340426"/>
    <x v="2"/>
    <x v="5"/>
    <n v="2023"/>
    <x v="93"/>
    <n v="2115"/>
    <x v="1"/>
    <n v="6322.56"/>
    <x v="2"/>
    <x v="0"/>
    <x v="2"/>
  </r>
  <r>
    <s v="ORD1097"/>
    <d v="2023-09-06T00:00:00"/>
    <x v="1"/>
    <x v="4"/>
    <x v="1"/>
    <x v="2"/>
    <x v="4"/>
    <n v="4742"/>
    <x v="96"/>
    <x v="97"/>
    <n v="0.20348727681709544"/>
    <x v="1"/>
    <x v="5"/>
    <n v="2023"/>
    <x v="94"/>
    <n v="4267.8000000000011"/>
    <x v="1"/>
    <n v="11331.19"/>
    <x v="2"/>
    <x v="0"/>
    <x v="1"/>
  </r>
  <r>
    <s v="ORD1098"/>
    <d v="2023-05-13T00:00:00"/>
    <x v="2"/>
    <x v="2"/>
    <x v="2"/>
    <x v="13"/>
    <x v="5"/>
    <n v="3377"/>
    <x v="97"/>
    <x v="98"/>
    <n v="0.22660180210668812"/>
    <x v="0"/>
    <x v="0"/>
    <n v="2023"/>
    <x v="95"/>
    <n v="7091.7000000000044"/>
    <x v="0"/>
    <n v="18282.36"/>
    <x v="0"/>
    <x v="1"/>
    <x v="0"/>
  </r>
  <r>
    <s v="ORD1099"/>
    <d v="2023-03-10T00:00:00"/>
    <x v="1"/>
    <x v="1"/>
    <x v="1"/>
    <x v="1"/>
    <x v="8"/>
    <n v="3032"/>
    <x v="98"/>
    <x v="99"/>
    <n v="0.12390171503957784"/>
    <x v="2"/>
    <x v="4"/>
    <n v="2023"/>
    <x v="96"/>
    <n v="909.59999999999991"/>
    <x v="1"/>
    <n v="2656.33"/>
    <x v="2"/>
    <x v="0"/>
    <x v="2"/>
  </r>
  <r>
    <s v="ORD1100"/>
    <d v="2023-12-02T00:00:00"/>
    <x v="0"/>
    <x v="0"/>
    <x v="1"/>
    <x v="5"/>
    <x v="4"/>
    <n v="960"/>
    <x v="99"/>
    <x v="100"/>
    <n v="0.15821875000000002"/>
    <x v="2"/>
    <x v="7"/>
    <n v="2023"/>
    <x v="97"/>
    <n v="864"/>
    <x v="1"/>
    <n v="2424.33"/>
    <x v="2"/>
    <x v="0"/>
    <x v="2"/>
  </r>
  <r>
    <s v="ORD1101"/>
    <d v="2023-07-03T00:00:00"/>
    <x v="2"/>
    <x v="0"/>
    <x v="1"/>
    <x v="1"/>
    <x v="0"/>
    <n v="1099"/>
    <x v="100"/>
    <x v="101"/>
    <n v="0.11092015468607826"/>
    <x v="2"/>
    <x v="10"/>
    <n v="2023"/>
    <x v="98"/>
    <n v="2637.6000000000004"/>
    <x v="0"/>
    <n v="7816.79"/>
    <x v="0"/>
    <x v="1"/>
    <x v="2"/>
  </r>
  <r>
    <s v="ORD1102"/>
    <d v="2023-10-04T00:00:00"/>
    <x v="2"/>
    <x v="3"/>
    <x v="2"/>
    <x v="13"/>
    <x v="7"/>
    <n v="4356"/>
    <x v="101"/>
    <x v="102"/>
    <n v="0.11268939393939394"/>
    <x v="2"/>
    <x v="1"/>
    <n v="2023"/>
    <x v="99"/>
    <n v="2613.6000000000004"/>
    <x v="1"/>
    <n v="7730.25"/>
    <x v="2"/>
    <x v="1"/>
    <x v="2"/>
  </r>
  <r>
    <s v="ORD1103"/>
    <d v="2023-02-03T00:00:00"/>
    <x v="2"/>
    <x v="3"/>
    <x v="2"/>
    <x v="6"/>
    <x v="2"/>
    <n v="723"/>
    <x v="102"/>
    <x v="103"/>
    <n v="0.11507607192254495"/>
    <x v="2"/>
    <x v="8"/>
    <n v="2023"/>
    <x v="100"/>
    <n v="1301.4000000000001"/>
    <x v="0"/>
    <n v="3838.7999999999997"/>
    <x v="1"/>
    <x v="1"/>
    <x v="2"/>
  </r>
  <r>
    <s v="ORD1104"/>
    <d v="2023-08-02T00:00:00"/>
    <x v="0"/>
    <x v="0"/>
    <x v="3"/>
    <x v="4"/>
    <x v="3"/>
    <n v="2496"/>
    <x v="103"/>
    <x v="104"/>
    <n v="0.16179487179487179"/>
    <x v="0"/>
    <x v="9"/>
    <n v="2023"/>
    <x v="101"/>
    <n v="6739.2000000000007"/>
    <x v="0"/>
    <n v="18829.439999999999"/>
    <x v="0"/>
    <x v="0"/>
    <x v="0"/>
  </r>
  <r>
    <s v="ORD1105"/>
    <d v="2023-09-10T00:00:00"/>
    <x v="3"/>
    <x v="3"/>
    <x v="0"/>
    <x v="0"/>
    <x v="8"/>
    <n v="2255"/>
    <x v="104"/>
    <x v="105"/>
    <n v="0.20720620842572063"/>
    <x v="2"/>
    <x v="5"/>
    <n v="2023"/>
    <x v="102"/>
    <n v="676.5"/>
    <x v="1"/>
    <n v="1787.7499999999998"/>
    <x v="2"/>
    <x v="0"/>
    <x v="2"/>
  </r>
  <r>
    <s v="ORD1106"/>
    <d v="2023-07-06T00:00:00"/>
    <x v="3"/>
    <x v="0"/>
    <x v="2"/>
    <x v="13"/>
    <x v="0"/>
    <n v="564"/>
    <x v="105"/>
    <x v="106"/>
    <n v="9.0598404255319148E-2"/>
    <x v="2"/>
    <x v="10"/>
    <n v="2023"/>
    <x v="103"/>
    <n v="1353.6000000000004"/>
    <x v="0"/>
    <n v="4103.22"/>
    <x v="0"/>
    <x v="0"/>
    <x v="2"/>
  </r>
  <r>
    <s v="ORD1107"/>
    <d v="2023-10-01T00:00:00"/>
    <x v="1"/>
    <x v="0"/>
    <x v="0"/>
    <x v="16"/>
    <x v="5"/>
    <n v="2997"/>
    <x v="106"/>
    <x v="107"/>
    <n v="0.20743457743457747"/>
    <x v="0"/>
    <x v="1"/>
    <n v="2023"/>
    <x v="104"/>
    <n v="6293.6999999999989"/>
    <x v="0"/>
    <n v="16627.23"/>
    <x v="0"/>
    <x v="0"/>
    <x v="0"/>
  </r>
  <r>
    <s v="ORD1108"/>
    <d v="2023-02-08T00:00:00"/>
    <x v="2"/>
    <x v="4"/>
    <x v="0"/>
    <x v="16"/>
    <x v="3"/>
    <n v="4780"/>
    <x v="107"/>
    <x v="108"/>
    <n v="0.1109881450488145"/>
    <x v="0"/>
    <x v="8"/>
    <n v="2023"/>
    <x v="105"/>
    <n v="12906"/>
    <x v="0"/>
    <n v="38245.29"/>
    <x v="0"/>
    <x v="1"/>
    <x v="0"/>
  </r>
  <r>
    <s v="ORD1109"/>
    <d v="2023-03-09T00:00:00"/>
    <x v="1"/>
    <x v="0"/>
    <x v="0"/>
    <x v="11"/>
    <x v="3"/>
    <n v="3796"/>
    <x v="108"/>
    <x v="109"/>
    <n v="0.180910607657183"/>
    <x v="0"/>
    <x v="4"/>
    <n v="2023"/>
    <x v="106"/>
    <n v="10249.200000000001"/>
    <x v="0"/>
    <n v="27983.37"/>
    <x v="0"/>
    <x v="0"/>
    <x v="0"/>
  </r>
  <r>
    <s v="ORD1110"/>
    <d v="2023-02-03T00:00:00"/>
    <x v="0"/>
    <x v="4"/>
    <x v="3"/>
    <x v="12"/>
    <x v="7"/>
    <n v="2358"/>
    <x v="109"/>
    <x v="110"/>
    <n v="0.17931297709923663"/>
    <x v="2"/>
    <x v="8"/>
    <n v="2023"/>
    <x v="107"/>
    <n v="1414.8000000000002"/>
    <x v="1"/>
    <n v="3870.36"/>
    <x v="2"/>
    <x v="0"/>
    <x v="2"/>
  </r>
  <r>
    <s v="ORD1111"/>
    <d v="2023-10-09T00:00:00"/>
    <x v="3"/>
    <x v="3"/>
    <x v="2"/>
    <x v="13"/>
    <x v="3"/>
    <n v="2860"/>
    <x v="110"/>
    <x v="111"/>
    <n v="0.14172416472416471"/>
    <x v="0"/>
    <x v="1"/>
    <n v="2023"/>
    <x v="108"/>
    <n v="7722.0000000000036"/>
    <x v="0"/>
    <n v="22092.02"/>
    <x v="0"/>
    <x v="0"/>
    <x v="0"/>
  </r>
  <r>
    <s v="ORD1112"/>
    <d v="2023-05-30T00:00:00"/>
    <x v="2"/>
    <x v="2"/>
    <x v="0"/>
    <x v="0"/>
    <x v="2"/>
    <n v="4012"/>
    <x v="111"/>
    <x v="112"/>
    <n v="0.23872756729810568"/>
    <x v="0"/>
    <x v="0"/>
    <n v="2023"/>
    <x v="109"/>
    <n v="7221.6000000000022"/>
    <x v="0"/>
    <n v="18325.349999999999"/>
    <x v="1"/>
    <x v="1"/>
    <x v="0"/>
  </r>
  <r>
    <s v="ORD1113"/>
    <d v="2023-08-31T00:00:00"/>
    <x v="0"/>
    <x v="1"/>
    <x v="1"/>
    <x v="15"/>
    <x v="0"/>
    <n v="3070"/>
    <x v="112"/>
    <x v="113"/>
    <n v="0.2231934039087948"/>
    <x v="0"/>
    <x v="9"/>
    <n v="2023"/>
    <x v="110"/>
    <n v="7368"/>
    <x v="0"/>
    <n v="19078.37"/>
    <x v="0"/>
    <x v="0"/>
    <x v="0"/>
  </r>
  <r>
    <s v="ORD1114"/>
    <d v="2023-01-04T00:00:00"/>
    <x v="0"/>
    <x v="4"/>
    <x v="2"/>
    <x v="3"/>
    <x v="2"/>
    <n v="667"/>
    <x v="113"/>
    <x v="114"/>
    <n v="0.24481009495252373"/>
    <x v="2"/>
    <x v="6"/>
    <n v="2023"/>
    <x v="111"/>
    <n v="1200.6000000000004"/>
    <x v="0"/>
    <n v="3022.27"/>
    <x v="1"/>
    <x v="0"/>
    <x v="2"/>
  </r>
  <r>
    <s v="ORD1115"/>
    <d v="2023-01-26T00:00:00"/>
    <x v="0"/>
    <x v="1"/>
    <x v="1"/>
    <x v="1"/>
    <x v="2"/>
    <n v="4489"/>
    <x v="114"/>
    <x v="115"/>
    <n v="0.17464951362590037"/>
    <x v="0"/>
    <x v="6"/>
    <n v="2023"/>
    <x v="112"/>
    <n v="8080.2000000000007"/>
    <x v="0"/>
    <n v="22229.99"/>
    <x v="1"/>
    <x v="0"/>
    <x v="0"/>
  </r>
  <r>
    <s v="ORD1116"/>
    <d v="2023-07-31T00:00:00"/>
    <x v="2"/>
    <x v="2"/>
    <x v="2"/>
    <x v="8"/>
    <x v="2"/>
    <n v="1341"/>
    <x v="115"/>
    <x v="116"/>
    <n v="0.20086254039274173"/>
    <x v="2"/>
    <x v="10"/>
    <n v="2023"/>
    <x v="113"/>
    <n v="2413.8000000000002"/>
    <x v="0"/>
    <n v="6429.86"/>
    <x v="1"/>
    <x v="1"/>
    <x v="2"/>
  </r>
  <r>
    <s v="ORD1117"/>
    <d v="2023-10-20T00:00:00"/>
    <x v="1"/>
    <x v="0"/>
    <x v="3"/>
    <x v="14"/>
    <x v="8"/>
    <n v="4949"/>
    <x v="116"/>
    <x v="117"/>
    <n v="0.12906647807637905"/>
    <x v="2"/>
    <x v="1"/>
    <n v="2023"/>
    <x v="114"/>
    <n v="1484.7000000000003"/>
    <x v="1"/>
    <n v="4310.25"/>
    <x v="2"/>
    <x v="0"/>
    <x v="2"/>
  </r>
  <r>
    <s v="ORD1118"/>
    <d v="2023-01-10T00:00:00"/>
    <x v="2"/>
    <x v="3"/>
    <x v="0"/>
    <x v="0"/>
    <x v="4"/>
    <n v="3944"/>
    <x v="117"/>
    <x v="118"/>
    <n v="0.14276876267748478"/>
    <x v="1"/>
    <x v="6"/>
    <n v="2023"/>
    <x v="115"/>
    <n v="3549.6000000000004"/>
    <x v="1"/>
    <n v="10142.76"/>
    <x v="2"/>
    <x v="1"/>
    <x v="1"/>
  </r>
  <r>
    <s v="ORD1119"/>
    <d v="2023-11-15T00:00:00"/>
    <x v="2"/>
    <x v="4"/>
    <x v="2"/>
    <x v="6"/>
    <x v="0"/>
    <n v="3913"/>
    <x v="118"/>
    <x v="119"/>
    <n v="9.4937707641196009E-2"/>
    <x v="0"/>
    <x v="3"/>
    <n v="2023"/>
    <x v="116"/>
    <n v="9391.2000000000007"/>
    <x v="0"/>
    <n v="28332.07"/>
    <x v="0"/>
    <x v="1"/>
    <x v="0"/>
  </r>
  <r>
    <s v="ORD1120"/>
    <d v="2023-04-05T00:00:00"/>
    <x v="2"/>
    <x v="1"/>
    <x v="3"/>
    <x v="12"/>
    <x v="0"/>
    <n v="2238"/>
    <x v="119"/>
    <x v="120"/>
    <n v="0.2150290437890974"/>
    <x v="1"/>
    <x v="11"/>
    <n v="2023"/>
    <x v="117"/>
    <n v="5371.2000000000007"/>
    <x v="0"/>
    <n v="14054.12"/>
    <x v="0"/>
    <x v="1"/>
    <x v="1"/>
  </r>
  <r>
    <s v="ORD1121"/>
    <d v="2023-05-17T00:00:00"/>
    <x v="1"/>
    <x v="2"/>
    <x v="1"/>
    <x v="1"/>
    <x v="7"/>
    <n v="4629"/>
    <x v="120"/>
    <x v="121"/>
    <n v="0.23859904947072799"/>
    <x v="2"/>
    <x v="0"/>
    <n v="2023"/>
    <x v="118"/>
    <n v="2777.4000000000005"/>
    <x v="1"/>
    <n v="7049.05"/>
    <x v="2"/>
    <x v="0"/>
    <x v="2"/>
  </r>
  <r>
    <s v="ORD1122"/>
    <d v="2023-11-16T00:00:00"/>
    <x v="2"/>
    <x v="0"/>
    <x v="0"/>
    <x v="16"/>
    <x v="8"/>
    <n v="3591"/>
    <x v="121"/>
    <x v="122"/>
    <n v="0.1776608187134503"/>
    <x v="2"/>
    <x v="3"/>
    <n v="2023"/>
    <x v="119"/>
    <n v="1077.3000000000002"/>
    <x v="1"/>
    <n v="2953.02"/>
    <x v="2"/>
    <x v="1"/>
    <x v="2"/>
  </r>
  <r>
    <s v="ORD1123"/>
    <d v="2023-03-03T00:00:00"/>
    <x v="3"/>
    <x v="4"/>
    <x v="3"/>
    <x v="12"/>
    <x v="4"/>
    <n v="3098"/>
    <x v="122"/>
    <x v="123"/>
    <n v="0.19308370992037874"/>
    <x v="2"/>
    <x v="4"/>
    <n v="2023"/>
    <x v="120"/>
    <n v="2788.2000000000007"/>
    <x v="1"/>
    <n v="7499.4800000000005"/>
    <x v="2"/>
    <x v="0"/>
    <x v="2"/>
  </r>
  <r>
    <s v="ORD1124"/>
    <d v="2023-10-22T00:00:00"/>
    <x v="3"/>
    <x v="0"/>
    <x v="3"/>
    <x v="7"/>
    <x v="3"/>
    <n v="2649"/>
    <x v="123"/>
    <x v="124"/>
    <n v="0.2188217776099996"/>
    <x v="0"/>
    <x v="1"/>
    <n v="2023"/>
    <x v="121"/>
    <n v="7152.2999999999993"/>
    <x v="0"/>
    <n v="18624.07"/>
    <x v="0"/>
    <x v="0"/>
    <x v="0"/>
  </r>
  <r>
    <s v="ORD1125"/>
    <d v="2023-06-02T00:00:00"/>
    <x v="2"/>
    <x v="4"/>
    <x v="3"/>
    <x v="7"/>
    <x v="8"/>
    <n v="4870"/>
    <x v="124"/>
    <x v="125"/>
    <n v="0.16546201232032853"/>
    <x v="2"/>
    <x v="2"/>
    <n v="2023"/>
    <x v="122"/>
    <n v="1461"/>
    <x v="1"/>
    <n v="4064.2"/>
    <x v="2"/>
    <x v="1"/>
    <x v="2"/>
  </r>
  <r>
    <s v="ORD1126"/>
    <d v="2023-04-14T00:00:00"/>
    <x v="0"/>
    <x v="0"/>
    <x v="0"/>
    <x v="16"/>
    <x v="7"/>
    <n v="2197"/>
    <x v="125"/>
    <x v="126"/>
    <n v="9.1324533454710963E-2"/>
    <x v="2"/>
    <x v="11"/>
    <n v="2023"/>
    <x v="123"/>
    <n v="1318.2000000000003"/>
    <x v="1"/>
    <n v="3992.7200000000003"/>
    <x v="2"/>
    <x v="0"/>
    <x v="2"/>
  </r>
  <r>
    <s v="ORD1127"/>
    <d v="2023-01-15T00:00:00"/>
    <x v="0"/>
    <x v="1"/>
    <x v="1"/>
    <x v="2"/>
    <x v="4"/>
    <n v="1402"/>
    <x v="126"/>
    <x v="127"/>
    <n v="0.13693295292439372"/>
    <x v="2"/>
    <x v="6"/>
    <n v="2023"/>
    <x v="124"/>
    <n v="1261.8000000000002"/>
    <x v="1"/>
    <n v="3630.0600000000004"/>
    <x v="2"/>
    <x v="0"/>
    <x v="2"/>
  </r>
  <r>
    <s v="ORD1128"/>
    <d v="2023-02-07T00:00:00"/>
    <x v="2"/>
    <x v="4"/>
    <x v="3"/>
    <x v="14"/>
    <x v="5"/>
    <n v="1122"/>
    <x v="127"/>
    <x v="128"/>
    <n v="0.21406162464985995"/>
    <x v="2"/>
    <x v="8"/>
    <n v="2023"/>
    <x v="125"/>
    <n v="2356.1999999999998"/>
    <x v="0"/>
    <n v="6172.76"/>
    <x v="0"/>
    <x v="1"/>
    <x v="2"/>
  </r>
  <r>
    <s v="ORD1129"/>
    <d v="2023-03-27T00:00:00"/>
    <x v="1"/>
    <x v="3"/>
    <x v="3"/>
    <x v="12"/>
    <x v="5"/>
    <n v="2536"/>
    <x v="128"/>
    <x v="129"/>
    <n v="8.5700766110860749E-2"/>
    <x v="1"/>
    <x v="4"/>
    <n v="2023"/>
    <x v="126"/>
    <n v="5325.6000000000022"/>
    <x v="0"/>
    <n v="16230.64"/>
    <x v="0"/>
    <x v="0"/>
    <x v="1"/>
  </r>
  <r>
    <s v="ORD1130"/>
    <d v="2023-10-30T00:00:00"/>
    <x v="3"/>
    <x v="1"/>
    <x v="3"/>
    <x v="4"/>
    <x v="8"/>
    <n v="3053"/>
    <x v="129"/>
    <x v="130"/>
    <n v="0.17120209629872254"/>
    <x v="2"/>
    <x v="1"/>
    <n v="2023"/>
    <x v="127"/>
    <n v="915.90000000000009"/>
    <x v="1"/>
    <n v="2530.3200000000002"/>
    <x v="2"/>
    <x v="0"/>
    <x v="2"/>
  </r>
  <r>
    <s v="ORD1131"/>
    <d v="2023-06-06T00:00:00"/>
    <x v="0"/>
    <x v="2"/>
    <x v="2"/>
    <x v="3"/>
    <x v="0"/>
    <n v="3428"/>
    <x v="130"/>
    <x v="131"/>
    <n v="0.17177618144690782"/>
    <x v="0"/>
    <x v="2"/>
    <n v="2023"/>
    <x v="128"/>
    <n v="8227.2000000000007"/>
    <x v="0"/>
    <n v="22713.21"/>
    <x v="0"/>
    <x v="0"/>
    <x v="0"/>
  </r>
  <r>
    <s v="ORD1132"/>
    <d v="2023-10-19T00:00:00"/>
    <x v="1"/>
    <x v="0"/>
    <x v="2"/>
    <x v="8"/>
    <x v="7"/>
    <n v="294"/>
    <x v="131"/>
    <x v="132"/>
    <n v="0.18173469387755101"/>
    <x v="2"/>
    <x v="1"/>
    <n v="2023"/>
    <x v="129"/>
    <n v="176.40000000000003"/>
    <x v="1"/>
    <n v="481.14"/>
    <x v="2"/>
    <x v="0"/>
    <x v="2"/>
  </r>
  <r>
    <s v="ORD1133"/>
    <d v="2023-12-26T00:00:00"/>
    <x v="1"/>
    <x v="3"/>
    <x v="0"/>
    <x v="9"/>
    <x v="6"/>
    <n v="4306"/>
    <x v="132"/>
    <x v="133"/>
    <n v="0.24304284718996749"/>
    <x v="1"/>
    <x v="7"/>
    <n v="2023"/>
    <x v="130"/>
    <n v="5167.2000000000007"/>
    <x v="1"/>
    <n v="13037.83"/>
    <x v="1"/>
    <x v="0"/>
    <x v="1"/>
  </r>
  <r>
    <s v="ORD1134"/>
    <d v="2023-04-21T00:00:00"/>
    <x v="3"/>
    <x v="2"/>
    <x v="1"/>
    <x v="15"/>
    <x v="0"/>
    <n v="3205"/>
    <x v="133"/>
    <x v="134"/>
    <n v="9.7134945397815906E-2"/>
    <x v="0"/>
    <x v="11"/>
    <n v="2023"/>
    <x v="131"/>
    <n v="7692"/>
    <x v="0"/>
    <n v="23149.460000000003"/>
    <x v="0"/>
    <x v="0"/>
    <x v="0"/>
  </r>
  <r>
    <s v="ORD1135"/>
    <d v="2023-05-07T00:00:00"/>
    <x v="1"/>
    <x v="4"/>
    <x v="0"/>
    <x v="0"/>
    <x v="6"/>
    <n v="3135"/>
    <x v="134"/>
    <x v="135"/>
    <n v="8.3913875598086121E-2"/>
    <x v="1"/>
    <x v="0"/>
    <n v="2023"/>
    <x v="132"/>
    <n v="3762"/>
    <x v="1"/>
    <n v="11487.72"/>
    <x v="1"/>
    <x v="0"/>
    <x v="1"/>
  </r>
  <r>
    <s v="ORD1136"/>
    <d v="2023-10-23T00:00:00"/>
    <x v="2"/>
    <x v="0"/>
    <x v="2"/>
    <x v="13"/>
    <x v="3"/>
    <n v="4346"/>
    <x v="135"/>
    <x v="136"/>
    <n v="0.2051955821445007"/>
    <x v="0"/>
    <x v="1"/>
    <n v="2023"/>
    <x v="89"/>
    <n v="11734.2"/>
    <x v="0"/>
    <n v="31087.98"/>
    <x v="0"/>
    <x v="1"/>
    <x v="0"/>
  </r>
  <r>
    <s v="ORD1137"/>
    <d v="2023-07-01T00:00:00"/>
    <x v="0"/>
    <x v="4"/>
    <x v="0"/>
    <x v="9"/>
    <x v="1"/>
    <n v="3676"/>
    <x v="136"/>
    <x v="137"/>
    <n v="0.10813873775843308"/>
    <x v="1"/>
    <x v="10"/>
    <n v="2023"/>
    <x v="133"/>
    <n v="5514"/>
    <x v="1"/>
    <n v="16392.41"/>
    <x v="1"/>
    <x v="0"/>
    <x v="1"/>
  </r>
  <r>
    <s v="ORD1138"/>
    <d v="2023-05-29T00:00:00"/>
    <x v="0"/>
    <x v="4"/>
    <x v="3"/>
    <x v="4"/>
    <x v="2"/>
    <n v="4862"/>
    <x v="137"/>
    <x v="138"/>
    <n v="0.11865727409845056"/>
    <x v="0"/>
    <x v="0"/>
    <n v="2023"/>
    <x v="134"/>
    <n v="8751.6000000000022"/>
    <x v="0"/>
    <n v="25710.53"/>
    <x v="1"/>
    <x v="0"/>
    <x v="0"/>
  </r>
  <r>
    <s v="ORD1139"/>
    <d v="2023-10-18T00:00:00"/>
    <x v="0"/>
    <x v="2"/>
    <x v="3"/>
    <x v="12"/>
    <x v="6"/>
    <n v="4412"/>
    <x v="138"/>
    <x v="139"/>
    <n v="0.18263259292837714"/>
    <x v="1"/>
    <x v="1"/>
    <n v="2023"/>
    <x v="135"/>
    <n v="5294.4000000000015"/>
    <x v="1"/>
    <n v="14424.9"/>
    <x v="1"/>
    <x v="0"/>
    <x v="1"/>
  </r>
  <r>
    <s v="ORD1140"/>
    <d v="2023-12-13T00:00:00"/>
    <x v="2"/>
    <x v="0"/>
    <x v="3"/>
    <x v="7"/>
    <x v="2"/>
    <n v="585"/>
    <x v="139"/>
    <x v="140"/>
    <n v="0.15916809116809116"/>
    <x v="2"/>
    <x v="7"/>
    <n v="2023"/>
    <x v="136"/>
    <n v="1053"/>
    <x v="0"/>
    <n v="2951.32"/>
    <x v="1"/>
    <x v="1"/>
    <x v="2"/>
  </r>
  <r>
    <s v="ORD1141"/>
    <d v="2023-06-29T00:00:00"/>
    <x v="1"/>
    <x v="1"/>
    <x v="0"/>
    <x v="0"/>
    <x v="4"/>
    <n v="1405"/>
    <x v="140"/>
    <x v="141"/>
    <n v="0.10998576512455516"/>
    <x v="2"/>
    <x v="2"/>
    <n v="2023"/>
    <x v="137"/>
    <n v="1264.5000000000005"/>
    <x v="1"/>
    <n v="3751.41"/>
    <x v="2"/>
    <x v="0"/>
    <x v="2"/>
  </r>
  <r>
    <s v="ORD1142"/>
    <d v="2023-05-30T00:00:00"/>
    <x v="1"/>
    <x v="2"/>
    <x v="2"/>
    <x v="8"/>
    <x v="8"/>
    <n v="4580"/>
    <x v="141"/>
    <x v="142"/>
    <n v="0.17870087336244542"/>
    <x v="2"/>
    <x v="0"/>
    <n v="2023"/>
    <x v="138"/>
    <n v="1374"/>
    <x v="1"/>
    <n v="3761.5499999999997"/>
    <x v="2"/>
    <x v="0"/>
    <x v="2"/>
  </r>
  <r>
    <s v="ORD1143"/>
    <d v="2023-12-27T00:00:00"/>
    <x v="2"/>
    <x v="2"/>
    <x v="1"/>
    <x v="5"/>
    <x v="8"/>
    <n v="1166"/>
    <x v="142"/>
    <x v="143"/>
    <n v="0.24584048027444252"/>
    <x v="2"/>
    <x v="7"/>
    <n v="2023"/>
    <x v="139"/>
    <n v="349.80000000000007"/>
    <x v="1"/>
    <n v="879.35"/>
    <x v="2"/>
    <x v="1"/>
    <x v="2"/>
  </r>
  <r>
    <s v="ORD1144"/>
    <d v="2023-05-21T00:00:00"/>
    <x v="1"/>
    <x v="0"/>
    <x v="1"/>
    <x v="2"/>
    <x v="0"/>
    <n v="4622"/>
    <x v="143"/>
    <x v="144"/>
    <n v="0.18121538295110343"/>
    <x v="0"/>
    <x v="0"/>
    <n v="2023"/>
    <x v="140"/>
    <n v="11092.800000000003"/>
    <x v="0"/>
    <n v="30275.38"/>
    <x v="0"/>
    <x v="0"/>
    <x v="0"/>
  </r>
  <r>
    <s v="ORD1145"/>
    <d v="2023-10-12T00:00:00"/>
    <x v="2"/>
    <x v="1"/>
    <x v="0"/>
    <x v="0"/>
    <x v="4"/>
    <n v="3589"/>
    <x v="144"/>
    <x v="145"/>
    <n v="0.11487415250301847"/>
    <x v="1"/>
    <x v="1"/>
    <n v="2023"/>
    <x v="141"/>
    <n v="3230.1000000000004"/>
    <x v="1"/>
    <n v="9530.15"/>
    <x v="2"/>
    <x v="1"/>
    <x v="1"/>
  </r>
  <r>
    <s v="ORD1146"/>
    <d v="2023-06-24T00:00:00"/>
    <x v="1"/>
    <x v="3"/>
    <x v="3"/>
    <x v="7"/>
    <x v="0"/>
    <n v="2265"/>
    <x v="145"/>
    <x v="146"/>
    <n v="0.1299878587196468"/>
    <x v="1"/>
    <x v="2"/>
    <n v="2023"/>
    <x v="142"/>
    <n v="5436"/>
    <x v="0"/>
    <n v="15764.62"/>
    <x v="0"/>
    <x v="0"/>
    <x v="1"/>
  </r>
  <r>
    <s v="ORD1147"/>
    <d v="2023-11-15T00:00:00"/>
    <x v="3"/>
    <x v="4"/>
    <x v="1"/>
    <x v="1"/>
    <x v="8"/>
    <n v="2361"/>
    <x v="146"/>
    <x v="147"/>
    <n v="0.16449385853451928"/>
    <x v="2"/>
    <x v="3"/>
    <n v="2023"/>
    <x v="143"/>
    <n v="708.30000000000018"/>
    <x v="1"/>
    <n v="1972.63"/>
    <x v="2"/>
    <x v="0"/>
    <x v="2"/>
  </r>
  <r>
    <s v="ORD1148"/>
    <d v="2023-06-11T00:00:00"/>
    <x v="3"/>
    <x v="4"/>
    <x v="2"/>
    <x v="8"/>
    <x v="5"/>
    <n v="1681"/>
    <x v="147"/>
    <x v="148"/>
    <n v="0.23256310019546189"/>
    <x v="1"/>
    <x v="2"/>
    <n v="2023"/>
    <x v="144"/>
    <n v="3530.1000000000022"/>
    <x v="0"/>
    <n v="9030.43"/>
    <x v="0"/>
    <x v="0"/>
    <x v="1"/>
  </r>
  <r>
    <s v="ORD1149"/>
    <d v="2023-11-17T00:00:00"/>
    <x v="2"/>
    <x v="0"/>
    <x v="0"/>
    <x v="16"/>
    <x v="7"/>
    <n v="3662"/>
    <x v="148"/>
    <x v="149"/>
    <n v="0.19201665756417258"/>
    <x v="2"/>
    <x v="3"/>
    <n v="2023"/>
    <x v="145"/>
    <n v="2197.2000000000007"/>
    <x v="1"/>
    <n v="5917.67"/>
    <x v="2"/>
    <x v="1"/>
    <x v="2"/>
  </r>
  <r>
    <s v="ORD1150"/>
    <d v="2023-02-20T00:00:00"/>
    <x v="2"/>
    <x v="2"/>
    <x v="2"/>
    <x v="13"/>
    <x v="0"/>
    <n v="3510"/>
    <x v="149"/>
    <x v="150"/>
    <n v="0.17680555555555555"/>
    <x v="0"/>
    <x v="8"/>
    <n v="2023"/>
    <x v="146"/>
    <n v="8424"/>
    <x v="0"/>
    <n v="23115.3"/>
    <x v="0"/>
    <x v="1"/>
    <x v="0"/>
  </r>
  <r>
    <s v="ORD1151"/>
    <d v="2023-10-15T00:00:00"/>
    <x v="3"/>
    <x v="0"/>
    <x v="0"/>
    <x v="0"/>
    <x v="7"/>
    <n v="2343"/>
    <x v="150"/>
    <x v="151"/>
    <n v="0.2480836534357661"/>
    <x v="2"/>
    <x v="1"/>
    <n v="2023"/>
    <x v="147"/>
    <n v="1405.8000000000002"/>
    <x v="1"/>
    <n v="3523.48"/>
    <x v="2"/>
    <x v="0"/>
    <x v="2"/>
  </r>
  <r>
    <s v="ORD1152"/>
    <d v="2023-08-11T00:00:00"/>
    <x v="0"/>
    <x v="3"/>
    <x v="2"/>
    <x v="3"/>
    <x v="6"/>
    <n v="364"/>
    <x v="151"/>
    <x v="152"/>
    <n v="0.10398351648351649"/>
    <x v="2"/>
    <x v="9"/>
    <n v="2023"/>
    <x v="148"/>
    <n v="436.80000000000007"/>
    <x v="1"/>
    <n v="1304.6000000000001"/>
    <x v="1"/>
    <x v="0"/>
    <x v="2"/>
  </r>
  <r>
    <s v="ORD1153"/>
    <d v="2023-04-22T00:00:00"/>
    <x v="2"/>
    <x v="0"/>
    <x v="0"/>
    <x v="11"/>
    <x v="5"/>
    <n v="2398"/>
    <x v="152"/>
    <x v="153"/>
    <n v="0.22418205647563444"/>
    <x v="1"/>
    <x v="11"/>
    <n v="2023"/>
    <x v="149"/>
    <n v="5035.8000000000011"/>
    <x v="0"/>
    <n v="13022.88"/>
    <x v="0"/>
    <x v="1"/>
    <x v="1"/>
  </r>
  <r>
    <s v="ORD1154"/>
    <d v="2023-07-16T00:00:00"/>
    <x v="3"/>
    <x v="0"/>
    <x v="2"/>
    <x v="8"/>
    <x v="7"/>
    <n v="713"/>
    <x v="153"/>
    <x v="154"/>
    <n v="0.23480364656381486"/>
    <x v="2"/>
    <x v="10"/>
    <n v="2023"/>
    <x v="150"/>
    <n v="427.80000000000007"/>
    <x v="1"/>
    <n v="1091.17"/>
    <x v="2"/>
    <x v="0"/>
    <x v="2"/>
  </r>
  <r>
    <s v="ORD1155"/>
    <d v="2023-01-20T00:00:00"/>
    <x v="2"/>
    <x v="1"/>
    <x v="1"/>
    <x v="10"/>
    <x v="7"/>
    <n v="4766"/>
    <x v="154"/>
    <x v="155"/>
    <n v="8.581829626521191E-2"/>
    <x v="2"/>
    <x v="6"/>
    <n v="2023"/>
    <x v="151"/>
    <n v="2859.6000000000004"/>
    <x v="1"/>
    <n v="8713.98"/>
    <x v="2"/>
    <x v="1"/>
    <x v="2"/>
  </r>
  <r>
    <s v="ORD1156"/>
    <d v="2023-10-07T00:00:00"/>
    <x v="2"/>
    <x v="3"/>
    <x v="1"/>
    <x v="1"/>
    <x v="3"/>
    <n v="3777"/>
    <x v="155"/>
    <x v="156"/>
    <n v="0.20981290265642927"/>
    <x v="0"/>
    <x v="1"/>
    <n v="2023"/>
    <x v="68"/>
    <n v="10197.900000000001"/>
    <x v="0"/>
    <n v="26860.829999999998"/>
    <x v="0"/>
    <x v="1"/>
    <x v="0"/>
  </r>
  <r>
    <s v="ORD1157"/>
    <d v="2023-04-25T00:00:00"/>
    <x v="2"/>
    <x v="4"/>
    <x v="1"/>
    <x v="1"/>
    <x v="5"/>
    <n v="4423"/>
    <x v="156"/>
    <x v="157"/>
    <n v="0.11095830238041407"/>
    <x v="0"/>
    <x v="11"/>
    <n v="2023"/>
    <x v="152"/>
    <n v="9288.2999999999993"/>
    <x v="0"/>
    <n v="27525.620000000003"/>
    <x v="0"/>
    <x v="1"/>
    <x v="0"/>
  </r>
  <r>
    <s v="ORD1158"/>
    <d v="2023-10-05T00:00:00"/>
    <x v="0"/>
    <x v="2"/>
    <x v="2"/>
    <x v="6"/>
    <x v="3"/>
    <n v="3630"/>
    <x v="157"/>
    <x v="158"/>
    <n v="0.11706397306397306"/>
    <x v="0"/>
    <x v="1"/>
    <n v="2023"/>
    <x v="153"/>
    <n v="9801"/>
    <x v="0"/>
    <n v="28845.52"/>
    <x v="0"/>
    <x v="0"/>
    <x v="0"/>
  </r>
  <r>
    <s v="ORD1159"/>
    <d v="2023-11-22T00:00:00"/>
    <x v="1"/>
    <x v="1"/>
    <x v="1"/>
    <x v="2"/>
    <x v="7"/>
    <n v="3998"/>
    <x v="158"/>
    <x v="159"/>
    <n v="0.19614182091045521"/>
    <x v="2"/>
    <x v="3"/>
    <n v="2023"/>
    <x v="154"/>
    <n v="2398.8000000000002"/>
    <x v="1"/>
    <n v="6427.6500000000005"/>
    <x v="2"/>
    <x v="0"/>
    <x v="2"/>
  </r>
  <r>
    <s v="ORD1160"/>
    <d v="2023-06-02T00:00:00"/>
    <x v="1"/>
    <x v="3"/>
    <x v="1"/>
    <x v="1"/>
    <x v="3"/>
    <n v="2281"/>
    <x v="159"/>
    <x v="160"/>
    <n v="0.17421014175069416"/>
    <x v="0"/>
    <x v="2"/>
    <n v="2023"/>
    <x v="155"/>
    <n v="6158.7000000000007"/>
    <x v="0"/>
    <n v="16952.64"/>
    <x v="0"/>
    <x v="0"/>
    <x v="0"/>
  </r>
  <r>
    <s v="ORD1161"/>
    <d v="2023-11-09T00:00:00"/>
    <x v="0"/>
    <x v="0"/>
    <x v="2"/>
    <x v="13"/>
    <x v="1"/>
    <n v="541"/>
    <x v="160"/>
    <x v="161"/>
    <n v="0.10327171903881702"/>
    <x v="2"/>
    <x v="3"/>
    <n v="2023"/>
    <x v="156"/>
    <n v="811.5"/>
    <x v="1"/>
    <n v="2425.65"/>
    <x v="1"/>
    <x v="0"/>
    <x v="2"/>
  </r>
  <r>
    <s v="ORD1162"/>
    <d v="2023-07-09T00:00:00"/>
    <x v="1"/>
    <x v="3"/>
    <x v="2"/>
    <x v="6"/>
    <x v="3"/>
    <n v="654"/>
    <x v="161"/>
    <x v="162"/>
    <n v="0.17746007475365272"/>
    <x v="2"/>
    <x v="10"/>
    <n v="2023"/>
    <x v="157"/>
    <n v="1765.8000000000002"/>
    <x v="0"/>
    <n v="4841.4699999999993"/>
    <x v="0"/>
    <x v="0"/>
    <x v="2"/>
  </r>
  <r>
    <s v="ORD1163"/>
    <d v="2023-10-09T00:00:00"/>
    <x v="2"/>
    <x v="1"/>
    <x v="2"/>
    <x v="6"/>
    <x v="8"/>
    <n v="3066"/>
    <x v="162"/>
    <x v="163"/>
    <n v="9.5358773646444878E-2"/>
    <x v="2"/>
    <x v="1"/>
    <n v="2023"/>
    <x v="158"/>
    <n v="919.80000000000018"/>
    <x v="1"/>
    <n v="2773.63"/>
    <x v="2"/>
    <x v="1"/>
    <x v="2"/>
  </r>
  <r>
    <s v="ORD1164"/>
    <d v="2023-08-20T00:00:00"/>
    <x v="0"/>
    <x v="3"/>
    <x v="0"/>
    <x v="0"/>
    <x v="6"/>
    <n v="1336"/>
    <x v="163"/>
    <x v="164"/>
    <n v="0.20266092814371256"/>
    <x v="2"/>
    <x v="9"/>
    <n v="2023"/>
    <x v="159"/>
    <n v="1603.2000000000003"/>
    <x v="1"/>
    <n v="4260.9799999999996"/>
    <x v="1"/>
    <x v="0"/>
    <x v="2"/>
  </r>
  <r>
    <s v="ORD1165"/>
    <d v="2023-10-16T00:00:00"/>
    <x v="1"/>
    <x v="2"/>
    <x v="0"/>
    <x v="16"/>
    <x v="0"/>
    <n v="4701"/>
    <x v="164"/>
    <x v="165"/>
    <n v="0.20453733248245054"/>
    <x v="0"/>
    <x v="1"/>
    <n v="2023"/>
    <x v="160"/>
    <n v="11282.400000000001"/>
    <x v="0"/>
    <n v="29915.759999999998"/>
    <x v="0"/>
    <x v="0"/>
    <x v="0"/>
  </r>
  <r>
    <s v="ORD1166"/>
    <d v="2023-12-03T00:00:00"/>
    <x v="1"/>
    <x v="0"/>
    <x v="0"/>
    <x v="0"/>
    <x v="4"/>
    <n v="1962"/>
    <x v="161"/>
    <x v="166"/>
    <n v="0.22305980292218824"/>
    <x v="2"/>
    <x v="7"/>
    <n v="2023"/>
    <x v="161"/>
    <n v="1765.8000000000002"/>
    <x v="1"/>
    <n v="4573.0700000000006"/>
    <x v="2"/>
    <x v="0"/>
    <x v="2"/>
  </r>
  <r>
    <s v="ORD1167"/>
    <d v="2023-03-14T00:00:00"/>
    <x v="2"/>
    <x v="4"/>
    <x v="3"/>
    <x v="4"/>
    <x v="7"/>
    <n v="353"/>
    <x v="165"/>
    <x v="167"/>
    <n v="0.16062322946175639"/>
    <x v="2"/>
    <x v="4"/>
    <n v="2023"/>
    <x v="162"/>
    <n v="211.8"/>
    <x v="1"/>
    <n v="592.59999999999991"/>
    <x v="2"/>
    <x v="1"/>
    <x v="2"/>
  </r>
  <r>
    <s v="ORD1168"/>
    <d v="2023-05-11T00:00:00"/>
    <x v="1"/>
    <x v="1"/>
    <x v="3"/>
    <x v="12"/>
    <x v="0"/>
    <n v="4320"/>
    <x v="166"/>
    <x v="168"/>
    <n v="0.12188831018518519"/>
    <x v="0"/>
    <x v="0"/>
    <n v="2023"/>
    <x v="163"/>
    <n v="10368"/>
    <x v="0"/>
    <n v="30347.54"/>
    <x v="0"/>
    <x v="0"/>
    <x v="0"/>
  </r>
  <r>
    <s v="ORD1169"/>
    <d v="2023-01-12T00:00:00"/>
    <x v="0"/>
    <x v="1"/>
    <x v="2"/>
    <x v="3"/>
    <x v="4"/>
    <n v="3749"/>
    <x v="167"/>
    <x v="169"/>
    <n v="8.0893571619098423E-2"/>
    <x v="1"/>
    <x v="6"/>
    <n v="2023"/>
    <x v="164"/>
    <n v="3374.1000000000004"/>
    <x v="1"/>
    <n v="10337.19"/>
    <x v="2"/>
    <x v="0"/>
    <x v="1"/>
  </r>
  <r>
    <s v="ORD1170"/>
    <d v="2023-02-26T00:00:00"/>
    <x v="0"/>
    <x v="4"/>
    <x v="2"/>
    <x v="13"/>
    <x v="8"/>
    <n v="3204"/>
    <x v="168"/>
    <x v="170"/>
    <n v="0.21430087390761549"/>
    <x v="2"/>
    <x v="8"/>
    <n v="2023"/>
    <x v="165"/>
    <n v="961.20000000000027"/>
    <x v="1"/>
    <n v="2517.3799999999997"/>
    <x v="2"/>
    <x v="0"/>
    <x v="2"/>
  </r>
  <r>
    <s v="ORD1171"/>
    <d v="2023-05-29T00:00:00"/>
    <x v="2"/>
    <x v="1"/>
    <x v="0"/>
    <x v="0"/>
    <x v="0"/>
    <n v="538"/>
    <x v="169"/>
    <x v="171"/>
    <n v="0.20447723048327138"/>
    <x v="2"/>
    <x v="0"/>
    <n v="2023"/>
    <x v="166"/>
    <n v="1291.2000000000003"/>
    <x v="0"/>
    <n v="3423.93"/>
    <x v="0"/>
    <x v="1"/>
    <x v="2"/>
  </r>
  <r>
    <s v="ORD1172"/>
    <d v="2023-12-31T00:00:00"/>
    <x v="1"/>
    <x v="3"/>
    <x v="1"/>
    <x v="1"/>
    <x v="2"/>
    <n v="3926"/>
    <x v="170"/>
    <x v="172"/>
    <n v="0.19783961623365598"/>
    <x v="0"/>
    <x v="7"/>
    <n v="2023"/>
    <x v="167"/>
    <n v="7066.8000000000029"/>
    <x v="0"/>
    <n v="18895.689999999999"/>
    <x v="1"/>
    <x v="0"/>
    <x v="0"/>
  </r>
  <r>
    <s v="ORD1173"/>
    <d v="2023-03-27T00:00:00"/>
    <x v="1"/>
    <x v="1"/>
    <x v="2"/>
    <x v="13"/>
    <x v="8"/>
    <n v="4190"/>
    <x v="171"/>
    <x v="173"/>
    <n v="0.17448687350835324"/>
    <x v="2"/>
    <x v="4"/>
    <n v="2023"/>
    <x v="168"/>
    <n v="1257"/>
    <x v="1"/>
    <n v="3458.9"/>
    <x v="2"/>
    <x v="0"/>
    <x v="2"/>
  </r>
  <r>
    <s v="ORD1174"/>
    <d v="2023-03-23T00:00:00"/>
    <x v="0"/>
    <x v="2"/>
    <x v="0"/>
    <x v="9"/>
    <x v="4"/>
    <n v="1721"/>
    <x v="172"/>
    <x v="174"/>
    <n v="0.15170056168894056"/>
    <x v="2"/>
    <x v="4"/>
    <n v="2023"/>
    <x v="169"/>
    <n v="1548.9000000000005"/>
    <x v="1"/>
    <n v="4379.7700000000004"/>
    <x v="2"/>
    <x v="0"/>
    <x v="2"/>
  </r>
  <r>
    <s v="ORD1175"/>
    <d v="2023-09-30T00:00:00"/>
    <x v="1"/>
    <x v="0"/>
    <x v="0"/>
    <x v="16"/>
    <x v="7"/>
    <n v="1666"/>
    <x v="173"/>
    <x v="175"/>
    <n v="0.2209153661464586"/>
    <x v="2"/>
    <x v="5"/>
    <n v="2023"/>
    <x v="170"/>
    <n v="999.60000000000036"/>
    <x v="1"/>
    <n v="2595.91"/>
    <x v="2"/>
    <x v="0"/>
    <x v="2"/>
  </r>
  <r>
    <s v="ORD1176"/>
    <d v="2023-07-02T00:00:00"/>
    <x v="0"/>
    <x v="2"/>
    <x v="2"/>
    <x v="3"/>
    <x v="7"/>
    <n v="330"/>
    <x v="174"/>
    <x v="176"/>
    <n v="0.19836363636363635"/>
    <x v="2"/>
    <x v="10"/>
    <n v="2023"/>
    <x v="171"/>
    <n v="198.00000000000006"/>
    <x v="1"/>
    <n v="529.08000000000004"/>
    <x v="2"/>
    <x v="0"/>
    <x v="2"/>
  </r>
  <r>
    <s v="ORD1177"/>
    <d v="2023-07-29T00:00:00"/>
    <x v="2"/>
    <x v="1"/>
    <x v="0"/>
    <x v="16"/>
    <x v="0"/>
    <n v="3787"/>
    <x v="175"/>
    <x v="177"/>
    <n v="0.21442302614206496"/>
    <x v="0"/>
    <x v="10"/>
    <n v="2023"/>
    <x v="172"/>
    <n v="9088.8000000000029"/>
    <x v="0"/>
    <n v="23799.84"/>
    <x v="0"/>
    <x v="1"/>
    <x v="0"/>
  </r>
  <r>
    <s v="ORD1178"/>
    <d v="2023-02-03T00:00:00"/>
    <x v="1"/>
    <x v="0"/>
    <x v="1"/>
    <x v="1"/>
    <x v="7"/>
    <n v="510"/>
    <x v="176"/>
    <x v="178"/>
    <n v="0.15852941176470586"/>
    <x v="2"/>
    <x v="8"/>
    <n v="2023"/>
    <x v="173"/>
    <n v="306"/>
    <x v="1"/>
    <n v="858.30000000000007"/>
    <x v="2"/>
    <x v="0"/>
    <x v="2"/>
  </r>
  <r>
    <s v="ORD1179"/>
    <d v="2023-10-29T00:00:00"/>
    <x v="3"/>
    <x v="1"/>
    <x v="0"/>
    <x v="9"/>
    <x v="7"/>
    <n v="4010"/>
    <x v="177"/>
    <x v="179"/>
    <n v="9.1905236907730684E-2"/>
    <x v="2"/>
    <x v="1"/>
    <n v="2023"/>
    <x v="174"/>
    <n v="2406"/>
    <x v="1"/>
    <n v="7282.92"/>
    <x v="2"/>
    <x v="0"/>
    <x v="2"/>
  </r>
  <r>
    <s v="ORD1180"/>
    <d v="2023-08-24T00:00:00"/>
    <x v="0"/>
    <x v="4"/>
    <x v="1"/>
    <x v="5"/>
    <x v="1"/>
    <n v="4992"/>
    <x v="178"/>
    <x v="180"/>
    <n v="0.178728766025641"/>
    <x v="0"/>
    <x v="9"/>
    <n v="2023"/>
    <x v="175"/>
    <n v="7488"/>
    <x v="1"/>
    <n v="20498.93"/>
    <x v="1"/>
    <x v="0"/>
    <x v="0"/>
  </r>
  <r>
    <s v="ORD1181"/>
    <d v="2023-03-06T00:00:00"/>
    <x v="1"/>
    <x v="4"/>
    <x v="1"/>
    <x v="2"/>
    <x v="3"/>
    <n v="3630"/>
    <x v="157"/>
    <x v="181"/>
    <n v="0.16882828282828283"/>
    <x v="0"/>
    <x v="4"/>
    <n v="2023"/>
    <x v="153"/>
    <n v="9801"/>
    <x v="0"/>
    <n v="27154.38"/>
    <x v="0"/>
    <x v="0"/>
    <x v="0"/>
  </r>
  <r>
    <s v="ORD1182"/>
    <d v="2023-10-20T00:00:00"/>
    <x v="2"/>
    <x v="4"/>
    <x v="0"/>
    <x v="9"/>
    <x v="0"/>
    <n v="2233"/>
    <x v="179"/>
    <x v="182"/>
    <n v="0.13037225705329153"/>
    <x v="1"/>
    <x v="1"/>
    <n v="2023"/>
    <x v="176"/>
    <n v="5359.2000000000007"/>
    <x v="0"/>
    <n v="15535.03"/>
    <x v="0"/>
    <x v="1"/>
    <x v="1"/>
  </r>
  <r>
    <s v="ORD1183"/>
    <d v="2023-12-10T00:00:00"/>
    <x v="3"/>
    <x v="2"/>
    <x v="3"/>
    <x v="7"/>
    <x v="3"/>
    <n v="4694"/>
    <x v="180"/>
    <x v="183"/>
    <n v="0.14533541637078068"/>
    <x v="0"/>
    <x v="7"/>
    <n v="2023"/>
    <x v="177"/>
    <n v="12673.800000000003"/>
    <x v="0"/>
    <n v="36106.159999999996"/>
    <x v="0"/>
    <x v="0"/>
    <x v="0"/>
  </r>
  <r>
    <s v="ORD1184"/>
    <d v="2023-07-17T00:00:00"/>
    <x v="0"/>
    <x v="0"/>
    <x v="0"/>
    <x v="11"/>
    <x v="1"/>
    <n v="2308"/>
    <x v="181"/>
    <x v="184"/>
    <n v="0.12402686308492201"/>
    <x v="1"/>
    <x v="10"/>
    <n v="2023"/>
    <x v="178"/>
    <n v="3462"/>
    <x v="1"/>
    <n v="10108.73"/>
    <x v="1"/>
    <x v="0"/>
    <x v="1"/>
  </r>
  <r>
    <s v="ORD1185"/>
    <d v="2023-11-26T00:00:00"/>
    <x v="0"/>
    <x v="3"/>
    <x v="1"/>
    <x v="5"/>
    <x v="7"/>
    <n v="1084"/>
    <x v="182"/>
    <x v="185"/>
    <n v="0.22120848708487084"/>
    <x v="2"/>
    <x v="3"/>
    <n v="2023"/>
    <x v="179"/>
    <n v="650.40000000000009"/>
    <x v="1"/>
    <n v="1688.42"/>
    <x v="2"/>
    <x v="0"/>
    <x v="2"/>
  </r>
  <r>
    <s v="ORD1186"/>
    <d v="2023-09-19T00:00:00"/>
    <x v="2"/>
    <x v="1"/>
    <x v="3"/>
    <x v="7"/>
    <x v="3"/>
    <n v="3000"/>
    <x v="183"/>
    <x v="186"/>
    <n v="0.24273592592592591"/>
    <x v="0"/>
    <x v="5"/>
    <n v="2023"/>
    <x v="180"/>
    <n v="8100"/>
    <x v="0"/>
    <n v="20446.13"/>
    <x v="0"/>
    <x v="1"/>
    <x v="0"/>
  </r>
  <r>
    <s v="ORD1187"/>
    <d v="2023-01-20T00:00:00"/>
    <x v="1"/>
    <x v="4"/>
    <x v="1"/>
    <x v="15"/>
    <x v="5"/>
    <n v="2936"/>
    <x v="184"/>
    <x v="187"/>
    <n v="0.16810432074737253"/>
    <x v="0"/>
    <x v="6"/>
    <n v="2023"/>
    <x v="181"/>
    <n v="6165.6000000000022"/>
    <x v="0"/>
    <n v="17097.120000000003"/>
    <x v="0"/>
    <x v="0"/>
    <x v="0"/>
  </r>
  <r>
    <s v="ORD1188"/>
    <d v="2023-05-25T00:00:00"/>
    <x v="3"/>
    <x v="0"/>
    <x v="3"/>
    <x v="4"/>
    <x v="4"/>
    <n v="2937"/>
    <x v="185"/>
    <x v="188"/>
    <n v="0.16350130518669842"/>
    <x v="2"/>
    <x v="0"/>
    <n v="2023"/>
    <x v="182"/>
    <n v="2643.2999999999993"/>
    <x v="1"/>
    <n v="7370.3899999999994"/>
    <x v="2"/>
    <x v="0"/>
    <x v="2"/>
  </r>
  <r>
    <s v="ORD1189"/>
    <d v="2023-11-25T00:00:00"/>
    <x v="3"/>
    <x v="1"/>
    <x v="2"/>
    <x v="13"/>
    <x v="2"/>
    <n v="1092"/>
    <x v="186"/>
    <x v="189"/>
    <n v="0.17128510378510378"/>
    <x v="2"/>
    <x v="3"/>
    <n v="2023"/>
    <x v="183"/>
    <n v="1965.6000000000004"/>
    <x v="0"/>
    <n v="5429.74"/>
    <x v="1"/>
    <x v="0"/>
    <x v="2"/>
  </r>
  <r>
    <s v="ORD1190"/>
    <d v="2023-05-17T00:00:00"/>
    <x v="0"/>
    <x v="4"/>
    <x v="1"/>
    <x v="15"/>
    <x v="3"/>
    <n v="2882"/>
    <x v="187"/>
    <x v="190"/>
    <n v="0.10201750327704527"/>
    <x v="0"/>
    <x v="0"/>
    <n v="2023"/>
    <x v="184"/>
    <n v="7781.4000000000015"/>
    <x v="0"/>
    <n v="23291.87"/>
    <x v="0"/>
    <x v="0"/>
    <x v="0"/>
  </r>
  <r>
    <s v="ORD1191"/>
    <d v="2023-08-14T00:00:00"/>
    <x v="3"/>
    <x v="2"/>
    <x v="1"/>
    <x v="1"/>
    <x v="3"/>
    <n v="4335"/>
    <x v="188"/>
    <x v="191"/>
    <n v="0.23837011405869538"/>
    <x v="0"/>
    <x v="9"/>
    <n v="2023"/>
    <x v="185"/>
    <n v="11704.5"/>
    <x v="0"/>
    <n v="29714.99"/>
    <x v="0"/>
    <x v="0"/>
    <x v="0"/>
  </r>
  <r>
    <s v="ORD1192"/>
    <d v="2023-02-06T00:00:00"/>
    <x v="3"/>
    <x v="1"/>
    <x v="0"/>
    <x v="11"/>
    <x v="0"/>
    <n v="4172"/>
    <x v="189"/>
    <x v="192"/>
    <n v="8.8293084851390216E-2"/>
    <x v="0"/>
    <x v="8"/>
    <n v="2023"/>
    <x v="186"/>
    <n v="10012.800000000003"/>
    <x v="0"/>
    <n v="30429.13"/>
    <x v="0"/>
    <x v="0"/>
    <x v="0"/>
  </r>
  <r>
    <s v="ORD1193"/>
    <d v="2023-11-14T00:00:00"/>
    <x v="2"/>
    <x v="0"/>
    <x v="2"/>
    <x v="8"/>
    <x v="8"/>
    <n v="3311"/>
    <x v="190"/>
    <x v="193"/>
    <n v="0.23009362730292965"/>
    <x v="2"/>
    <x v="3"/>
    <n v="2023"/>
    <x v="187"/>
    <n v="993.30000000000018"/>
    <x v="1"/>
    <n v="2549.16"/>
    <x v="2"/>
    <x v="1"/>
    <x v="2"/>
  </r>
  <r>
    <s v="ORD1194"/>
    <d v="2023-12-13T00:00:00"/>
    <x v="2"/>
    <x v="1"/>
    <x v="1"/>
    <x v="15"/>
    <x v="0"/>
    <n v="3311"/>
    <x v="191"/>
    <x v="194"/>
    <n v="0.19526276049531863"/>
    <x v="0"/>
    <x v="7"/>
    <n v="2023"/>
    <x v="187"/>
    <n v="7946.4000000000015"/>
    <x v="0"/>
    <n v="21315.88"/>
    <x v="0"/>
    <x v="1"/>
    <x v="0"/>
  </r>
  <r>
    <s v="ORD1195"/>
    <d v="2023-12-19T00:00:00"/>
    <x v="0"/>
    <x v="0"/>
    <x v="3"/>
    <x v="7"/>
    <x v="0"/>
    <n v="2583"/>
    <x v="192"/>
    <x v="195"/>
    <n v="0.19193670150987224"/>
    <x v="0"/>
    <x v="7"/>
    <n v="2023"/>
    <x v="188"/>
    <n v="6199.2000000000007"/>
    <x v="0"/>
    <n v="16697.82"/>
    <x v="0"/>
    <x v="0"/>
    <x v="0"/>
  </r>
  <r>
    <s v="ORD1196"/>
    <d v="2023-07-10T00:00:00"/>
    <x v="0"/>
    <x v="2"/>
    <x v="2"/>
    <x v="8"/>
    <x v="3"/>
    <n v="1916"/>
    <x v="193"/>
    <x v="196"/>
    <n v="0.19562398515425655"/>
    <x v="1"/>
    <x v="10"/>
    <n v="2023"/>
    <x v="189"/>
    <n v="5173.2000000000007"/>
    <x v="0"/>
    <n v="13870.660000000002"/>
    <x v="0"/>
    <x v="0"/>
    <x v="1"/>
  </r>
  <r>
    <s v="ORD1197"/>
    <d v="2023-12-29T00:00:00"/>
    <x v="2"/>
    <x v="3"/>
    <x v="0"/>
    <x v="9"/>
    <x v="3"/>
    <n v="4721"/>
    <x v="194"/>
    <x v="197"/>
    <n v="0.10190778789804419"/>
    <x v="0"/>
    <x v="7"/>
    <n v="2023"/>
    <x v="190"/>
    <n v="12746.7"/>
    <x v="0"/>
    <n v="38159.040000000001"/>
    <x v="0"/>
    <x v="1"/>
    <x v="0"/>
  </r>
  <r>
    <s v="ORD1198"/>
    <d v="2023-02-15T00:00:00"/>
    <x v="0"/>
    <x v="4"/>
    <x v="2"/>
    <x v="6"/>
    <x v="5"/>
    <n v="2185"/>
    <x v="195"/>
    <x v="198"/>
    <n v="0.12879633867276888"/>
    <x v="1"/>
    <x v="8"/>
    <n v="2023"/>
    <x v="191"/>
    <n v="4588.5"/>
    <x v="0"/>
    <n v="13325.060000000001"/>
    <x v="0"/>
    <x v="0"/>
    <x v="1"/>
  </r>
  <r>
    <s v="ORD1199"/>
    <d v="2023-12-31T00:00:00"/>
    <x v="0"/>
    <x v="0"/>
    <x v="3"/>
    <x v="12"/>
    <x v="0"/>
    <n v="4995"/>
    <x v="196"/>
    <x v="199"/>
    <n v="8.154229229229229E-2"/>
    <x v="0"/>
    <x v="7"/>
    <n v="2023"/>
    <x v="192"/>
    <n v="11988"/>
    <x v="0"/>
    <n v="36701.57"/>
    <x v="0"/>
    <x v="0"/>
    <x v="0"/>
  </r>
  <r>
    <s v="ORD1200"/>
    <d v="2023-03-01T00:00:00"/>
    <x v="0"/>
    <x v="1"/>
    <x v="1"/>
    <x v="15"/>
    <x v="3"/>
    <n v="1447"/>
    <x v="197"/>
    <x v="200"/>
    <n v="0.2228203946863242"/>
    <x v="1"/>
    <x v="4"/>
    <n v="2023"/>
    <x v="193"/>
    <n v="3906.8999999999996"/>
    <x v="0"/>
    <n v="10121.209999999999"/>
    <x v="0"/>
    <x v="0"/>
    <x v="1"/>
  </r>
  <r>
    <s v="ORD1201"/>
    <d v="2023-11-20T00:00:00"/>
    <x v="0"/>
    <x v="5"/>
    <x v="3"/>
    <x v="7"/>
    <x v="6"/>
    <n v="2087"/>
    <x v="198"/>
    <x v="201"/>
    <n v="0.2110457594633445"/>
    <x v="2"/>
    <x v="3"/>
    <n v="2023"/>
    <x v="194"/>
    <n v="2504.4000000000005"/>
    <x v="1"/>
    <n v="6586.1900000000005"/>
    <x v="1"/>
    <x v="0"/>
    <x v="2"/>
  </r>
  <r>
    <s v="ORD1202"/>
    <d v="2023-04-30T00:00:00"/>
    <x v="0"/>
    <x v="3"/>
    <x v="2"/>
    <x v="6"/>
    <x v="8"/>
    <n v="1085"/>
    <x v="199"/>
    <x v="202"/>
    <n v="0.13880184331797235"/>
    <x v="2"/>
    <x v="11"/>
    <n v="2023"/>
    <x v="195"/>
    <n v="325.5"/>
    <x v="1"/>
    <n v="934.40000000000009"/>
    <x v="2"/>
    <x v="0"/>
    <x v="2"/>
  </r>
  <r>
    <s v="ORD1203"/>
    <d v="2023-01-07T00:00:00"/>
    <x v="2"/>
    <x v="0"/>
    <x v="1"/>
    <x v="2"/>
    <x v="6"/>
    <n v="962"/>
    <x v="200"/>
    <x v="203"/>
    <n v="0.10211538461538461"/>
    <x v="2"/>
    <x v="6"/>
    <n v="2023"/>
    <x v="196"/>
    <n v="1154.4000000000001"/>
    <x v="1"/>
    <n v="3455.06"/>
    <x v="1"/>
    <x v="1"/>
    <x v="2"/>
  </r>
  <r>
    <s v="ORD1204"/>
    <d v="2023-01-26T00:00:00"/>
    <x v="1"/>
    <x v="3"/>
    <x v="3"/>
    <x v="7"/>
    <x v="4"/>
    <n v="2706"/>
    <x v="201"/>
    <x v="204"/>
    <n v="0.19616038433111604"/>
    <x v="2"/>
    <x v="6"/>
    <n v="2023"/>
    <x v="197"/>
    <n v="2435.4000000000005"/>
    <x v="1"/>
    <n v="6525.57"/>
    <x v="2"/>
    <x v="0"/>
    <x v="2"/>
  </r>
  <r>
    <s v="ORD1205"/>
    <d v="2023-10-12T00:00:00"/>
    <x v="2"/>
    <x v="0"/>
    <x v="3"/>
    <x v="14"/>
    <x v="8"/>
    <n v="238"/>
    <x v="202"/>
    <x v="205"/>
    <n v="0.1695798319327731"/>
    <x v="2"/>
    <x v="1"/>
    <n v="2023"/>
    <x v="198"/>
    <n v="71.400000000000006"/>
    <x v="1"/>
    <n v="197.64000000000001"/>
    <x v="2"/>
    <x v="1"/>
    <x v="2"/>
  </r>
  <r>
    <s v="ORD1206"/>
    <d v="2023-01-27T00:00:00"/>
    <x v="0"/>
    <x v="4"/>
    <x v="2"/>
    <x v="3"/>
    <x v="7"/>
    <n v="3355"/>
    <x v="203"/>
    <x v="206"/>
    <n v="0.1912667660208644"/>
    <x v="2"/>
    <x v="6"/>
    <n v="2023"/>
    <x v="199"/>
    <n v="2013"/>
    <x v="1"/>
    <n v="5426.5999999999995"/>
    <x v="2"/>
    <x v="0"/>
    <x v="2"/>
  </r>
  <r>
    <s v="ORD1207"/>
    <d v="2023-12-23T00:00:00"/>
    <x v="0"/>
    <x v="2"/>
    <x v="1"/>
    <x v="1"/>
    <x v="0"/>
    <n v="1188"/>
    <x v="204"/>
    <x v="207"/>
    <n v="0.24041456228956229"/>
    <x v="2"/>
    <x v="7"/>
    <n v="2023"/>
    <x v="200"/>
    <n v="2851.2000000000007"/>
    <x v="0"/>
    <n v="7219.1"/>
    <x v="0"/>
    <x v="0"/>
    <x v="2"/>
  </r>
  <r>
    <s v="ORD1208"/>
    <d v="2023-01-15T00:00:00"/>
    <x v="1"/>
    <x v="1"/>
    <x v="1"/>
    <x v="15"/>
    <x v="3"/>
    <n v="4865"/>
    <x v="205"/>
    <x v="208"/>
    <n v="0.23199680255795363"/>
    <x v="0"/>
    <x v="6"/>
    <n v="2023"/>
    <x v="201"/>
    <n v="13135.5"/>
    <x v="0"/>
    <n v="33627.019999999997"/>
    <x v="0"/>
    <x v="0"/>
    <x v="0"/>
  </r>
  <r>
    <s v="ORD1209"/>
    <d v="2023-10-01T00:00:00"/>
    <x v="0"/>
    <x v="2"/>
    <x v="0"/>
    <x v="0"/>
    <x v="8"/>
    <n v="992"/>
    <x v="206"/>
    <x v="209"/>
    <n v="0.20153225806451611"/>
    <x v="2"/>
    <x v="1"/>
    <n v="2023"/>
    <x v="202"/>
    <n v="297.60000000000002"/>
    <x v="1"/>
    <n v="792.08"/>
    <x v="2"/>
    <x v="0"/>
    <x v="2"/>
  </r>
  <r>
    <s v="ORD1210"/>
    <d v="2023-11-05T00:00:00"/>
    <x v="3"/>
    <x v="0"/>
    <x v="2"/>
    <x v="13"/>
    <x v="0"/>
    <n v="1184"/>
    <x v="207"/>
    <x v="210"/>
    <n v="0.22766575168918918"/>
    <x v="2"/>
    <x v="3"/>
    <n v="2023"/>
    <x v="203"/>
    <n v="2841.6000000000004"/>
    <x v="0"/>
    <n v="7315.5500000000011"/>
    <x v="0"/>
    <x v="0"/>
    <x v="2"/>
  </r>
  <r>
    <s v="ORD1211"/>
    <d v="2023-06-30T00:00:00"/>
    <x v="3"/>
    <x v="2"/>
    <x v="1"/>
    <x v="2"/>
    <x v="6"/>
    <n v="4644"/>
    <x v="208"/>
    <x v="211"/>
    <n v="0.10231158484065461"/>
    <x v="1"/>
    <x v="2"/>
    <n v="2023"/>
    <x v="204"/>
    <n v="5572.8000000000011"/>
    <x v="1"/>
    <n v="16675.46"/>
    <x v="1"/>
    <x v="0"/>
    <x v="1"/>
  </r>
  <r>
    <s v="ORD1212"/>
    <d v="2023-07-25T00:00:00"/>
    <x v="0"/>
    <x v="4"/>
    <x v="1"/>
    <x v="15"/>
    <x v="6"/>
    <n v="726"/>
    <x v="209"/>
    <x v="212"/>
    <n v="0.16185950413223141"/>
    <x v="2"/>
    <x v="10"/>
    <n v="2023"/>
    <x v="205"/>
    <n v="871.2"/>
    <x v="1"/>
    <n v="2433.96"/>
    <x v="1"/>
    <x v="0"/>
    <x v="2"/>
  </r>
  <r>
    <s v="ORD1213"/>
    <d v="2023-11-15T00:00:00"/>
    <x v="1"/>
    <x v="1"/>
    <x v="1"/>
    <x v="1"/>
    <x v="6"/>
    <n v="1963"/>
    <x v="210"/>
    <x v="213"/>
    <n v="0.17492995415180845"/>
    <x v="2"/>
    <x v="3"/>
    <n v="2023"/>
    <x v="206"/>
    <n v="2355.6000000000004"/>
    <x v="1"/>
    <n v="6478.45"/>
    <x v="1"/>
    <x v="0"/>
    <x v="2"/>
  </r>
  <r>
    <s v="ORD1214"/>
    <d v="2023-07-24T00:00:00"/>
    <x v="2"/>
    <x v="1"/>
    <x v="3"/>
    <x v="7"/>
    <x v="0"/>
    <n v="783"/>
    <x v="211"/>
    <x v="214"/>
    <n v="0.1327618135376756"/>
    <x v="2"/>
    <x v="10"/>
    <n v="2023"/>
    <x v="207"/>
    <n v="1879.2000000000007"/>
    <x v="0"/>
    <n v="5432.38"/>
    <x v="0"/>
    <x v="1"/>
    <x v="2"/>
  </r>
  <r>
    <s v="ORD1215"/>
    <d v="2023-06-15T00:00:00"/>
    <x v="3"/>
    <x v="0"/>
    <x v="1"/>
    <x v="2"/>
    <x v="7"/>
    <n v="1589"/>
    <x v="212"/>
    <x v="215"/>
    <n v="0.24569855254877282"/>
    <x v="2"/>
    <x v="2"/>
    <n v="2023"/>
    <x v="208"/>
    <n v="953.40000000000009"/>
    <x v="1"/>
    <n v="2397.17"/>
    <x v="2"/>
    <x v="0"/>
    <x v="2"/>
  </r>
  <r>
    <s v="ORD1216"/>
    <d v="2023-09-24T00:00:00"/>
    <x v="1"/>
    <x v="0"/>
    <x v="3"/>
    <x v="12"/>
    <x v="8"/>
    <n v="2243"/>
    <x v="213"/>
    <x v="216"/>
    <n v="0.2125724476148016"/>
    <x v="2"/>
    <x v="5"/>
    <n v="2023"/>
    <x v="209"/>
    <n v="672.90000000000009"/>
    <x v="1"/>
    <n v="1766.1999999999998"/>
    <x v="2"/>
    <x v="0"/>
    <x v="2"/>
  </r>
  <r>
    <s v="ORD1217"/>
    <d v="2023-03-21T00:00:00"/>
    <x v="1"/>
    <x v="2"/>
    <x v="2"/>
    <x v="8"/>
    <x v="8"/>
    <n v="3136"/>
    <x v="214"/>
    <x v="217"/>
    <n v="0.17705357142857142"/>
    <x v="2"/>
    <x v="4"/>
    <n v="2023"/>
    <x v="210"/>
    <n v="940.80000000000018"/>
    <x v="1"/>
    <n v="2580.7599999999998"/>
    <x v="2"/>
    <x v="0"/>
    <x v="2"/>
  </r>
  <r>
    <s v="ORD1218"/>
    <d v="2023-01-02T00:00:00"/>
    <x v="2"/>
    <x v="4"/>
    <x v="2"/>
    <x v="8"/>
    <x v="0"/>
    <n v="4537"/>
    <x v="215"/>
    <x v="218"/>
    <n v="0.13549840202777166"/>
    <x v="0"/>
    <x v="6"/>
    <n v="2023"/>
    <x v="211"/>
    <n v="10888.800000000003"/>
    <x v="0"/>
    <n v="31377.95"/>
    <x v="0"/>
    <x v="1"/>
    <x v="0"/>
  </r>
  <r>
    <s v="ORD1219"/>
    <d v="2023-06-15T00:00:00"/>
    <x v="0"/>
    <x v="3"/>
    <x v="3"/>
    <x v="12"/>
    <x v="8"/>
    <n v="1117"/>
    <x v="216"/>
    <x v="219"/>
    <n v="0.13475380483437779"/>
    <x v="2"/>
    <x v="2"/>
    <n v="2023"/>
    <x v="212"/>
    <n v="335.1"/>
    <x v="1"/>
    <n v="966.48"/>
    <x v="2"/>
    <x v="0"/>
    <x v="2"/>
  </r>
  <r>
    <s v="ORD1220"/>
    <d v="2023-11-01T00:00:00"/>
    <x v="3"/>
    <x v="0"/>
    <x v="1"/>
    <x v="2"/>
    <x v="7"/>
    <n v="4438"/>
    <x v="217"/>
    <x v="220"/>
    <n v="0.11402546191978369"/>
    <x v="2"/>
    <x v="3"/>
    <n v="2023"/>
    <x v="213"/>
    <n v="2662.8"/>
    <x v="1"/>
    <n v="7863.91"/>
    <x v="2"/>
    <x v="0"/>
    <x v="2"/>
  </r>
  <r>
    <s v="ORD1221"/>
    <d v="2023-12-25T00:00:00"/>
    <x v="0"/>
    <x v="4"/>
    <x v="3"/>
    <x v="4"/>
    <x v="2"/>
    <n v="2256"/>
    <x v="218"/>
    <x v="221"/>
    <n v="0.23915632387706853"/>
    <x v="1"/>
    <x v="7"/>
    <n v="2023"/>
    <x v="32"/>
    <n v="4060.8000000000011"/>
    <x v="0"/>
    <n v="10298.780000000001"/>
    <x v="1"/>
    <x v="0"/>
    <x v="1"/>
  </r>
  <r>
    <s v="ORD1222"/>
    <d v="2023-11-14T00:00:00"/>
    <x v="3"/>
    <x v="0"/>
    <x v="1"/>
    <x v="1"/>
    <x v="0"/>
    <n v="4111"/>
    <x v="219"/>
    <x v="222"/>
    <n v="0.20139473364144977"/>
    <x v="0"/>
    <x v="3"/>
    <n v="2023"/>
    <x v="214"/>
    <n v="9866.4000000000015"/>
    <x v="0"/>
    <n v="26264.53"/>
    <x v="0"/>
    <x v="0"/>
    <x v="0"/>
  </r>
  <r>
    <s v="ORD1223"/>
    <d v="2023-11-10T00:00:00"/>
    <x v="1"/>
    <x v="3"/>
    <x v="0"/>
    <x v="16"/>
    <x v="6"/>
    <n v="407"/>
    <x v="220"/>
    <x v="223"/>
    <n v="0.17308968058968061"/>
    <x v="2"/>
    <x v="3"/>
    <n v="2023"/>
    <x v="215"/>
    <n v="488.40000000000009"/>
    <x v="1"/>
    <n v="1346.2099999999998"/>
    <x v="1"/>
    <x v="0"/>
    <x v="2"/>
  </r>
  <r>
    <s v="ORD1224"/>
    <d v="2023-01-12T00:00:00"/>
    <x v="0"/>
    <x v="2"/>
    <x v="0"/>
    <x v="16"/>
    <x v="3"/>
    <n v="4309"/>
    <x v="221"/>
    <x v="224"/>
    <n v="9.3877156339444573E-2"/>
    <x v="0"/>
    <x v="6"/>
    <n v="2023"/>
    <x v="216"/>
    <n v="11634.300000000003"/>
    <x v="0"/>
    <n v="35140.35"/>
    <x v="0"/>
    <x v="0"/>
    <x v="0"/>
  </r>
  <r>
    <s v="ORD1225"/>
    <d v="2023-08-26T00:00:00"/>
    <x v="3"/>
    <x v="1"/>
    <x v="3"/>
    <x v="12"/>
    <x v="4"/>
    <n v="2369"/>
    <x v="222"/>
    <x v="225"/>
    <n v="0.13593358660475588"/>
    <x v="2"/>
    <x v="9"/>
    <n v="2023"/>
    <x v="217"/>
    <n v="2132.1000000000004"/>
    <x v="1"/>
    <n v="6140.92"/>
    <x v="2"/>
    <x v="0"/>
    <x v="2"/>
  </r>
  <r>
    <s v="ORD1226"/>
    <d v="2023-11-03T00:00:00"/>
    <x v="3"/>
    <x v="3"/>
    <x v="2"/>
    <x v="8"/>
    <x v="5"/>
    <n v="2556"/>
    <x v="223"/>
    <x v="226"/>
    <n v="0.19198021462105969"/>
    <x v="1"/>
    <x v="3"/>
    <n v="2023"/>
    <x v="218"/>
    <n v="5367.6000000000022"/>
    <x v="0"/>
    <n v="14457.090000000002"/>
    <x v="0"/>
    <x v="0"/>
    <x v="1"/>
  </r>
  <r>
    <s v="ORD1227"/>
    <d v="2023-11-08T00:00:00"/>
    <x v="2"/>
    <x v="0"/>
    <x v="1"/>
    <x v="2"/>
    <x v="4"/>
    <n v="861"/>
    <x v="224"/>
    <x v="227"/>
    <n v="0.13649245063879209"/>
    <x v="2"/>
    <x v="3"/>
    <n v="2023"/>
    <x v="219"/>
    <n v="774.90000000000009"/>
    <x v="1"/>
    <n v="2230.44"/>
    <x v="2"/>
    <x v="1"/>
    <x v="2"/>
  </r>
  <r>
    <s v="ORD1228"/>
    <d v="2023-07-26T00:00:00"/>
    <x v="2"/>
    <x v="2"/>
    <x v="0"/>
    <x v="0"/>
    <x v="4"/>
    <n v="4330"/>
    <x v="225"/>
    <x v="228"/>
    <n v="0.11749576597382602"/>
    <x v="1"/>
    <x v="10"/>
    <n v="2023"/>
    <x v="220"/>
    <n v="3897"/>
    <x v="1"/>
    <n v="11463.73"/>
    <x v="2"/>
    <x v="1"/>
    <x v="1"/>
  </r>
  <r>
    <s v="ORD1229"/>
    <d v="2023-01-24T00:00:00"/>
    <x v="3"/>
    <x v="1"/>
    <x v="3"/>
    <x v="7"/>
    <x v="1"/>
    <n v="358"/>
    <x v="226"/>
    <x v="229"/>
    <n v="0.15070391061452512"/>
    <x v="2"/>
    <x v="6"/>
    <n v="2023"/>
    <x v="221"/>
    <n v="537"/>
    <x v="1"/>
    <n v="1520.24"/>
    <x v="1"/>
    <x v="0"/>
    <x v="2"/>
  </r>
  <r>
    <s v="ORD1230"/>
    <d v="2023-06-26T00:00:00"/>
    <x v="0"/>
    <x v="4"/>
    <x v="2"/>
    <x v="3"/>
    <x v="6"/>
    <n v="1155"/>
    <x v="227"/>
    <x v="230"/>
    <n v="8.6818181818181822E-2"/>
    <x v="2"/>
    <x v="2"/>
    <n v="2023"/>
    <x v="222"/>
    <n v="1386"/>
    <x v="1"/>
    <n v="4218.9000000000005"/>
    <x v="1"/>
    <x v="0"/>
    <x v="2"/>
  </r>
  <r>
    <s v="ORD1231"/>
    <d v="2023-09-19T00:00:00"/>
    <x v="0"/>
    <x v="3"/>
    <x v="2"/>
    <x v="6"/>
    <x v="1"/>
    <n v="4011"/>
    <x v="228"/>
    <x v="231"/>
    <n v="0.22848217402144103"/>
    <x v="0"/>
    <x v="5"/>
    <n v="2023"/>
    <x v="223"/>
    <n v="6016.5"/>
    <x v="1"/>
    <n v="15472.79"/>
    <x v="1"/>
    <x v="0"/>
    <x v="0"/>
  </r>
  <r>
    <s v="ORD1232"/>
    <d v="2023-08-25T00:00:00"/>
    <x v="1"/>
    <x v="1"/>
    <x v="0"/>
    <x v="16"/>
    <x v="2"/>
    <n v="4932"/>
    <x v="229"/>
    <x v="232"/>
    <n v="0.11581271965396053"/>
    <x v="0"/>
    <x v="9"/>
    <n v="2023"/>
    <x v="224"/>
    <n v="8877.6000000000022"/>
    <x v="0"/>
    <n v="26164.87"/>
    <x v="1"/>
    <x v="0"/>
    <x v="0"/>
  </r>
  <r>
    <s v="ORD1233"/>
    <d v="2023-03-28T00:00:00"/>
    <x v="1"/>
    <x v="2"/>
    <x v="0"/>
    <x v="9"/>
    <x v="4"/>
    <n v="3791"/>
    <x v="230"/>
    <x v="233"/>
    <n v="0.14890266420469533"/>
    <x v="1"/>
    <x v="4"/>
    <n v="2023"/>
    <x v="225"/>
    <n v="3411.9000000000005"/>
    <x v="1"/>
    <n v="9679.5300000000007"/>
    <x v="2"/>
    <x v="0"/>
    <x v="1"/>
  </r>
  <r>
    <s v="ORD1234"/>
    <d v="2023-02-10T00:00:00"/>
    <x v="1"/>
    <x v="2"/>
    <x v="1"/>
    <x v="2"/>
    <x v="7"/>
    <n v="574"/>
    <x v="231"/>
    <x v="234"/>
    <n v="0.15021777003484318"/>
    <x v="2"/>
    <x v="8"/>
    <n v="2023"/>
    <x v="226"/>
    <n v="344.40000000000009"/>
    <x v="1"/>
    <n v="975.55000000000007"/>
    <x v="2"/>
    <x v="0"/>
    <x v="2"/>
  </r>
  <r>
    <s v="ORD1235"/>
    <d v="2023-05-10T00:00:00"/>
    <x v="0"/>
    <x v="4"/>
    <x v="3"/>
    <x v="4"/>
    <x v="0"/>
    <n v="2478"/>
    <x v="232"/>
    <x v="235"/>
    <n v="0.14106991525423729"/>
    <x v="1"/>
    <x v="0"/>
    <n v="2023"/>
    <x v="227"/>
    <n v="5947.2000000000007"/>
    <x v="0"/>
    <n v="17027.43"/>
    <x v="0"/>
    <x v="0"/>
    <x v="1"/>
  </r>
  <r>
    <s v="ORD1236"/>
    <d v="2023-08-17T00:00:00"/>
    <x v="2"/>
    <x v="4"/>
    <x v="0"/>
    <x v="9"/>
    <x v="3"/>
    <n v="227"/>
    <x v="233"/>
    <x v="236"/>
    <n v="0.12388154674498288"/>
    <x v="2"/>
    <x v="9"/>
    <n v="2023"/>
    <x v="228"/>
    <n v="612.90000000000009"/>
    <x v="0"/>
    <n v="1789.91"/>
    <x v="0"/>
    <x v="1"/>
    <x v="2"/>
  </r>
  <r>
    <s v="ORD1237"/>
    <d v="2023-10-14T00:00:00"/>
    <x v="0"/>
    <x v="3"/>
    <x v="2"/>
    <x v="3"/>
    <x v="0"/>
    <n v="4596"/>
    <x v="234"/>
    <x v="237"/>
    <n v="0.12029482158398608"/>
    <x v="0"/>
    <x v="1"/>
    <n v="2023"/>
    <x v="229"/>
    <n v="11030.400000000001"/>
    <x v="0"/>
    <n v="32345"/>
    <x v="0"/>
    <x v="0"/>
    <x v="0"/>
  </r>
  <r>
    <s v="ORD1238"/>
    <d v="2023-09-21T00:00:00"/>
    <x v="0"/>
    <x v="2"/>
    <x v="0"/>
    <x v="11"/>
    <x v="3"/>
    <n v="1480"/>
    <x v="235"/>
    <x v="238"/>
    <n v="0.15640390390390391"/>
    <x v="1"/>
    <x v="5"/>
    <n v="2023"/>
    <x v="230"/>
    <n v="3996"/>
    <x v="0"/>
    <n v="11236.7"/>
    <x v="0"/>
    <x v="0"/>
    <x v="1"/>
  </r>
  <r>
    <s v="ORD1239"/>
    <d v="2023-06-24T00:00:00"/>
    <x v="2"/>
    <x v="2"/>
    <x v="3"/>
    <x v="12"/>
    <x v="2"/>
    <n v="1507"/>
    <x v="236"/>
    <x v="239"/>
    <n v="8.6234240212342397E-2"/>
    <x v="2"/>
    <x v="2"/>
    <n v="2023"/>
    <x v="231"/>
    <n v="2712.6000000000004"/>
    <x v="0"/>
    <n v="8262.27"/>
    <x v="1"/>
    <x v="1"/>
    <x v="2"/>
  </r>
  <r>
    <s v="ORD1240"/>
    <d v="2023-06-05T00:00:00"/>
    <x v="0"/>
    <x v="2"/>
    <x v="3"/>
    <x v="12"/>
    <x v="8"/>
    <n v="1855"/>
    <x v="237"/>
    <x v="240"/>
    <n v="0.21696495956873316"/>
    <x v="2"/>
    <x v="2"/>
    <n v="2023"/>
    <x v="232"/>
    <n v="556.5"/>
    <x v="1"/>
    <n v="1452.53"/>
    <x v="2"/>
    <x v="0"/>
    <x v="2"/>
  </r>
  <r>
    <s v="ORD1241"/>
    <d v="2023-10-20T00:00:00"/>
    <x v="3"/>
    <x v="3"/>
    <x v="0"/>
    <x v="9"/>
    <x v="6"/>
    <n v="4153"/>
    <x v="238"/>
    <x v="71"/>
    <n v="0.24773777991813148"/>
    <x v="1"/>
    <x v="1"/>
    <n v="2023"/>
    <x v="233"/>
    <n v="4983.6000000000004"/>
    <x v="1"/>
    <n v="12496.58"/>
    <x v="1"/>
    <x v="0"/>
    <x v="1"/>
  </r>
  <r>
    <s v="ORD1242"/>
    <d v="2023-09-02T00:00:00"/>
    <x v="0"/>
    <x v="5"/>
    <x v="3"/>
    <x v="12"/>
    <x v="5"/>
    <n v="1258"/>
    <x v="239"/>
    <x v="241"/>
    <n v="0.15687372246195777"/>
    <x v="2"/>
    <x v="5"/>
    <n v="2023"/>
    <x v="234"/>
    <n v="2641.8000000000011"/>
    <x v="0"/>
    <n v="7424.57"/>
    <x v="0"/>
    <x v="0"/>
    <x v="2"/>
  </r>
  <r>
    <s v="ORD1243"/>
    <d v="2023-10-03T00:00:00"/>
    <x v="2"/>
    <x v="3"/>
    <x v="3"/>
    <x v="12"/>
    <x v="4"/>
    <n v="1429"/>
    <x v="240"/>
    <x v="242"/>
    <n v="0.19699556799626777"/>
    <x v="2"/>
    <x v="1"/>
    <n v="2023"/>
    <x v="235"/>
    <n v="1286.1000000000004"/>
    <x v="1"/>
    <n v="3442.48"/>
    <x v="2"/>
    <x v="1"/>
    <x v="2"/>
  </r>
  <r>
    <s v="ORD1244"/>
    <d v="2023-07-04T00:00:00"/>
    <x v="0"/>
    <x v="0"/>
    <x v="2"/>
    <x v="13"/>
    <x v="7"/>
    <n v="4512"/>
    <x v="241"/>
    <x v="243"/>
    <n v="0.18865026595744683"/>
    <x v="2"/>
    <x v="10"/>
    <n v="2023"/>
    <x v="74"/>
    <n v="2707.2000000000007"/>
    <x v="1"/>
    <n v="7321.62"/>
    <x v="2"/>
    <x v="0"/>
    <x v="2"/>
  </r>
  <r>
    <s v="ORD1245"/>
    <d v="2023-05-06T00:00:00"/>
    <x v="2"/>
    <x v="2"/>
    <x v="1"/>
    <x v="15"/>
    <x v="2"/>
    <n v="4123"/>
    <x v="242"/>
    <x v="244"/>
    <n v="0.10137602069690356"/>
    <x v="0"/>
    <x v="0"/>
    <n v="2023"/>
    <x v="236"/>
    <n v="7421.4000000000015"/>
    <x v="0"/>
    <n v="22230.16"/>
    <x v="1"/>
    <x v="1"/>
    <x v="0"/>
  </r>
  <r>
    <s v="ORD1246"/>
    <d v="2023-09-21T00:00:00"/>
    <x v="2"/>
    <x v="1"/>
    <x v="2"/>
    <x v="6"/>
    <x v="5"/>
    <n v="2233"/>
    <x v="243"/>
    <x v="245"/>
    <n v="0.1120190646791632"/>
    <x v="1"/>
    <x v="5"/>
    <n v="2023"/>
    <x v="176"/>
    <n v="4689.3000000000011"/>
    <x v="0"/>
    <n v="13880.029999999999"/>
    <x v="0"/>
    <x v="1"/>
    <x v="1"/>
  </r>
  <r>
    <s v="ORD1247"/>
    <d v="2023-04-24T00:00:00"/>
    <x v="1"/>
    <x v="4"/>
    <x v="0"/>
    <x v="10"/>
    <x v="7"/>
    <n v="2674"/>
    <x v="244"/>
    <x v="246"/>
    <n v="0.19615183246073298"/>
    <x v="2"/>
    <x v="11"/>
    <n v="2023"/>
    <x v="237"/>
    <n v="1604.4"/>
    <x v="1"/>
    <n v="4298.9800000000005"/>
    <x v="2"/>
    <x v="0"/>
    <x v="2"/>
  </r>
  <r>
    <s v="ORD1248"/>
    <d v="2023-11-24T00:00:00"/>
    <x v="2"/>
    <x v="2"/>
    <x v="1"/>
    <x v="1"/>
    <x v="0"/>
    <n v="4152"/>
    <x v="245"/>
    <x v="247"/>
    <n v="8.5165883911368007E-2"/>
    <x v="0"/>
    <x v="3"/>
    <n v="2023"/>
    <x v="66"/>
    <n v="9964.8000000000029"/>
    <x v="0"/>
    <n v="30387.13"/>
    <x v="0"/>
    <x v="1"/>
    <x v="0"/>
  </r>
  <r>
    <s v="ORD1249"/>
    <d v="2023-12-27T00:00:00"/>
    <x v="1"/>
    <x v="2"/>
    <x v="3"/>
    <x v="12"/>
    <x v="4"/>
    <n v="3324"/>
    <x v="246"/>
    <x v="248"/>
    <n v="0.19338547934215805"/>
    <x v="2"/>
    <x v="7"/>
    <n v="2023"/>
    <x v="49"/>
    <n v="2991.6000000000004"/>
    <x v="1"/>
    <n v="8043.5599999999995"/>
    <x v="2"/>
    <x v="0"/>
    <x v="2"/>
  </r>
  <r>
    <s v="ORD1250"/>
    <d v="2023-06-18T00:00:00"/>
    <x v="2"/>
    <x v="1"/>
    <x v="1"/>
    <x v="2"/>
    <x v="2"/>
    <n v="774"/>
    <x v="247"/>
    <x v="249"/>
    <n v="0.24611972437553833"/>
    <x v="2"/>
    <x v="2"/>
    <n v="2023"/>
    <x v="238"/>
    <n v="1393.2000000000003"/>
    <x v="0"/>
    <n v="3501.02"/>
    <x v="1"/>
    <x v="1"/>
    <x v="2"/>
  </r>
  <r>
    <s v="ORD1251"/>
    <d v="2023-04-12T00:00:00"/>
    <x v="1"/>
    <x v="2"/>
    <x v="3"/>
    <x v="12"/>
    <x v="3"/>
    <n v="1547"/>
    <x v="248"/>
    <x v="250"/>
    <n v="0.19058679882209295"/>
    <x v="1"/>
    <x v="11"/>
    <n v="2023"/>
    <x v="239"/>
    <n v="4176.9000000000015"/>
    <x v="0"/>
    <n v="11269.46"/>
    <x v="0"/>
    <x v="0"/>
    <x v="1"/>
  </r>
  <r>
    <s v="ORD1252"/>
    <d v="2023-10-06T00:00:00"/>
    <x v="0"/>
    <x v="1"/>
    <x v="1"/>
    <x v="15"/>
    <x v="2"/>
    <n v="3753"/>
    <x v="249"/>
    <x v="251"/>
    <n v="0.20958832933653079"/>
    <x v="0"/>
    <x v="1"/>
    <n v="2023"/>
    <x v="240"/>
    <n v="6755.4000000000015"/>
    <x v="0"/>
    <n v="17798.489999999998"/>
    <x v="1"/>
    <x v="0"/>
    <x v="0"/>
  </r>
  <r>
    <s v="ORD1253"/>
    <d v="2023-08-01T00:00:00"/>
    <x v="0"/>
    <x v="4"/>
    <x v="0"/>
    <x v="9"/>
    <x v="0"/>
    <n v="1021"/>
    <x v="250"/>
    <x v="252"/>
    <n v="0.19034280117531832"/>
    <x v="2"/>
    <x v="9"/>
    <n v="2023"/>
    <x v="241"/>
    <n v="2450.4000000000005"/>
    <x v="0"/>
    <n v="6613.28"/>
    <x v="0"/>
    <x v="0"/>
    <x v="2"/>
  </r>
  <r>
    <s v="ORD1254"/>
    <d v="2023-11-12T00:00:00"/>
    <x v="2"/>
    <x v="4"/>
    <x v="2"/>
    <x v="6"/>
    <x v="5"/>
    <n v="2390"/>
    <x v="251"/>
    <x v="253"/>
    <n v="0.19822952779438135"/>
    <x v="1"/>
    <x v="3"/>
    <n v="2023"/>
    <x v="242"/>
    <n v="5019"/>
    <x v="0"/>
    <n v="13413.62"/>
    <x v="0"/>
    <x v="1"/>
    <x v="1"/>
  </r>
  <r>
    <s v="ORD1255"/>
    <d v="2023-04-20T00:00:00"/>
    <x v="1"/>
    <x v="3"/>
    <x v="3"/>
    <x v="12"/>
    <x v="8"/>
    <n v="3538"/>
    <x v="252"/>
    <x v="254"/>
    <n v="0.18258620689655172"/>
    <x v="2"/>
    <x v="11"/>
    <n v="2023"/>
    <x v="243"/>
    <n v="1061.4000000000001"/>
    <x v="1"/>
    <n v="2892.01"/>
    <x v="2"/>
    <x v="0"/>
    <x v="2"/>
  </r>
  <r>
    <s v="ORD1256"/>
    <d v="2023-11-24T00:00:00"/>
    <x v="3"/>
    <x v="3"/>
    <x v="1"/>
    <x v="2"/>
    <x v="3"/>
    <n v="1226"/>
    <x v="253"/>
    <x v="255"/>
    <n v="0.17220137756026827"/>
    <x v="1"/>
    <x v="3"/>
    <n v="2023"/>
    <x v="244"/>
    <n v="3310.2000000000007"/>
    <x v="0"/>
    <n v="9133.93"/>
    <x v="0"/>
    <x v="0"/>
    <x v="1"/>
  </r>
  <r>
    <s v="ORD1257"/>
    <d v="2023-05-13T00:00:00"/>
    <x v="1"/>
    <x v="1"/>
    <x v="1"/>
    <x v="1"/>
    <x v="1"/>
    <n v="1377"/>
    <x v="254"/>
    <x v="256"/>
    <n v="9.8515613652868553E-2"/>
    <x v="2"/>
    <x v="0"/>
    <n v="2023"/>
    <x v="245"/>
    <n v="2065.5"/>
    <x v="1"/>
    <n v="6206.72"/>
    <x v="1"/>
    <x v="0"/>
    <x v="2"/>
  </r>
  <r>
    <s v="ORD1258"/>
    <d v="2023-12-09T00:00:00"/>
    <x v="1"/>
    <x v="3"/>
    <x v="0"/>
    <x v="0"/>
    <x v="6"/>
    <n v="3030"/>
    <x v="255"/>
    <x v="257"/>
    <n v="0.14704207920792081"/>
    <x v="1"/>
    <x v="7"/>
    <n v="2023"/>
    <x v="246"/>
    <n v="3636"/>
    <x v="1"/>
    <n v="10337.85"/>
    <x v="1"/>
    <x v="0"/>
    <x v="1"/>
  </r>
  <r>
    <s v="ORD1259"/>
    <d v="2023-12-02T00:00:00"/>
    <x v="0"/>
    <x v="1"/>
    <x v="2"/>
    <x v="13"/>
    <x v="1"/>
    <n v="606"/>
    <x v="256"/>
    <x v="258"/>
    <n v="0.15324752475247524"/>
    <x v="2"/>
    <x v="7"/>
    <n v="2023"/>
    <x v="247"/>
    <n v="909"/>
    <x v="1"/>
    <n v="2565.66"/>
    <x v="1"/>
    <x v="0"/>
    <x v="2"/>
  </r>
  <r>
    <s v="ORD1260"/>
    <d v="2023-11-20T00:00:00"/>
    <x v="2"/>
    <x v="1"/>
    <x v="2"/>
    <x v="13"/>
    <x v="3"/>
    <n v="914"/>
    <x v="257"/>
    <x v="259"/>
    <n v="0.14461220520301482"/>
    <x v="2"/>
    <x v="3"/>
    <n v="2023"/>
    <x v="248"/>
    <n v="2467.8000000000002"/>
    <x v="0"/>
    <n v="7036.420000000001"/>
    <x v="0"/>
    <x v="1"/>
    <x v="2"/>
  </r>
  <r>
    <s v="ORD1261"/>
    <d v="2023-02-21T00:00:00"/>
    <x v="1"/>
    <x v="0"/>
    <x v="1"/>
    <x v="15"/>
    <x v="7"/>
    <n v="1163"/>
    <x v="258"/>
    <x v="260"/>
    <n v="0.1236500429922614"/>
    <x v="2"/>
    <x v="8"/>
    <n v="2023"/>
    <x v="249"/>
    <n v="697.80000000000018"/>
    <x v="1"/>
    <n v="2038.39"/>
    <x v="2"/>
    <x v="0"/>
    <x v="2"/>
  </r>
  <r>
    <s v="ORD1262"/>
    <d v="2023-05-26T00:00:00"/>
    <x v="1"/>
    <x v="4"/>
    <x v="3"/>
    <x v="4"/>
    <x v="4"/>
    <n v="305"/>
    <x v="259"/>
    <x v="261"/>
    <n v="0.18375956284153003"/>
    <x v="2"/>
    <x v="0"/>
    <n v="2023"/>
    <x v="250"/>
    <n v="274.5"/>
    <x v="1"/>
    <n v="746.86"/>
    <x v="2"/>
    <x v="0"/>
    <x v="2"/>
  </r>
  <r>
    <s v="ORD1263"/>
    <d v="2023-12-17T00:00:00"/>
    <x v="3"/>
    <x v="3"/>
    <x v="3"/>
    <x v="14"/>
    <x v="3"/>
    <n v="4645"/>
    <x v="260"/>
    <x v="262"/>
    <n v="0.11079535940676953"/>
    <x v="0"/>
    <x v="7"/>
    <n v="2023"/>
    <x v="251"/>
    <n v="12541.5"/>
    <x v="0"/>
    <n v="37173.199999999997"/>
    <x v="0"/>
    <x v="0"/>
    <x v="0"/>
  </r>
  <r>
    <s v="ORD1264"/>
    <d v="2023-10-25T00:00:00"/>
    <x v="3"/>
    <x v="2"/>
    <x v="0"/>
    <x v="9"/>
    <x v="5"/>
    <n v="2559"/>
    <x v="261"/>
    <x v="263"/>
    <n v="0.21487913805616032"/>
    <x v="1"/>
    <x v="1"/>
    <n v="2023"/>
    <x v="252"/>
    <n v="5373.9"/>
    <x v="0"/>
    <n v="14063.87"/>
    <x v="0"/>
    <x v="0"/>
    <x v="1"/>
  </r>
  <r>
    <s v="ORD1265"/>
    <d v="2023-06-21T00:00:00"/>
    <x v="3"/>
    <x v="1"/>
    <x v="2"/>
    <x v="3"/>
    <x v="2"/>
    <n v="1998"/>
    <x v="262"/>
    <x v="264"/>
    <n v="0.21867701034367701"/>
    <x v="1"/>
    <x v="2"/>
    <n v="2023"/>
    <x v="253"/>
    <n v="3596.4000000000015"/>
    <x v="0"/>
    <n v="9366.5"/>
    <x v="1"/>
    <x v="0"/>
    <x v="1"/>
  </r>
  <r>
    <s v="ORD1266"/>
    <d v="2023-01-26T00:00:00"/>
    <x v="2"/>
    <x v="3"/>
    <x v="1"/>
    <x v="15"/>
    <x v="5"/>
    <n v="1500"/>
    <x v="263"/>
    <x v="265"/>
    <n v="0.2303152380952381"/>
    <x v="1"/>
    <x v="6"/>
    <n v="2023"/>
    <x v="254"/>
    <n v="3150"/>
    <x v="0"/>
    <n v="8081.69"/>
    <x v="0"/>
    <x v="1"/>
    <x v="1"/>
  </r>
  <r>
    <s v="ORD1267"/>
    <d v="2023-06-01T00:00:00"/>
    <x v="3"/>
    <x v="4"/>
    <x v="2"/>
    <x v="6"/>
    <x v="3"/>
    <n v="1860"/>
    <x v="264"/>
    <x v="266"/>
    <n v="0.23400119474313022"/>
    <x v="1"/>
    <x v="2"/>
    <n v="2023"/>
    <x v="255"/>
    <n v="5022"/>
    <x v="0"/>
    <n v="12822.82"/>
    <x v="0"/>
    <x v="0"/>
    <x v="1"/>
  </r>
  <r>
    <s v="ORD1268"/>
    <d v="2023-04-10T00:00:00"/>
    <x v="3"/>
    <x v="3"/>
    <x v="1"/>
    <x v="15"/>
    <x v="1"/>
    <n v="4345"/>
    <x v="265"/>
    <x v="267"/>
    <n v="0.20443268124280783"/>
    <x v="0"/>
    <x v="11"/>
    <n v="2023"/>
    <x v="256"/>
    <n v="6517.5"/>
    <x v="1"/>
    <n v="17283.699999999997"/>
    <x v="1"/>
    <x v="0"/>
    <x v="0"/>
  </r>
  <r>
    <s v="ORD1269"/>
    <d v="2023-03-10T00:00:00"/>
    <x v="0"/>
    <x v="4"/>
    <x v="3"/>
    <x v="7"/>
    <x v="4"/>
    <n v="3240"/>
    <x v="266"/>
    <x v="268"/>
    <n v="0.152070987654321"/>
    <x v="2"/>
    <x v="4"/>
    <n v="2023"/>
    <x v="257"/>
    <n v="2916"/>
    <x v="1"/>
    <n v="8241.869999999999"/>
    <x v="2"/>
    <x v="0"/>
    <x v="2"/>
  </r>
  <r>
    <s v="ORD1270"/>
    <d v="2023-05-30T00:00:00"/>
    <x v="3"/>
    <x v="1"/>
    <x v="0"/>
    <x v="0"/>
    <x v="7"/>
    <n v="4968"/>
    <x v="267"/>
    <x v="269"/>
    <n v="0.11684581320450886"/>
    <x v="2"/>
    <x v="0"/>
    <n v="2023"/>
    <x v="258"/>
    <n v="2980.8"/>
    <x v="1"/>
    <n v="8775.02"/>
    <x v="2"/>
    <x v="0"/>
    <x v="2"/>
  </r>
  <r>
    <s v="ORD1271"/>
    <d v="2023-03-19T00:00:00"/>
    <x v="2"/>
    <x v="1"/>
    <x v="0"/>
    <x v="16"/>
    <x v="5"/>
    <n v="1746"/>
    <x v="268"/>
    <x v="270"/>
    <n v="0.11943135329733268"/>
    <x v="1"/>
    <x v="4"/>
    <n v="2023"/>
    <x v="259"/>
    <n v="3666.6000000000022"/>
    <x v="0"/>
    <n v="10762.31"/>
    <x v="0"/>
    <x v="1"/>
    <x v="1"/>
  </r>
  <r>
    <s v="ORD1272"/>
    <d v="2023-09-20T00:00:00"/>
    <x v="2"/>
    <x v="3"/>
    <x v="3"/>
    <x v="7"/>
    <x v="3"/>
    <n v="969"/>
    <x v="269"/>
    <x v="271"/>
    <n v="0.12667239995413371"/>
    <x v="2"/>
    <x v="5"/>
    <n v="2023"/>
    <x v="260"/>
    <n v="2616.3000000000002"/>
    <x v="0"/>
    <n v="7616.29"/>
    <x v="0"/>
    <x v="1"/>
    <x v="2"/>
  </r>
  <r>
    <s v="ORD1273"/>
    <d v="2023-10-07T00:00:00"/>
    <x v="3"/>
    <x v="0"/>
    <x v="0"/>
    <x v="11"/>
    <x v="2"/>
    <n v="4208"/>
    <x v="270"/>
    <x v="272"/>
    <n v="0.19771427439797212"/>
    <x v="0"/>
    <x v="1"/>
    <n v="2023"/>
    <x v="261"/>
    <n v="7574.4000000000015"/>
    <x v="0"/>
    <n v="20256.11"/>
    <x v="1"/>
    <x v="0"/>
    <x v="0"/>
  </r>
  <r>
    <s v="ORD1274"/>
    <d v="2023-04-19T00:00:00"/>
    <x v="1"/>
    <x v="2"/>
    <x v="2"/>
    <x v="10"/>
    <x v="2"/>
    <n v="2801"/>
    <x v="271"/>
    <x v="273"/>
    <n v="0.23393906937998332"/>
    <x v="1"/>
    <x v="11"/>
    <n v="2023"/>
    <x v="262"/>
    <n v="5041.8000000000011"/>
    <x v="0"/>
    <n v="12874.42"/>
    <x v="1"/>
    <x v="0"/>
    <x v="1"/>
  </r>
  <r>
    <s v="ORD1275"/>
    <d v="2023-03-11T00:00:00"/>
    <x v="2"/>
    <x v="2"/>
    <x v="2"/>
    <x v="8"/>
    <x v="8"/>
    <n v="272"/>
    <x v="272"/>
    <x v="274"/>
    <n v="0.13496323529411766"/>
    <x v="2"/>
    <x v="4"/>
    <n v="2023"/>
    <x v="263"/>
    <n v="81.600000000000023"/>
    <x v="1"/>
    <n v="235.29"/>
    <x v="2"/>
    <x v="1"/>
    <x v="2"/>
  </r>
  <r>
    <s v="ORD1276"/>
    <d v="2023-06-09T00:00:00"/>
    <x v="2"/>
    <x v="3"/>
    <x v="3"/>
    <x v="12"/>
    <x v="7"/>
    <n v="2764"/>
    <x v="273"/>
    <x v="275"/>
    <n v="9.1888567293777132E-2"/>
    <x v="2"/>
    <x v="2"/>
    <n v="2023"/>
    <x v="264"/>
    <n v="1658.4"/>
    <x v="1"/>
    <n v="5020.04"/>
    <x v="2"/>
    <x v="1"/>
    <x v="2"/>
  </r>
  <r>
    <s v="ORD1277"/>
    <d v="2023-08-03T00:00:00"/>
    <x v="3"/>
    <x v="3"/>
    <x v="0"/>
    <x v="11"/>
    <x v="4"/>
    <n v="541"/>
    <x v="274"/>
    <x v="276"/>
    <n v="0.1938139248305607"/>
    <x v="2"/>
    <x v="9"/>
    <n v="2023"/>
    <x v="156"/>
    <n v="486.90000000000009"/>
    <x v="1"/>
    <n v="1308.44"/>
    <x v="2"/>
    <x v="0"/>
    <x v="2"/>
  </r>
  <r>
    <s v="ORD1278"/>
    <d v="2023-04-26T00:00:00"/>
    <x v="3"/>
    <x v="2"/>
    <x v="1"/>
    <x v="5"/>
    <x v="4"/>
    <n v="2601"/>
    <x v="275"/>
    <x v="277"/>
    <n v="0.15587978982442649"/>
    <x v="2"/>
    <x v="11"/>
    <n v="2023"/>
    <x v="265"/>
    <n v="2340.9000000000005"/>
    <x v="1"/>
    <n v="6586.67"/>
    <x v="2"/>
    <x v="0"/>
    <x v="2"/>
  </r>
  <r>
    <s v="ORD1279"/>
    <d v="2023-10-30T00:00:00"/>
    <x v="2"/>
    <x v="3"/>
    <x v="1"/>
    <x v="1"/>
    <x v="1"/>
    <n v="2068"/>
    <x v="276"/>
    <x v="278"/>
    <n v="0.18794294003868472"/>
    <x v="1"/>
    <x v="1"/>
    <n v="2023"/>
    <x v="266"/>
    <n v="3102"/>
    <x v="1"/>
    <n v="8396.67"/>
    <x v="1"/>
    <x v="1"/>
    <x v="1"/>
  </r>
  <r>
    <s v="ORD1280"/>
    <d v="2023-05-25T00:00:00"/>
    <x v="3"/>
    <x v="2"/>
    <x v="1"/>
    <x v="2"/>
    <x v="3"/>
    <n v="2302"/>
    <x v="277"/>
    <x v="279"/>
    <n v="0.20854763973356499"/>
    <x v="0"/>
    <x v="0"/>
    <n v="2023"/>
    <x v="267"/>
    <n v="6215.4000000000015"/>
    <x v="0"/>
    <n v="16397.309999999998"/>
    <x v="0"/>
    <x v="0"/>
    <x v="0"/>
  </r>
  <r>
    <s v="ORD1281"/>
    <d v="2023-10-06T00:00:00"/>
    <x v="3"/>
    <x v="0"/>
    <x v="2"/>
    <x v="3"/>
    <x v="4"/>
    <n v="1879"/>
    <x v="278"/>
    <x v="280"/>
    <n v="0.14502927088877063"/>
    <x v="2"/>
    <x v="1"/>
    <n v="2023"/>
    <x v="268"/>
    <n v="1691.1000000000004"/>
    <x v="1"/>
    <n v="4819.47"/>
    <x v="2"/>
    <x v="0"/>
    <x v="2"/>
  </r>
  <r>
    <s v="ORD1282"/>
    <d v="2023-11-17T00:00:00"/>
    <x v="2"/>
    <x v="1"/>
    <x v="2"/>
    <x v="6"/>
    <x v="1"/>
    <n v="4143"/>
    <x v="279"/>
    <x v="281"/>
    <n v="0.2106618392469225"/>
    <x v="0"/>
    <x v="3"/>
    <n v="2023"/>
    <x v="269"/>
    <n v="6214.5"/>
    <x v="1"/>
    <n v="16351.140000000001"/>
    <x v="1"/>
    <x v="1"/>
    <x v="0"/>
  </r>
  <r>
    <s v="ORD1283"/>
    <d v="2023-06-10T00:00:00"/>
    <x v="2"/>
    <x v="2"/>
    <x v="2"/>
    <x v="6"/>
    <x v="2"/>
    <n v="4751"/>
    <x v="280"/>
    <x v="282"/>
    <n v="0.20839612713113029"/>
    <x v="0"/>
    <x v="2"/>
    <n v="2023"/>
    <x v="270"/>
    <n v="8551.8000000000029"/>
    <x v="0"/>
    <n v="22565.46"/>
    <x v="1"/>
    <x v="1"/>
    <x v="0"/>
  </r>
  <r>
    <s v="ORD1284"/>
    <d v="2023-05-31T00:00:00"/>
    <x v="1"/>
    <x v="1"/>
    <x v="1"/>
    <x v="1"/>
    <x v="7"/>
    <n v="2756"/>
    <x v="281"/>
    <x v="283"/>
    <n v="8.6146589259796805E-2"/>
    <x v="2"/>
    <x v="0"/>
    <n v="2023"/>
    <x v="271"/>
    <n v="1653.6000000000004"/>
    <x v="1"/>
    <n v="5037.16"/>
    <x v="2"/>
    <x v="0"/>
    <x v="2"/>
  </r>
  <r>
    <s v="ORD1285"/>
    <d v="2023-11-27T00:00:00"/>
    <x v="0"/>
    <x v="2"/>
    <x v="1"/>
    <x v="5"/>
    <x v="1"/>
    <n v="3017"/>
    <x v="282"/>
    <x v="284"/>
    <n v="0.23928273118992377"/>
    <x v="1"/>
    <x v="3"/>
    <n v="2023"/>
    <x v="272"/>
    <n v="4525.5"/>
    <x v="1"/>
    <n v="11475.42"/>
    <x v="1"/>
    <x v="0"/>
    <x v="1"/>
  </r>
  <r>
    <s v="ORD1286"/>
    <d v="2023-05-23T00:00:00"/>
    <x v="1"/>
    <x v="2"/>
    <x v="1"/>
    <x v="15"/>
    <x v="6"/>
    <n v="4606"/>
    <x v="283"/>
    <x v="285"/>
    <n v="0.1075"/>
    <x v="1"/>
    <x v="0"/>
    <n v="2023"/>
    <x v="273"/>
    <n v="5527.2000000000007"/>
    <x v="1"/>
    <n v="16443.419999999998"/>
    <x v="1"/>
    <x v="0"/>
    <x v="1"/>
  </r>
  <r>
    <s v="ORD1287"/>
    <d v="2023-10-18T00:00:00"/>
    <x v="1"/>
    <x v="3"/>
    <x v="3"/>
    <x v="14"/>
    <x v="8"/>
    <n v="4337"/>
    <x v="284"/>
    <x v="286"/>
    <n v="0.17175466912612405"/>
    <x v="2"/>
    <x v="1"/>
    <n v="2023"/>
    <x v="274"/>
    <n v="1301.1000000000004"/>
    <x v="1"/>
    <n v="3592.1"/>
    <x v="2"/>
    <x v="0"/>
    <x v="2"/>
  </r>
  <r>
    <s v="ORD1288"/>
    <d v="2023-01-14T00:00:00"/>
    <x v="2"/>
    <x v="1"/>
    <x v="1"/>
    <x v="2"/>
    <x v="2"/>
    <n v="3338"/>
    <x v="285"/>
    <x v="287"/>
    <n v="0.21430497303774718"/>
    <x v="0"/>
    <x v="6"/>
    <n v="2023"/>
    <x v="275"/>
    <n v="6008.4000000000015"/>
    <x v="0"/>
    <n v="15735.9"/>
    <x v="1"/>
    <x v="1"/>
    <x v="0"/>
  </r>
  <r>
    <s v="ORD1289"/>
    <d v="2023-10-03T00:00:00"/>
    <x v="1"/>
    <x v="3"/>
    <x v="0"/>
    <x v="11"/>
    <x v="7"/>
    <n v="3178"/>
    <x v="286"/>
    <x v="288"/>
    <n v="0.13883731906859662"/>
    <x v="2"/>
    <x v="1"/>
    <n v="2023"/>
    <x v="276"/>
    <n v="1906.8000000000002"/>
    <x v="1"/>
    <n v="5473.55"/>
    <x v="2"/>
    <x v="0"/>
    <x v="2"/>
  </r>
  <r>
    <s v="ORD1290"/>
    <d v="2023-11-17T00:00:00"/>
    <x v="1"/>
    <x v="1"/>
    <x v="3"/>
    <x v="7"/>
    <x v="3"/>
    <n v="4459"/>
    <x v="287"/>
    <x v="289"/>
    <n v="0.18308315267498942"/>
    <x v="0"/>
    <x v="3"/>
    <n v="2023"/>
    <x v="277"/>
    <n v="12039.300000000003"/>
    <x v="0"/>
    <n v="32783.69"/>
    <x v="0"/>
    <x v="0"/>
    <x v="0"/>
  </r>
  <r>
    <s v="ORD1291"/>
    <d v="2023-05-21T00:00:00"/>
    <x v="2"/>
    <x v="3"/>
    <x v="2"/>
    <x v="13"/>
    <x v="4"/>
    <n v="2160"/>
    <x v="288"/>
    <x v="290"/>
    <n v="0.22028395061728395"/>
    <x v="2"/>
    <x v="0"/>
    <n v="2023"/>
    <x v="278"/>
    <n v="1944"/>
    <x v="1"/>
    <n v="5052.5599999999995"/>
    <x v="2"/>
    <x v="1"/>
    <x v="2"/>
  </r>
  <r>
    <s v="ORD1292"/>
    <d v="2023-03-09T00:00:00"/>
    <x v="2"/>
    <x v="2"/>
    <x v="2"/>
    <x v="8"/>
    <x v="7"/>
    <n v="1163"/>
    <x v="258"/>
    <x v="291"/>
    <n v="0.10297936371453138"/>
    <x v="2"/>
    <x v="4"/>
    <n v="2023"/>
    <x v="249"/>
    <n v="697.80000000000018"/>
    <x v="1"/>
    <n v="2086.4699999999998"/>
    <x v="2"/>
    <x v="1"/>
    <x v="2"/>
  </r>
  <r>
    <s v="ORD1293"/>
    <d v="2023-06-09T00:00:00"/>
    <x v="2"/>
    <x v="0"/>
    <x v="2"/>
    <x v="3"/>
    <x v="6"/>
    <n v="3236"/>
    <x v="289"/>
    <x v="292"/>
    <n v="9.7962762669962913E-2"/>
    <x v="1"/>
    <x v="2"/>
    <n v="2023"/>
    <x v="279"/>
    <n v="3883.2000000000007"/>
    <x v="1"/>
    <n v="11675.97"/>
    <x v="1"/>
    <x v="1"/>
    <x v="1"/>
  </r>
  <r>
    <s v="ORD1294"/>
    <d v="2023-05-10T00:00:00"/>
    <x v="1"/>
    <x v="0"/>
    <x v="1"/>
    <x v="2"/>
    <x v="5"/>
    <n v="2153"/>
    <x v="290"/>
    <x v="293"/>
    <n v="0.15816601419945589"/>
    <x v="1"/>
    <x v="0"/>
    <n v="2023"/>
    <x v="280"/>
    <n v="4521.3000000000011"/>
    <x v="0"/>
    <n v="12687.28"/>
    <x v="0"/>
    <x v="0"/>
    <x v="1"/>
  </r>
  <r>
    <s v="ORD1295"/>
    <d v="2023-04-09T00:00:00"/>
    <x v="2"/>
    <x v="4"/>
    <x v="1"/>
    <x v="5"/>
    <x v="0"/>
    <n v="656"/>
    <x v="291"/>
    <x v="294"/>
    <n v="0.15315739329268294"/>
    <x v="2"/>
    <x v="11"/>
    <n v="2023"/>
    <x v="281"/>
    <n v="1574.4"/>
    <x v="0"/>
    <n v="4444.2299999999996"/>
    <x v="0"/>
    <x v="1"/>
    <x v="2"/>
  </r>
  <r>
    <s v="ORD1296"/>
    <d v="2023-09-17T00:00:00"/>
    <x v="3"/>
    <x v="4"/>
    <x v="2"/>
    <x v="6"/>
    <x v="4"/>
    <n v="599"/>
    <x v="292"/>
    <x v="295"/>
    <n v="9.0589872008903727E-2"/>
    <x v="2"/>
    <x v="5"/>
    <n v="2023"/>
    <x v="282"/>
    <n v="539.10000000000014"/>
    <x v="1"/>
    <n v="1634.2099999999998"/>
    <x v="2"/>
    <x v="0"/>
    <x v="2"/>
  </r>
  <r>
    <s v="ORD1297"/>
    <d v="2023-05-04T00:00:00"/>
    <x v="1"/>
    <x v="3"/>
    <x v="3"/>
    <x v="4"/>
    <x v="6"/>
    <n v="3492"/>
    <x v="293"/>
    <x v="296"/>
    <n v="0.18606242840778925"/>
    <x v="1"/>
    <x v="0"/>
    <n v="2023"/>
    <x v="283"/>
    <n v="4190.4000000000015"/>
    <x v="1"/>
    <n v="11369.08"/>
    <x v="1"/>
    <x v="0"/>
    <x v="1"/>
  </r>
  <r>
    <s v="ORD1298"/>
    <d v="2023-01-07T00:00:00"/>
    <x v="0"/>
    <x v="2"/>
    <x v="0"/>
    <x v="9"/>
    <x v="6"/>
    <n v="967"/>
    <x v="294"/>
    <x v="297"/>
    <n v="0.11308686659772493"/>
    <x v="2"/>
    <x v="6"/>
    <n v="2023"/>
    <x v="284"/>
    <n v="1160.4000000000001"/>
    <x v="1"/>
    <n v="3430.58"/>
    <x v="1"/>
    <x v="0"/>
    <x v="2"/>
  </r>
  <r>
    <s v="ORD1299"/>
    <d v="2023-05-13T00:00:00"/>
    <x v="1"/>
    <x v="3"/>
    <x v="1"/>
    <x v="2"/>
    <x v="5"/>
    <n v="1964"/>
    <x v="295"/>
    <x v="298"/>
    <n v="0.14580302589467559"/>
    <x v="1"/>
    <x v="0"/>
    <n v="2023"/>
    <x v="285"/>
    <n v="4124.3999999999996"/>
    <x v="0"/>
    <n v="11743.5"/>
    <x v="0"/>
    <x v="0"/>
    <x v="1"/>
  </r>
  <r>
    <s v="ORD1300"/>
    <d v="2023-05-29T00:00:00"/>
    <x v="1"/>
    <x v="3"/>
    <x v="1"/>
    <x v="15"/>
    <x v="1"/>
    <n v="2493"/>
    <x v="296"/>
    <x v="299"/>
    <n v="0.21435780184516645"/>
    <x v="1"/>
    <x v="0"/>
    <n v="2023"/>
    <x v="286"/>
    <n v="3739.5"/>
    <x v="1"/>
    <n v="9793.0300000000007"/>
    <x v="1"/>
    <x v="0"/>
    <x v="1"/>
  </r>
  <r>
    <s v="ORD1301"/>
    <d v="2023-08-30T00:00:00"/>
    <x v="2"/>
    <x v="5"/>
    <x v="2"/>
    <x v="13"/>
    <x v="1"/>
    <n v="3284"/>
    <x v="297"/>
    <x v="300"/>
    <n v="8.2060292326431181E-2"/>
    <x v="1"/>
    <x v="9"/>
    <n v="2023"/>
    <x v="287"/>
    <n v="4926.0000000000018"/>
    <x v="1"/>
    <n v="15072.57"/>
    <x v="1"/>
    <x v="1"/>
    <x v="1"/>
  </r>
  <r>
    <s v="ORD1302"/>
    <d v="2023-07-07T00:00:00"/>
    <x v="0"/>
    <x v="1"/>
    <x v="3"/>
    <x v="7"/>
    <x v="1"/>
    <n v="4468"/>
    <x v="298"/>
    <x v="301"/>
    <n v="8.7247538048343773E-2"/>
    <x v="0"/>
    <x v="10"/>
    <n v="2023"/>
    <x v="288"/>
    <n v="6702"/>
    <x v="1"/>
    <n v="20390.89"/>
    <x v="1"/>
    <x v="0"/>
    <x v="0"/>
  </r>
  <r>
    <s v="ORD1303"/>
    <d v="2023-07-15T00:00:00"/>
    <x v="1"/>
    <x v="2"/>
    <x v="2"/>
    <x v="3"/>
    <x v="5"/>
    <n v="4924"/>
    <x v="299"/>
    <x v="302"/>
    <n v="0.16300104444702332"/>
    <x v="0"/>
    <x v="10"/>
    <n v="2023"/>
    <x v="289"/>
    <n v="10340.400000000001"/>
    <x v="0"/>
    <n v="28849.68"/>
    <x v="0"/>
    <x v="0"/>
    <x v="0"/>
  </r>
  <r>
    <s v="ORD1304"/>
    <d v="2023-02-11T00:00:00"/>
    <x v="2"/>
    <x v="3"/>
    <x v="2"/>
    <x v="3"/>
    <x v="7"/>
    <n v="4004"/>
    <x v="300"/>
    <x v="303"/>
    <n v="0.14706043956043957"/>
    <x v="2"/>
    <x v="8"/>
    <n v="2023"/>
    <x v="290"/>
    <n v="2402.4000000000005"/>
    <x v="1"/>
    <n v="6830.34"/>
    <x v="2"/>
    <x v="1"/>
    <x v="2"/>
  </r>
  <r>
    <s v="ORD1305"/>
    <d v="2023-05-09T00:00:00"/>
    <x v="1"/>
    <x v="2"/>
    <x v="3"/>
    <x v="12"/>
    <x v="3"/>
    <n v="216"/>
    <x v="301"/>
    <x v="304"/>
    <n v="0.19197530864197529"/>
    <x v="2"/>
    <x v="0"/>
    <n v="2023"/>
    <x v="39"/>
    <n v="583.20000000000005"/>
    <x v="0"/>
    <n v="1570.8"/>
    <x v="0"/>
    <x v="0"/>
    <x v="2"/>
  </r>
  <r>
    <s v="ORD1306"/>
    <d v="2023-08-20T00:00:00"/>
    <x v="2"/>
    <x v="2"/>
    <x v="2"/>
    <x v="8"/>
    <x v="8"/>
    <n v="441"/>
    <x v="302"/>
    <x v="305"/>
    <n v="8.6530612244897956E-2"/>
    <x v="2"/>
    <x v="9"/>
    <n v="2023"/>
    <x v="291"/>
    <n v="132.30000000000001"/>
    <x v="1"/>
    <n v="402.84"/>
    <x v="2"/>
    <x v="1"/>
    <x v="2"/>
  </r>
  <r>
    <s v="ORD1307"/>
    <d v="2023-07-19T00:00:00"/>
    <x v="2"/>
    <x v="4"/>
    <x v="0"/>
    <x v="16"/>
    <x v="7"/>
    <n v="975"/>
    <x v="303"/>
    <x v="306"/>
    <n v="0.23216923076923077"/>
    <x v="2"/>
    <x v="10"/>
    <n v="2023"/>
    <x v="292"/>
    <n v="585"/>
    <x v="1"/>
    <n v="1497.27"/>
    <x v="2"/>
    <x v="1"/>
    <x v="2"/>
  </r>
  <r>
    <s v="ORD1308"/>
    <d v="2023-07-19T00:00:00"/>
    <x v="2"/>
    <x v="0"/>
    <x v="2"/>
    <x v="13"/>
    <x v="0"/>
    <n v="2348"/>
    <x v="304"/>
    <x v="307"/>
    <n v="8.8131388415672918E-2"/>
    <x v="1"/>
    <x v="10"/>
    <n v="2023"/>
    <x v="293"/>
    <n v="5635.2000000000007"/>
    <x v="0"/>
    <n v="17128.54"/>
    <x v="0"/>
    <x v="1"/>
    <x v="1"/>
  </r>
  <r>
    <s v="ORD1309"/>
    <d v="2023-01-17T00:00:00"/>
    <x v="2"/>
    <x v="2"/>
    <x v="3"/>
    <x v="12"/>
    <x v="4"/>
    <n v="607"/>
    <x v="305"/>
    <x v="308"/>
    <n v="9.7913234486545861E-2"/>
    <x v="2"/>
    <x v="6"/>
    <n v="2023"/>
    <x v="294"/>
    <n v="546.30000000000018"/>
    <x v="1"/>
    <n v="1642.7"/>
    <x v="2"/>
    <x v="1"/>
    <x v="2"/>
  </r>
  <r>
    <s v="ORD1310"/>
    <d v="2023-07-30T00:00:00"/>
    <x v="0"/>
    <x v="0"/>
    <x v="3"/>
    <x v="14"/>
    <x v="6"/>
    <n v="1874"/>
    <x v="306"/>
    <x v="309"/>
    <n v="0.24502801494130202"/>
    <x v="2"/>
    <x v="10"/>
    <n v="2023"/>
    <x v="295"/>
    <n v="2248.8000000000002"/>
    <x v="1"/>
    <n v="5659.27"/>
    <x v="1"/>
    <x v="0"/>
    <x v="2"/>
  </r>
  <r>
    <s v="ORD1311"/>
    <d v="2023-12-18T00:00:00"/>
    <x v="3"/>
    <x v="3"/>
    <x v="2"/>
    <x v="13"/>
    <x v="1"/>
    <n v="972"/>
    <x v="307"/>
    <x v="310"/>
    <n v="0.19225102880658437"/>
    <x v="2"/>
    <x v="7"/>
    <n v="2023"/>
    <x v="296"/>
    <n v="1458"/>
    <x v="1"/>
    <n v="3925.66"/>
    <x v="1"/>
    <x v="0"/>
    <x v="2"/>
  </r>
  <r>
    <s v="ORD1312"/>
    <d v="2023-12-26T00:00:00"/>
    <x v="2"/>
    <x v="4"/>
    <x v="1"/>
    <x v="15"/>
    <x v="8"/>
    <n v="1446"/>
    <x v="308"/>
    <x v="311"/>
    <n v="0.21302213001383125"/>
    <x v="2"/>
    <x v="7"/>
    <n v="2023"/>
    <x v="297"/>
    <n v="433.80000000000007"/>
    <x v="1"/>
    <n v="1137.97"/>
    <x v="2"/>
    <x v="1"/>
    <x v="2"/>
  </r>
  <r>
    <s v="ORD1313"/>
    <d v="2023-11-20T00:00:00"/>
    <x v="1"/>
    <x v="4"/>
    <x v="1"/>
    <x v="15"/>
    <x v="7"/>
    <n v="1162"/>
    <x v="309"/>
    <x v="312"/>
    <n v="0.1006368330464716"/>
    <x v="2"/>
    <x v="3"/>
    <n v="2023"/>
    <x v="298"/>
    <n v="697.2"/>
    <x v="1"/>
    <n v="2090.12"/>
    <x v="2"/>
    <x v="0"/>
    <x v="2"/>
  </r>
  <r>
    <s v="ORD1314"/>
    <d v="2023-09-23T00:00:00"/>
    <x v="2"/>
    <x v="2"/>
    <x v="3"/>
    <x v="12"/>
    <x v="5"/>
    <n v="4485"/>
    <x v="310"/>
    <x v="313"/>
    <n v="0.23228858098423316"/>
    <x v="0"/>
    <x v="5"/>
    <n v="2023"/>
    <x v="299"/>
    <n v="9418.5"/>
    <x v="0"/>
    <n v="24102.3"/>
    <x v="0"/>
    <x v="1"/>
    <x v="0"/>
  </r>
  <r>
    <s v="ORD1315"/>
    <d v="2023-06-30T00:00:00"/>
    <x v="3"/>
    <x v="2"/>
    <x v="2"/>
    <x v="13"/>
    <x v="0"/>
    <n v="969"/>
    <x v="311"/>
    <x v="314"/>
    <n v="0.18231940144478842"/>
    <x v="2"/>
    <x v="2"/>
    <n v="2023"/>
    <x v="260"/>
    <n v="2325.6000000000004"/>
    <x v="0"/>
    <n v="6338.66"/>
    <x v="0"/>
    <x v="0"/>
    <x v="2"/>
  </r>
  <r>
    <s v="ORD1316"/>
    <d v="2023-06-02T00:00:00"/>
    <x v="3"/>
    <x v="0"/>
    <x v="1"/>
    <x v="15"/>
    <x v="8"/>
    <n v="1135"/>
    <x v="312"/>
    <x v="315"/>
    <n v="0.1817533039647577"/>
    <x v="2"/>
    <x v="2"/>
    <n v="2023"/>
    <x v="300"/>
    <n v="340.5"/>
    <x v="1"/>
    <n v="928.71"/>
    <x v="2"/>
    <x v="0"/>
    <x v="2"/>
  </r>
  <r>
    <s v="ORD1317"/>
    <d v="2023-08-01T00:00:00"/>
    <x v="3"/>
    <x v="0"/>
    <x v="1"/>
    <x v="1"/>
    <x v="3"/>
    <n v="3897"/>
    <x v="313"/>
    <x v="316"/>
    <n v="0.24032275539588857"/>
    <x v="0"/>
    <x v="9"/>
    <n v="2023"/>
    <x v="301"/>
    <n v="10521.900000000001"/>
    <x v="0"/>
    <n v="26644.16"/>
    <x v="0"/>
    <x v="0"/>
    <x v="0"/>
  </r>
  <r>
    <s v="ORD1318"/>
    <d v="2023-02-01T00:00:00"/>
    <x v="1"/>
    <x v="4"/>
    <x v="1"/>
    <x v="5"/>
    <x v="0"/>
    <n v="4188"/>
    <x v="314"/>
    <x v="317"/>
    <n v="0.12860404727793695"/>
    <x v="0"/>
    <x v="8"/>
    <n v="2023"/>
    <x v="302"/>
    <n v="10051.200000000001"/>
    <x v="0"/>
    <n v="29195.25"/>
    <x v="0"/>
    <x v="0"/>
    <x v="0"/>
  </r>
  <r>
    <s v="ORD1319"/>
    <d v="2023-05-29T00:00:00"/>
    <x v="1"/>
    <x v="2"/>
    <x v="2"/>
    <x v="8"/>
    <x v="7"/>
    <n v="2396"/>
    <x v="315"/>
    <x v="318"/>
    <n v="0.2083576794657763"/>
    <x v="2"/>
    <x v="0"/>
    <n v="2023"/>
    <x v="303"/>
    <n v="1437.6000000000004"/>
    <x v="1"/>
    <n v="3793.5499999999997"/>
    <x v="2"/>
    <x v="0"/>
    <x v="2"/>
  </r>
  <r>
    <s v="ORD1320"/>
    <d v="2023-01-22T00:00:00"/>
    <x v="3"/>
    <x v="1"/>
    <x v="2"/>
    <x v="13"/>
    <x v="2"/>
    <n v="861"/>
    <x v="316"/>
    <x v="319"/>
    <n v="0.24739450251645373"/>
    <x v="2"/>
    <x v="6"/>
    <n v="2023"/>
    <x v="219"/>
    <n v="1549.8000000000002"/>
    <x v="0"/>
    <n v="3887.9600000000005"/>
    <x v="1"/>
    <x v="0"/>
    <x v="2"/>
  </r>
  <r>
    <s v="ORD1321"/>
    <d v="2023-10-10T00:00:00"/>
    <x v="1"/>
    <x v="0"/>
    <x v="3"/>
    <x v="7"/>
    <x v="7"/>
    <n v="4508"/>
    <x v="317"/>
    <x v="320"/>
    <n v="0.20341614906832298"/>
    <x v="2"/>
    <x v="1"/>
    <n v="2023"/>
    <x v="304"/>
    <n v="2704.8"/>
    <x v="1"/>
    <n v="7182"/>
    <x v="2"/>
    <x v="0"/>
    <x v="2"/>
  </r>
  <r>
    <s v="ORD1322"/>
    <d v="2023-12-19T00:00:00"/>
    <x v="3"/>
    <x v="0"/>
    <x v="0"/>
    <x v="0"/>
    <x v="2"/>
    <n v="3954"/>
    <x v="318"/>
    <x v="321"/>
    <n v="0.2088914179733603"/>
    <x v="0"/>
    <x v="7"/>
    <n v="2023"/>
    <x v="305"/>
    <n v="7117.2000000000007"/>
    <x v="0"/>
    <n v="18768.259999999998"/>
    <x v="1"/>
    <x v="0"/>
    <x v="0"/>
  </r>
  <r>
    <s v="ORD1323"/>
    <d v="2023-10-22T00:00:00"/>
    <x v="3"/>
    <x v="4"/>
    <x v="0"/>
    <x v="11"/>
    <x v="4"/>
    <n v="222"/>
    <x v="319"/>
    <x v="322"/>
    <n v="0.19711711711711713"/>
    <x v="2"/>
    <x v="1"/>
    <n v="2023"/>
    <x v="306"/>
    <n v="199.80000000000007"/>
    <x v="1"/>
    <n v="534.72"/>
    <x v="2"/>
    <x v="0"/>
    <x v="2"/>
  </r>
  <r>
    <s v="ORD1324"/>
    <d v="2023-03-13T00:00:00"/>
    <x v="2"/>
    <x v="2"/>
    <x v="2"/>
    <x v="8"/>
    <x v="0"/>
    <n v="561"/>
    <x v="320"/>
    <x v="323"/>
    <n v="0.17486631016042781"/>
    <x v="2"/>
    <x v="4"/>
    <n v="2023"/>
    <x v="307"/>
    <n v="1346.4"/>
    <x v="0"/>
    <n v="3703.2000000000003"/>
    <x v="0"/>
    <x v="1"/>
    <x v="2"/>
  </r>
  <r>
    <s v="ORD1325"/>
    <d v="2023-01-10T00:00:00"/>
    <x v="2"/>
    <x v="0"/>
    <x v="3"/>
    <x v="4"/>
    <x v="8"/>
    <n v="2055"/>
    <x v="321"/>
    <x v="324"/>
    <n v="0.21600973236009732"/>
    <x v="2"/>
    <x v="6"/>
    <n v="2023"/>
    <x v="308"/>
    <n v="616.5"/>
    <x v="1"/>
    <n v="1611.1"/>
    <x v="2"/>
    <x v="1"/>
    <x v="2"/>
  </r>
  <r>
    <s v="ORD1326"/>
    <d v="2023-03-27T00:00:00"/>
    <x v="1"/>
    <x v="3"/>
    <x v="0"/>
    <x v="11"/>
    <x v="3"/>
    <n v="2359"/>
    <x v="322"/>
    <x v="325"/>
    <n v="0.21324478357119306"/>
    <x v="0"/>
    <x v="4"/>
    <n v="2023"/>
    <x v="309"/>
    <n v="6369.3000000000011"/>
    <x v="0"/>
    <n v="16703.600000000002"/>
    <x v="0"/>
    <x v="0"/>
    <x v="0"/>
  </r>
  <r>
    <s v="ORD1327"/>
    <d v="2023-01-20T00:00:00"/>
    <x v="0"/>
    <x v="0"/>
    <x v="1"/>
    <x v="10"/>
    <x v="8"/>
    <n v="1237"/>
    <x v="323"/>
    <x v="326"/>
    <n v="0.20742118027485851"/>
    <x v="2"/>
    <x v="6"/>
    <n v="2023"/>
    <x v="310"/>
    <n v="371.1"/>
    <x v="1"/>
    <n v="980.42000000000007"/>
    <x v="2"/>
    <x v="0"/>
    <x v="2"/>
  </r>
  <r>
    <s v="ORD1328"/>
    <d v="2023-07-05T00:00:00"/>
    <x v="3"/>
    <x v="1"/>
    <x v="0"/>
    <x v="16"/>
    <x v="2"/>
    <n v="4095"/>
    <x v="324"/>
    <x v="327"/>
    <n v="0.16534839234839235"/>
    <x v="0"/>
    <x v="10"/>
    <n v="2023"/>
    <x v="311"/>
    <n v="7371"/>
    <x v="0"/>
    <n v="20507.39"/>
    <x v="1"/>
    <x v="0"/>
    <x v="0"/>
  </r>
  <r>
    <s v="ORD1329"/>
    <d v="2023-10-20T00:00:00"/>
    <x v="1"/>
    <x v="1"/>
    <x v="2"/>
    <x v="3"/>
    <x v="0"/>
    <n v="1213"/>
    <x v="325"/>
    <x v="328"/>
    <n v="0.18081718878812861"/>
    <x v="2"/>
    <x v="1"/>
    <n v="2023"/>
    <x v="312"/>
    <n v="2911.2000000000007"/>
    <x v="0"/>
    <n v="7949.35"/>
    <x v="0"/>
    <x v="0"/>
    <x v="2"/>
  </r>
  <r>
    <s v="ORD1330"/>
    <d v="2023-09-17T00:00:00"/>
    <x v="3"/>
    <x v="4"/>
    <x v="1"/>
    <x v="1"/>
    <x v="5"/>
    <n v="2652"/>
    <x v="326"/>
    <x v="329"/>
    <n v="8.4942361560008617E-2"/>
    <x v="1"/>
    <x v="5"/>
    <n v="2023"/>
    <x v="313"/>
    <n v="5569.2000000000007"/>
    <x v="0"/>
    <n v="16987.129999999997"/>
    <x v="0"/>
    <x v="0"/>
    <x v="1"/>
  </r>
  <r>
    <s v="ORD1331"/>
    <d v="2023-08-09T00:00:00"/>
    <x v="1"/>
    <x v="0"/>
    <x v="3"/>
    <x v="14"/>
    <x v="8"/>
    <n v="3390"/>
    <x v="327"/>
    <x v="330"/>
    <n v="0.22862536873156342"/>
    <x v="2"/>
    <x v="9"/>
    <n v="2023"/>
    <x v="314"/>
    <n v="1017"/>
    <x v="1"/>
    <n v="2614.96"/>
    <x v="2"/>
    <x v="0"/>
    <x v="2"/>
  </r>
  <r>
    <s v="ORD1332"/>
    <d v="2023-01-24T00:00:00"/>
    <x v="1"/>
    <x v="3"/>
    <x v="2"/>
    <x v="8"/>
    <x v="5"/>
    <n v="3147"/>
    <x v="328"/>
    <x v="331"/>
    <n v="8.8976803304734661E-2"/>
    <x v="0"/>
    <x v="6"/>
    <n v="2023"/>
    <x v="315"/>
    <n v="6608.7000000000025"/>
    <x v="0"/>
    <n v="20068.93"/>
    <x v="0"/>
    <x v="0"/>
    <x v="0"/>
  </r>
  <r>
    <s v="ORD1333"/>
    <d v="2023-07-30T00:00:00"/>
    <x v="1"/>
    <x v="1"/>
    <x v="0"/>
    <x v="16"/>
    <x v="4"/>
    <n v="4088"/>
    <x v="329"/>
    <x v="332"/>
    <n v="0.18820368558382258"/>
    <x v="1"/>
    <x v="10"/>
    <n v="2023"/>
    <x v="316"/>
    <n v="3679.2000000000007"/>
    <x v="1"/>
    <n v="9955.869999999999"/>
    <x v="2"/>
    <x v="0"/>
    <x v="1"/>
  </r>
  <r>
    <s v="ORD1334"/>
    <d v="2023-01-19T00:00:00"/>
    <x v="3"/>
    <x v="1"/>
    <x v="2"/>
    <x v="6"/>
    <x v="2"/>
    <n v="3174"/>
    <x v="330"/>
    <x v="333"/>
    <n v="0.22027200168031924"/>
    <x v="1"/>
    <x v="6"/>
    <n v="2023"/>
    <x v="317"/>
    <n v="5713.2000000000007"/>
    <x v="0"/>
    <n v="14849.140000000001"/>
    <x v="1"/>
    <x v="0"/>
    <x v="1"/>
  </r>
  <r>
    <s v="ORD1335"/>
    <d v="2023-11-15T00:00:00"/>
    <x v="3"/>
    <x v="4"/>
    <x v="2"/>
    <x v="6"/>
    <x v="5"/>
    <n v="1406"/>
    <x v="331"/>
    <x v="334"/>
    <n v="0.12009550904287747"/>
    <x v="2"/>
    <x v="3"/>
    <n v="2023"/>
    <x v="318"/>
    <n v="2952.6000000000004"/>
    <x v="0"/>
    <n v="8660.02"/>
    <x v="0"/>
    <x v="0"/>
    <x v="2"/>
  </r>
  <r>
    <s v="ORD1336"/>
    <d v="2023-06-10T00:00:00"/>
    <x v="2"/>
    <x v="2"/>
    <x v="0"/>
    <x v="0"/>
    <x v="3"/>
    <n v="1219"/>
    <x v="332"/>
    <x v="335"/>
    <n v="0.13090511348099537"/>
    <x v="1"/>
    <x v="2"/>
    <n v="2023"/>
    <x v="319"/>
    <n v="3291.3"/>
    <x v="0"/>
    <n v="9534.84"/>
    <x v="0"/>
    <x v="1"/>
    <x v="1"/>
  </r>
  <r>
    <s v="ORD1337"/>
    <d v="2023-12-25T00:00:00"/>
    <x v="2"/>
    <x v="3"/>
    <x v="2"/>
    <x v="3"/>
    <x v="2"/>
    <n v="2325"/>
    <x v="333"/>
    <x v="336"/>
    <n v="0.20702724014336918"/>
    <x v="1"/>
    <x v="7"/>
    <n v="2023"/>
    <x v="320"/>
    <n v="4185"/>
    <x v="0"/>
    <n v="11061.970000000001"/>
    <x v="1"/>
    <x v="1"/>
    <x v="1"/>
  </r>
  <r>
    <s v="ORD1338"/>
    <d v="2023-02-19T00:00:00"/>
    <x v="0"/>
    <x v="1"/>
    <x v="2"/>
    <x v="8"/>
    <x v="3"/>
    <n v="699"/>
    <x v="334"/>
    <x v="337"/>
    <n v="0.14158003497059291"/>
    <x v="2"/>
    <x v="8"/>
    <n v="2023"/>
    <x v="321"/>
    <n v="1887.3000000000002"/>
    <x v="0"/>
    <n v="5400.32"/>
    <x v="0"/>
    <x v="0"/>
    <x v="2"/>
  </r>
  <r>
    <s v="ORD1339"/>
    <d v="2023-12-31T00:00:00"/>
    <x v="0"/>
    <x v="1"/>
    <x v="0"/>
    <x v="9"/>
    <x v="2"/>
    <n v="2957"/>
    <x v="335"/>
    <x v="338"/>
    <n v="0.16807349791455303"/>
    <x v="1"/>
    <x v="7"/>
    <n v="2023"/>
    <x v="322"/>
    <n v="5322.5999999999985"/>
    <x v="0"/>
    <n v="14760.039999999999"/>
    <x v="1"/>
    <x v="0"/>
    <x v="1"/>
  </r>
  <r>
    <s v="ORD1340"/>
    <d v="2023-02-18T00:00:00"/>
    <x v="2"/>
    <x v="3"/>
    <x v="0"/>
    <x v="11"/>
    <x v="4"/>
    <n v="4876"/>
    <x v="336"/>
    <x v="339"/>
    <n v="0.22312893081761004"/>
    <x v="1"/>
    <x v="8"/>
    <n v="2023"/>
    <x v="323"/>
    <n v="4388.4000000000015"/>
    <x v="1"/>
    <n v="11364.07"/>
    <x v="2"/>
    <x v="1"/>
    <x v="1"/>
  </r>
  <r>
    <s v="ORD1341"/>
    <d v="2023-08-19T00:00:00"/>
    <x v="0"/>
    <x v="3"/>
    <x v="2"/>
    <x v="8"/>
    <x v="6"/>
    <n v="1825"/>
    <x v="337"/>
    <x v="340"/>
    <n v="9.3702739726027398E-2"/>
    <x v="2"/>
    <x v="9"/>
    <n v="2023"/>
    <x v="324"/>
    <n v="2190"/>
    <x v="1"/>
    <n v="6615.97"/>
    <x v="1"/>
    <x v="0"/>
    <x v="2"/>
  </r>
  <r>
    <s v="ORD1342"/>
    <d v="2023-10-24T00:00:00"/>
    <x v="1"/>
    <x v="2"/>
    <x v="0"/>
    <x v="9"/>
    <x v="0"/>
    <n v="3584"/>
    <x v="338"/>
    <x v="341"/>
    <n v="8.1194893973214291E-2"/>
    <x v="0"/>
    <x v="1"/>
    <n v="2023"/>
    <x v="325"/>
    <n v="8601.6000000000022"/>
    <x v="0"/>
    <n v="26343.98"/>
    <x v="0"/>
    <x v="0"/>
    <x v="0"/>
  </r>
  <r>
    <s v="ORD1343"/>
    <d v="2023-02-05T00:00:00"/>
    <x v="2"/>
    <x v="5"/>
    <x v="2"/>
    <x v="3"/>
    <x v="3"/>
    <n v="1819"/>
    <x v="339"/>
    <x v="342"/>
    <n v="0.19168224299065423"/>
    <x v="1"/>
    <x v="8"/>
    <n v="2023"/>
    <x v="326"/>
    <n v="4911.3000000000011"/>
    <x v="0"/>
    <n v="13232.970000000001"/>
    <x v="0"/>
    <x v="1"/>
    <x v="1"/>
  </r>
  <r>
    <s v="ORD1344"/>
    <d v="2023-08-08T00:00:00"/>
    <x v="1"/>
    <x v="3"/>
    <x v="1"/>
    <x v="2"/>
    <x v="2"/>
    <n v="1443"/>
    <x v="340"/>
    <x v="343"/>
    <n v="0.12687225687225687"/>
    <x v="2"/>
    <x v="9"/>
    <n v="2023"/>
    <x v="76"/>
    <n v="2597.4000000000005"/>
    <x v="0"/>
    <n v="7559.54"/>
    <x v="1"/>
    <x v="0"/>
    <x v="2"/>
  </r>
  <r>
    <s v="ORD1345"/>
    <d v="2023-07-24T00:00:00"/>
    <x v="1"/>
    <x v="2"/>
    <x v="2"/>
    <x v="3"/>
    <x v="2"/>
    <n v="2214"/>
    <x v="341"/>
    <x v="344"/>
    <n v="0.15645588678109004"/>
    <x v="1"/>
    <x v="10"/>
    <n v="2023"/>
    <x v="327"/>
    <n v="3985.2000000000007"/>
    <x v="0"/>
    <n v="11205.64"/>
    <x v="1"/>
    <x v="0"/>
    <x v="1"/>
  </r>
  <r>
    <s v="ORD1346"/>
    <d v="2023-12-04T00:00:00"/>
    <x v="1"/>
    <x v="0"/>
    <x v="3"/>
    <x v="12"/>
    <x v="6"/>
    <n v="1919"/>
    <x v="342"/>
    <x v="345"/>
    <n v="8.7905158936946323E-2"/>
    <x v="2"/>
    <x v="7"/>
    <n v="2023"/>
    <x v="328"/>
    <n v="2302.8000000000002"/>
    <x v="1"/>
    <n v="7001.2400000000007"/>
    <x v="1"/>
    <x v="0"/>
    <x v="2"/>
  </r>
  <r>
    <s v="ORD1347"/>
    <d v="2023-01-07T00:00:00"/>
    <x v="1"/>
    <x v="3"/>
    <x v="3"/>
    <x v="12"/>
    <x v="6"/>
    <n v="889"/>
    <x v="343"/>
    <x v="346"/>
    <n v="0.14988751406074241"/>
    <x v="2"/>
    <x v="6"/>
    <n v="2023"/>
    <x v="329"/>
    <n v="1066.8000000000002"/>
    <x v="1"/>
    <n v="3023"/>
    <x v="1"/>
    <x v="0"/>
    <x v="2"/>
  </r>
  <r>
    <s v="ORD1348"/>
    <d v="2023-06-03T00:00:00"/>
    <x v="3"/>
    <x v="4"/>
    <x v="2"/>
    <x v="3"/>
    <x v="6"/>
    <n v="3926"/>
    <x v="344"/>
    <x v="347"/>
    <n v="0.22996306673458991"/>
    <x v="1"/>
    <x v="2"/>
    <n v="2023"/>
    <x v="167"/>
    <n v="4711.2000000000007"/>
    <x v="1"/>
    <n v="12092.66"/>
    <x v="1"/>
    <x v="0"/>
    <x v="1"/>
  </r>
  <r>
    <s v="ORD1349"/>
    <d v="2023-08-06T00:00:00"/>
    <x v="2"/>
    <x v="4"/>
    <x v="3"/>
    <x v="7"/>
    <x v="1"/>
    <n v="3852"/>
    <x v="345"/>
    <x v="348"/>
    <n v="0.19120976116303218"/>
    <x v="1"/>
    <x v="9"/>
    <n v="2023"/>
    <x v="330"/>
    <n v="5778.0000000000018"/>
    <x v="1"/>
    <n v="15577.300000000001"/>
    <x v="1"/>
    <x v="1"/>
    <x v="1"/>
  </r>
  <r>
    <s v="ORD1350"/>
    <d v="2023-06-10T00:00:00"/>
    <x v="1"/>
    <x v="1"/>
    <x v="0"/>
    <x v="16"/>
    <x v="3"/>
    <n v="4679"/>
    <x v="346"/>
    <x v="349"/>
    <n v="0.24445061860321529"/>
    <x v="0"/>
    <x v="2"/>
    <n v="2023"/>
    <x v="331"/>
    <n v="12633.300000000003"/>
    <x v="0"/>
    <n v="31816.940000000002"/>
    <x v="0"/>
    <x v="0"/>
    <x v="0"/>
  </r>
  <r>
    <s v="ORD1351"/>
    <d v="2023-03-22T00:00:00"/>
    <x v="3"/>
    <x v="1"/>
    <x v="2"/>
    <x v="13"/>
    <x v="3"/>
    <n v="797"/>
    <x v="347"/>
    <x v="350"/>
    <n v="0.17540777917189462"/>
    <x v="2"/>
    <x v="4"/>
    <n v="2023"/>
    <x v="332"/>
    <n v="2151.9000000000005"/>
    <x v="0"/>
    <n v="5914.7999999999993"/>
    <x v="0"/>
    <x v="0"/>
    <x v="2"/>
  </r>
  <r>
    <s v="ORD1352"/>
    <d v="2023-04-08T00:00:00"/>
    <x v="1"/>
    <x v="3"/>
    <x v="3"/>
    <x v="7"/>
    <x v="3"/>
    <n v="3869"/>
    <x v="348"/>
    <x v="351"/>
    <n v="0.17330260475000717"/>
    <x v="0"/>
    <x v="11"/>
    <n v="2023"/>
    <x v="333"/>
    <n v="10446.300000000003"/>
    <x v="0"/>
    <n v="28786.43"/>
    <x v="0"/>
    <x v="0"/>
    <x v="0"/>
  </r>
  <r>
    <s v="ORD1353"/>
    <d v="2023-04-22T00:00:00"/>
    <x v="2"/>
    <x v="3"/>
    <x v="3"/>
    <x v="7"/>
    <x v="1"/>
    <n v="3788"/>
    <x v="349"/>
    <x v="352"/>
    <n v="0.24076874340021118"/>
    <x v="1"/>
    <x v="11"/>
    <n v="2023"/>
    <x v="334"/>
    <n v="5682"/>
    <x v="1"/>
    <n v="14379.84"/>
    <x v="1"/>
    <x v="1"/>
    <x v="1"/>
  </r>
  <r>
    <s v="ORD1354"/>
    <d v="2023-03-17T00:00:00"/>
    <x v="3"/>
    <x v="2"/>
    <x v="1"/>
    <x v="2"/>
    <x v="4"/>
    <n v="4932"/>
    <x v="350"/>
    <x v="353"/>
    <n v="0.20737834549878345"/>
    <x v="1"/>
    <x v="4"/>
    <n v="2023"/>
    <x v="224"/>
    <n v="4438.8000000000011"/>
    <x v="1"/>
    <n v="11727.630000000001"/>
    <x v="2"/>
    <x v="0"/>
    <x v="1"/>
  </r>
  <r>
    <s v="ORD1355"/>
    <d v="2023-02-18T00:00:00"/>
    <x v="3"/>
    <x v="1"/>
    <x v="0"/>
    <x v="11"/>
    <x v="4"/>
    <n v="1927"/>
    <x v="351"/>
    <x v="354"/>
    <n v="0.21497837744334888"/>
    <x v="2"/>
    <x v="8"/>
    <n v="2023"/>
    <x v="335"/>
    <n v="1734.3000000000002"/>
    <x v="1"/>
    <n v="4538.21"/>
    <x v="2"/>
    <x v="0"/>
    <x v="2"/>
  </r>
  <r>
    <s v="ORD1356"/>
    <d v="2023-08-02T00:00:00"/>
    <x v="3"/>
    <x v="2"/>
    <x v="2"/>
    <x v="6"/>
    <x v="6"/>
    <n v="2991"/>
    <x v="352"/>
    <x v="355"/>
    <n v="0.22923102641257104"/>
    <x v="1"/>
    <x v="9"/>
    <n v="2023"/>
    <x v="336"/>
    <n v="3589.2000000000007"/>
    <x v="1"/>
    <n v="9221.4800000000014"/>
    <x v="1"/>
    <x v="0"/>
    <x v="1"/>
  </r>
  <r>
    <s v="ORD1357"/>
    <d v="2023-03-07T00:00:00"/>
    <x v="2"/>
    <x v="0"/>
    <x v="1"/>
    <x v="15"/>
    <x v="3"/>
    <n v="2305"/>
    <x v="353"/>
    <x v="356"/>
    <n v="0.20762400578452639"/>
    <x v="0"/>
    <x v="4"/>
    <n v="2023"/>
    <x v="337"/>
    <n v="6223.5"/>
    <x v="0"/>
    <n v="16437.84"/>
    <x v="0"/>
    <x v="1"/>
    <x v="0"/>
  </r>
  <r>
    <s v="ORD1358"/>
    <d v="2023-09-19T00:00:00"/>
    <x v="0"/>
    <x v="2"/>
    <x v="2"/>
    <x v="3"/>
    <x v="8"/>
    <n v="1777"/>
    <x v="354"/>
    <x v="357"/>
    <n v="0.16462577377602702"/>
    <x v="2"/>
    <x v="5"/>
    <n v="2023"/>
    <x v="338"/>
    <n v="533.10000000000014"/>
    <x v="1"/>
    <n v="1484.46"/>
    <x v="2"/>
    <x v="0"/>
    <x v="2"/>
  </r>
  <r>
    <s v="ORD1359"/>
    <d v="2023-09-25T00:00:00"/>
    <x v="1"/>
    <x v="2"/>
    <x v="0"/>
    <x v="9"/>
    <x v="7"/>
    <n v="4602"/>
    <x v="355"/>
    <x v="358"/>
    <n v="0.11325401999130814"/>
    <x v="2"/>
    <x v="5"/>
    <n v="2023"/>
    <x v="339"/>
    <n v="2761.2000000000007"/>
    <x v="1"/>
    <n v="8161.61"/>
    <x v="2"/>
    <x v="0"/>
    <x v="2"/>
  </r>
  <r>
    <s v="ORD1360"/>
    <d v="2023-02-24T00:00:00"/>
    <x v="2"/>
    <x v="5"/>
    <x v="2"/>
    <x v="8"/>
    <x v="6"/>
    <n v="684"/>
    <x v="356"/>
    <x v="359"/>
    <n v="0.18788011695906431"/>
    <x v="2"/>
    <x v="8"/>
    <n v="2023"/>
    <x v="340"/>
    <n v="820.80000000000018"/>
    <x v="1"/>
    <n v="2221.96"/>
    <x v="1"/>
    <x v="1"/>
    <x v="2"/>
  </r>
  <r>
    <s v="ORD1361"/>
    <d v="2023-09-20T00:00:00"/>
    <x v="3"/>
    <x v="0"/>
    <x v="1"/>
    <x v="1"/>
    <x v="6"/>
    <n v="3725"/>
    <x v="357"/>
    <x v="360"/>
    <n v="0.21485436241610736"/>
    <x v="1"/>
    <x v="5"/>
    <n v="2023"/>
    <x v="341"/>
    <n v="4470"/>
    <x v="1"/>
    <n v="11698.67"/>
    <x v="1"/>
    <x v="0"/>
    <x v="1"/>
  </r>
  <r>
    <s v="ORD1362"/>
    <d v="2023-08-08T00:00:00"/>
    <x v="2"/>
    <x v="5"/>
    <x v="3"/>
    <x v="4"/>
    <x v="7"/>
    <n v="2098"/>
    <x v="358"/>
    <x v="361"/>
    <n v="0.24719971401334603"/>
    <x v="2"/>
    <x v="9"/>
    <n v="2023"/>
    <x v="342"/>
    <n v="1258.8000000000002"/>
    <x v="1"/>
    <n v="3158.75"/>
    <x v="2"/>
    <x v="1"/>
    <x v="2"/>
  </r>
  <r>
    <s v="ORD1363"/>
    <d v="2023-09-03T00:00:00"/>
    <x v="0"/>
    <x v="4"/>
    <x v="2"/>
    <x v="3"/>
    <x v="1"/>
    <n v="2507"/>
    <x v="359"/>
    <x v="362"/>
    <n v="0.21576067012365377"/>
    <x v="1"/>
    <x v="5"/>
    <n v="2023"/>
    <x v="343"/>
    <n v="3760.5"/>
    <x v="1"/>
    <n v="9830.44"/>
    <x v="1"/>
    <x v="0"/>
    <x v="1"/>
  </r>
  <r>
    <s v="ORD1364"/>
    <d v="2023-01-21T00:00:00"/>
    <x v="1"/>
    <x v="1"/>
    <x v="2"/>
    <x v="13"/>
    <x v="5"/>
    <n v="774"/>
    <x v="360"/>
    <x v="363"/>
    <n v="0.16251015134736066"/>
    <x v="2"/>
    <x v="6"/>
    <n v="2023"/>
    <x v="238"/>
    <n v="1625.4000000000005"/>
    <x v="0"/>
    <n v="4537.5199999999995"/>
    <x v="0"/>
    <x v="0"/>
    <x v="2"/>
  </r>
  <r>
    <s v="ORD1365"/>
    <d v="2023-09-04T00:00:00"/>
    <x v="3"/>
    <x v="0"/>
    <x v="1"/>
    <x v="1"/>
    <x v="2"/>
    <n v="1729"/>
    <x v="361"/>
    <x v="364"/>
    <n v="0.1526730287256603"/>
    <x v="1"/>
    <x v="5"/>
    <n v="2023"/>
    <x v="344"/>
    <n v="3112.2000000000007"/>
    <x v="0"/>
    <n v="8790.17"/>
    <x v="1"/>
    <x v="0"/>
    <x v="1"/>
  </r>
  <r>
    <s v="ORD1366"/>
    <d v="2023-06-03T00:00:00"/>
    <x v="1"/>
    <x v="1"/>
    <x v="3"/>
    <x v="12"/>
    <x v="4"/>
    <n v="2600"/>
    <x v="362"/>
    <x v="365"/>
    <n v="8.49923076923077E-2"/>
    <x v="2"/>
    <x v="2"/>
    <n v="2023"/>
    <x v="345"/>
    <n v="2340.0000000000009"/>
    <x v="1"/>
    <n v="7137.0599999999995"/>
    <x v="2"/>
    <x v="0"/>
    <x v="2"/>
  </r>
  <r>
    <s v="ORD1367"/>
    <d v="2023-05-14T00:00:00"/>
    <x v="0"/>
    <x v="2"/>
    <x v="0"/>
    <x v="9"/>
    <x v="3"/>
    <n v="1595"/>
    <x v="363"/>
    <x v="366"/>
    <n v="0.2360954371299199"/>
    <x v="1"/>
    <x v="0"/>
    <n v="2023"/>
    <x v="346"/>
    <n v="4306.5"/>
    <x v="0"/>
    <n v="10965.85"/>
    <x v="0"/>
    <x v="0"/>
    <x v="1"/>
  </r>
  <r>
    <s v="ORD1368"/>
    <d v="2023-08-01T00:00:00"/>
    <x v="3"/>
    <x v="3"/>
    <x v="2"/>
    <x v="10"/>
    <x v="7"/>
    <n v="3190"/>
    <x v="364"/>
    <x v="367"/>
    <n v="0.19078369905956113"/>
    <x v="2"/>
    <x v="9"/>
    <n v="2023"/>
    <x v="347"/>
    <n v="1914"/>
    <x v="1"/>
    <n v="5162.8"/>
    <x v="2"/>
    <x v="0"/>
    <x v="2"/>
  </r>
  <r>
    <s v="ORD1369"/>
    <d v="2023-06-12T00:00:00"/>
    <x v="3"/>
    <x v="3"/>
    <x v="1"/>
    <x v="15"/>
    <x v="1"/>
    <n v="4031"/>
    <x v="365"/>
    <x v="368"/>
    <n v="9.4820640039692386E-2"/>
    <x v="0"/>
    <x v="2"/>
    <n v="2023"/>
    <x v="348"/>
    <n v="6046.5"/>
    <x v="1"/>
    <n v="18243.89"/>
    <x v="1"/>
    <x v="0"/>
    <x v="0"/>
  </r>
  <r>
    <s v="ORD1370"/>
    <d v="2023-06-25T00:00:00"/>
    <x v="3"/>
    <x v="4"/>
    <x v="3"/>
    <x v="4"/>
    <x v="7"/>
    <n v="1298"/>
    <x v="366"/>
    <x v="369"/>
    <n v="0.19069337442218798"/>
    <x v="2"/>
    <x v="2"/>
    <n v="2023"/>
    <x v="349"/>
    <n v="778.80000000000018"/>
    <x v="1"/>
    <n v="2100.96"/>
    <x v="2"/>
    <x v="0"/>
    <x v="2"/>
  </r>
  <r>
    <s v="ORD1371"/>
    <d v="2023-09-29T00:00:00"/>
    <x v="1"/>
    <x v="5"/>
    <x v="3"/>
    <x v="14"/>
    <x v="4"/>
    <n v="4584"/>
    <x v="367"/>
    <x v="370"/>
    <n v="0.10146524141942989"/>
    <x v="1"/>
    <x v="5"/>
    <n v="2023"/>
    <x v="350"/>
    <n v="4125.6000000000004"/>
    <x v="1"/>
    <n v="12356.65"/>
    <x v="2"/>
    <x v="0"/>
    <x v="1"/>
  </r>
  <r>
    <s v="ORD1372"/>
    <d v="2023-07-20T00:00:00"/>
    <x v="3"/>
    <x v="2"/>
    <x v="0"/>
    <x v="0"/>
    <x v="0"/>
    <n v="355"/>
    <x v="368"/>
    <x v="371"/>
    <n v="0.19588380281690138"/>
    <x v="2"/>
    <x v="10"/>
    <n v="2023"/>
    <x v="351"/>
    <n v="852.00000000000023"/>
    <x v="0"/>
    <n v="2283.69"/>
    <x v="0"/>
    <x v="0"/>
    <x v="2"/>
  </r>
  <r>
    <s v="ORD1373"/>
    <d v="2023-03-08T00:00:00"/>
    <x v="3"/>
    <x v="3"/>
    <x v="3"/>
    <x v="14"/>
    <x v="5"/>
    <n v="1054"/>
    <x v="369"/>
    <x v="372"/>
    <n v="9.3103822174030904E-2"/>
    <x v="2"/>
    <x v="4"/>
    <n v="2023"/>
    <x v="352"/>
    <n v="2213.4000000000005"/>
    <x v="0"/>
    <n v="6691.08"/>
    <x v="0"/>
    <x v="0"/>
    <x v="2"/>
  </r>
  <r>
    <s v="ORD1374"/>
    <d v="2023-04-27T00:00:00"/>
    <x v="2"/>
    <x v="2"/>
    <x v="3"/>
    <x v="4"/>
    <x v="2"/>
    <n v="4828"/>
    <x v="370"/>
    <x v="373"/>
    <n v="8.5642087821043919E-2"/>
    <x v="0"/>
    <x v="11"/>
    <n v="2023"/>
    <x v="353"/>
    <n v="8690.4000000000015"/>
    <x v="0"/>
    <n v="26487.120000000003"/>
    <x v="1"/>
    <x v="1"/>
    <x v="0"/>
  </r>
  <r>
    <s v="ORD1375"/>
    <d v="2023-09-09T00:00:00"/>
    <x v="2"/>
    <x v="3"/>
    <x v="1"/>
    <x v="1"/>
    <x v="8"/>
    <n v="4846"/>
    <x v="371"/>
    <x v="374"/>
    <n v="0.21725753198514236"/>
    <x v="2"/>
    <x v="5"/>
    <n v="2023"/>
    <x v="57"/>
    <n v="1453.8000000000002"/>
    <x v="1"/>
    <n v="3793.17"/>
    <x v="2"/>
    <x v="1"/>
    <x v="2"/>
  </r>
  <r>
    <s v="ORD1376"/>
    <d v="2023-12-20T00:00:00"/>
    <x v="3"/>
    <x v="2"/>
    <x v="0"/>
    <x v="9"/>
    <x v="2"/>
    <n v="2654"/>
    <x v="372"/>
    <x v="375"/>
    <n v="0.1087440341622708"/>
    <x v="1"/>
    <x v="7"/>
    <n v="2023"/>
    <x v="354"/>
    <n v="4777.2000000000007"/>
    <x v="0"/>
    <n v="14192.36"/>
    <x v="1"/>
    <x v="0"/>
    <x v="1"/>
  </r>
  <r>
    <s v="ORD1377"/>
    <d v="2023-10-08T00:00:00"/>
    <x v="3"/>
    <x v="3"/>
    <x v="3"/>
    <x v="14"/>
    <x v="4"/>
    <n v="4117"/>
    <x v="373"/>
    <x v="376"/>
    <n v="0.16144198850295524"/>
    <x v="1"/>
    <x v="1"/>
    <n v="2023"/>
    <x v="355"/>
    <n v="3705.3000000000011"/>
    <x v="1"/>
    <n v="10357.030000000001"/>
    <x v="2"/>
    <x v="0"/>
    <x v="1"/>
  </r>
  <r>
    <s v="ORD1378"/>
    <d v="2023-04-20T00:00:00"/>
    <x v="0"/>
    <x v="0"/>
    <x v="1"/>
    <x v="15"/>
    <x v="2"/>
    <n v="2167"/>
    <x v="374"/>
    <x v="377"/>
    <n v="0.20030687586525148"/>
    <x v="1"/>
    <x v="11"/>
    <n v="2023"/>
    <x v="356"/>
    <n v="3900.6000000000004"/>
    <x v="0"/>
    <n v="10397.609999999999"/>
    <x v="1"/>
    <x v="0"/>
    <x v="1"/>
  </r>
  <r>
    <s v="ORD1379"/>
    <d v="2023-11-23T00:00:00"/>
    <x v="1"/>
    <x v="4"/>
    <x v="1"/>
    <x v="15"/>
    <x v="3"/>
    <n v="2531"/>
    <x v="375"/>
    <x v="378"/>
    <n v="8.3061152816190351E-2"/>
    <x v="0"/>
    <x v="3"/>
    <n v="2023"/>
    <x v="357"/>
    <n v="6833.7000000000007"/>
    <x v="0"/>
    <n v="20886.95"/>
    <x v="0"/>
    <x v="0"/>
    <x v="0"/>
  </r>
  <r>
    <s v="ORD1380"/>
    <d v="2023-04-30T00:00:00"/>
    <x v="1"/>
    <x v="1"/>
    <x v="0"/>
    <x v="0"/>
    <x v="5"/>
    <n v="4928"/>
    <x v="376"/>
    <x v="379"/>
    <n v="0.12785859230055657"/>
    <x v="0"/>
    <x v="11"/>
    <n v="2023"/>
    <x v="358"/>
    <n v="10348.799999999999"/>
    <x v="0"/>
    <n v="30085.39"/>
    <x v="0"/>
    <x v="0"/>
    <x v="0"/>
  </r>
  <r>
    <s v="ORD1381"/>
    <d v="2023-11-16T00:00:00"/>
    <x v="2"/>
    <x v="2"/>
    <x v="3"/>
    <x v="14"/>
    <x v="0"/>
    <n v="2712"/>
    <x v="377"/>
    <x v="380"/>
    <n v="0.12112186578171091"/>
    <x v="0"/>
    <x v="3"/>
    <n v="2023"/>
    <x v="359"/>
    <n v="6508.8000000000011"/>
    <x v="0"/>
    <n v="19068.14"/>
    <x v="0"/>
    <x v="1"/>
    <x v="0"/>
  </r>
  <r>
    <s v="ORD1382"/>
    <d v="2023-11-30T00:00:00"/>
    <x v="1"/>
    <x v="4"/>
    <x v="3"/>
    <x v="7"/>
    <x v="1"/>
    <n v="1962"/>
    <x v="378"/>
    <x v="381"/>
    <n v="0.11848012232415901"/>
    <x v="2"/>
    <x v="3"/>
    <n v="2023"/>
    <x v="161"/>
    <n v="2943.0000000000009"/>
    <x v="1"/>
    <n v="8647.7099999999991"/>
    <x v="1"/>
    <x v="0"/>
    <x v="2"/>
  </r>
  <r>
    <s v="ORD1383"/>
    <d v="2023-12-27T00:00:00"/>
    <x v="2"/>
    <x v="4"/>
    <x v="2"/>
    <x v="13"/>
    <x v="6"/>
    <n v="1187"/>
    <x v="39"/>
    <x v="382"/>
    <n v="0.22488416175231676"/>
    <x v="2"/>
    <x v="7"/>
    <n v="2023"/>
    <x v="360"/>
    <n v="1424.4"/>
    <x v="1"/>
    <n v="3680.25"/>
    <x v="1"/>
    <x v="1"/>
    <x v="2"/>
  </r>
  <r>
    <s v="ORD1384"/>
    <d v="2023-06-07T00:00:00"/>
    <x v="3"/>
    <x v="0"/>
    <x v="2"/>
    <x v="13"/>
    <x v="5"/>
    <n v="2724"/>
    <x v="379"/>
    <x v="383"/>
    <n v="0.22248584015103837"/>
    <x v="1"/>
    <x v="2"/>
    <n v="2023"/>
    <x v="361"/>
    <n v="5720.4"/>
    <x v="0"/>
    <n v="14825.640000000001"/>
    <x v="0"/>
    <x v="0"/>
    <x v="1"/>
  </r>
  <r>
    <s v="ORD1385"/>
    <d v="2023-11-21T00:00:00"/>
    <x v="3"/>
    <x v="2"/>
    <x v="0"/>
    <x v="0"/>
    <x v="7"/>
    <n v="1692"/>
    <x v="380"/>
    <x v="384"/>
    <n v="0.16864657210401893"/>
    <x v="2"/>
    <x v="3"/>
    <n v="2023"/>
    <x v="362"/>
    <n v="1015.2000000000003"/>
    <x v="1"/>
    <n v="2813.3"/>
    <x v="2"/>
    <x v="0"/>
    <x v="2"/>
  </r>
  <r>
    <s v="ORD1386"/>
    <d v="2023-11-20T00:00:00"/>
    <x v="0"/>
    <x v="4"/>
    <x v="3"/>
    <x v="4"/>
    <x v="8"/>
    <n v="2244"/>
    <x v="381"/>
    <x v="385"/>
    <n v="0.16929144385026737"/>
    <x v="2"/>
    <x v="3"/>
    <n v="2023"/>
    <x v="363"/>
    <n v="673.2"/>
    <x v="1"/>
    <n v="1864.11"/>
    <x v="2"/>
    <x v="0"/>
    <x v="2"/>
  </r>
  <r>
    <s v="ORD1387"/>
    <d v="2023-11-28T00:00:00"/>
    <x v="1"/>
    <x v="2"/>
    <x v="1"/>
    <x v="1"/>
    <x v="8"/>
    <n v="542"/>
    <x v="382"/>
    <x v="386"/>
    <n v="0.15317343173431733"/>
    <x v="2"/>
    <x v="3"/>
    <n v="2023"/>
    <x v="364"/>
    <n v="162.60000000000002"/>
    <x v="1"/>
    <n v="458.98"/>
    <x v="2"/>
    <x v="0"/>
    <x v="2"/>
  </r>
  <r>
    <s v="ORD1388"/>
    <d v="2023-04-03T00:00:00"/>
    <x v="1"/>
    <x v="1"/>
    <x v="1"/>
    <x v="15"/>
    <x v="3"/>
    <n v="4954"/>
    <x v="383"/>
    <x v="387"/>
    <n v="0.23172901807742344"/>
    <x v="0"/>
    <x v="11"/>
    <n v="2023"/>
    <x v="365"/>
    <n v="13375.800000000003"/>
    <x v="0"/>
    <n v="34254.129999999997"/>
    <x v="0"/>
    <x v="0"/>
    <x v="0"/>
  </r>
  <r>
    <s v="ORD1389"/>
    <d v="2023-05-12T00:00:00"/>
    <x v="0"/>
    <x v="2"/>
    <x v="0"/>
    <x v="11"/>
    <x v="6"/>
    <n v="4800"/>
    <x v="384"/>
    <x v="388"/>
    <n v="0.19944791666666667"/>
    <x v="1"/>
    <x v="0"/>
    <n v="2023"/>
    <x v="366"/>
    <n v="5760"/>
    <x v="1"/>
    <n v="15370.599999999999"/>
    <x v="1"/>
    <x v="0"/>
    <x v="1"/>
  </r>
  <r>
    <s v="ORD1390"/>
    <d v="2023-07-13T00:00:00"/>
    <x v="3"/>
    <x v="3"/>
    <x v="2"/>
    <x v="3"/>
    <x v="2"/>
    <n v="778"/>
    <x v="385"/>
    <x v="389"/>
    <n v="0.19087832047986289"/>
    <x v="2"/>
    <x v="10"/>
    <n v="2023"/>
    <x v="367"/>
    <n v="1400.4000000000005"/>
    <x v="0"/>
    <n v="3776.98"/>
    <x v="1"/>
    <x v="0"/>
    <x v="2"/>
  </r>
  <r>
    <s v="ORD1391"/>
    <d v="2023-09-19T00:00:00"/>
    <x v="1"/>
    <x v="4"/>
    <x v="0"/>
    <x v="16"/>
    <x v="3"/>
    <n v="1992"/>
    <x v="386"/>
    <x v="390"/>
    <n v="0.12572289156626507"/>
    <x v="1"/>
    <x v="5"/>
    <n v="2023"/>
    <x v="368"/>
    <n v="5378.4000000000015"/>
    <x v="0"/>
    <n v="15674.04"/>
    <x v="0"/>
    <x v="0"/>
    <x v="1"/>
  </r>
  <r>
    <s v="ORD1392"/>
    <d v="2023-12-28T00:00:00"/>
    <x v="2"/>
    <x v="4"/>
    <x v="1"/>
    <x v="5"/>
    <x v="2"/>
    <n v="929"/>
    <x v="387"/>
    <x v="391"/>
    <n v="0.23425547183351275"/>
    <x v="2"/>
    <x v="7"/>
    <n v="2023"/>
    <x v="369"/>
    <n v="1672.2000000000003"/>
    <x v="0"/>
    <n v="4268.2599999999993"/>
    <x v="1"/>
    <x v="1"/>
    <x v="2"/>
  </r>
  <r>
    <s v="ORD1393"/>
    <d v="2023-08-25T00:00:00"/>
    <x v="3"/>
    <x v="4"/>
    <x v="3"/>
    <x v="12"/>
    <x v="8"/>
    <n v="341"/>
    <x v="388"/>
    <x v="392"/>
    <n v="0.183841642228739"/>
    <x v="2"/>
    <x v="9"/>
    <n v="2023"/>
    <x v="370"/>
    <n v="102.30000000000001"/>
    <x v="1"/>
    <n v="278.31"/>
    <x v="2"/>
    <x v="0"/>
    <x v="2"/>
  </r>
  <r>
    <s v="ORD1394"/>
    <d v="2023-07-09T00:00:00"/>
    <x v="3"/>
    <x v="0"/>
    <x v="3"/>
    <x v="12"/>
    <x v="2"/>
    <n v="2296"/>
    <x v="389"/>
    <x v="393"/>
    <n v="8.1302990708478518E-2"/>
    <x v="1"/>
    <x v="10"/>
    <n v="2023"/>
    <x v="371"/>
    <n v="4132.8000000000011"/>
    <x v="0"/>
    <n v="12655.97"/>
    <x v="1"/>
    <x v="0"/>
    <x v="1"/>
  </r>
  <r>
    <s v="ORD1395"/>
    <d v="2023-09-02T00:00:00"/>
    <x v="2"/>
    <x v="3"/>
    <x v="2"/>
    <x v="3"/>
    <x v="8"/>
    <n v="4897"/>
    <x v="390"/>
    <x v="394"/>
    <n v="0.15868490912803759"/>
    <x v="2"/>
    <x v="5"/>
    <n v="2023"/>
    <x v="372"/>
    <n v="1469.1000000000004"/>
    <x v="1"/>
    <n v="4119.92"/>
    <x v="2"/>
    <x v="1"/>
    <x v="2"/>
  </r>
  <r>
    <s v="ORD1396"/>
    <d v="2023-11-01T00:00:00"/>
    <x v="2"/>
    <x v="4"/>
    <x v="0"/>
    <x v="11"/>
    <x v="3"/>
    <n v="2000"/>
    <x v="391"/>
    <x v="395"/>
    <n v="0.21883611111111112"/>
    <x v="1"/>
    <x v="3"/>
    <n v="2023"/>
    <x v="373"/>
    <n v="5400"/>
    <x v="0"/>
    <n v="14060.95"/>
    <x v="0"/>
    <x v="1"/>
    <x v="1"/>
  </r>
  <r>
    <s v="ORD1397"/>
    <d v="2023-02-10T00:00:00"/>
    <x v="0"/>
    <x v="1"/>
    <x v="2"/>
    <x v="8"/>
    <x v="4"/>
    <n v="3842"/>
    <x v="392"/>
    <x v="396"/>
    <n v="0.16625976054138469"/>
    <x v="1"/>
    <x v="8"/>
    <n v="2023"/>
    <x v="374"/>
    <n v="3457.8000000000011"/>
    <x v="1"/>
    <n v="9609.69"/>
    <x v="2"/>
    <x v="0"/>
    <x v="1"/>
  </r>
  <r>
    <s v="ORD1398"/>
    <d v="2023-02-14T00:00:00"/>
    <x v="2"/>
    <x v="2"/>
    <x v="2"/>
    <x v="13"/>
    <x v="4"/>
    <n v="1556"/>
    <x v="385"/>
    <x v="397"/>
    <n v="0.23800342759211654"/>
    <x v="2"/>
    <x v="8"/>
    <n v="2023"/>
    <x v="375"/>
    <n v="1400.4000000000005"/>
    <x v="1"/>
    <n v="3557"/>
    <x v="2"/>
    <x v="1"/>
    <x v="2"/>
  </r>
  <r>
    <s v="ORD1399"/>
    <d v="2023-04-19T00:00:00"/>
    <x v="3"/>
    <x v="1"/>
    <x v="0"/>
    <x v="0"/>
    <x v="0"/>
    <n v="4751"/>
    <x v="393"/>
    <x v="398"/>
    <n v="0.19406019785308357"/>
    <x v="0"/>
    <x v="11"/>
    <n v="2023"/>
    <x v="270"/>
    <n v="11402.400000000001"/>
    <x v="0"/>
    <n v="30632.16"/>
    <x v="0"/>
    <x v="0"/>
    <x v="0"/>
  </r>
  <r>
    <s v="ORD1400"/>
    <d v="2023-01-08T00:00:00"/>
    <x v="2"/>
    <x v="0"/>
    <x v="2"/>
    <x v="8"/>
    <x v="5"/>
    <n v="1187"/>
    <x v="394"/>
    <x v="399"/>
    <n v="0.21960404380791912"/>
    <x v="2"/>
    <x v="6"/>
    <n v="2023"/>
    <x v="360"/>
    <n v="2492.6999999999998"/>
    <x v="0"/>
    <n v="6484.31"/>
    <x v="0"/>
    <x v="1"/>
    <x v="2"/>
  </r>
  <r>
    <s v="ORD1401"/>
    <d v="2023-12-04T00:00:00"/>
    <x v="1"/>
    <x v="3"/>
    <x v="1"/>
    <x v="15"/>
    <x v="5"/>
    <n v="3960"/>
    <x v="395"/>
    <x v="400"/>
    <n v="0.18264538239538242"/>
    <x v="0"/>
    <x v="7"/>
    <n v="2023"/>
    <x v="376"/>
    <n v="8316"/>
    <x v="0"/>
    <n v="22657.07"/>
    <x v="0"/>
    <x v="0"/>
    <x v="0"/>
  </r>
  <r>
    <s v="ORD1402"/>
    <d v="2023-05-27T00:00:00"/>
    <x v="0"/>
    <x v="2"/>
    <x v="2"/>
    <x v="6"/>
    <x v="8"/>
    <n v="2886"/>
    <x v="78"/>
    <x v="401"/>
    <n v="0.19265419265419265"/>
    <x v="2"/>
    <x v="0"/>
    <n v="2023"/>
    <x v="377"/>
    <n v="865.80000000000018"/>
    <x v="1"/>
    <n v="2330"/>
    <x v="2"/>
    <x v="0"/>
    <x v="2"/>
  </r>
  <r>
    <s v="ORD1403"/>
    <d v="2023-08-31T00:00:00"/>
    <x v="0"/>
    <x v="4"/>
    <x v="2"/>
    <x v="3"/>
    <x v="8"/>
    <n v="4008"/>
    <x v="396"/>
    <x v="402"/>
    <n v="0.14872005988023954"/>
    <x v="2"/>
    <x v="9"/>
    <n v="2023"/>
    <x v="378"/>
    <n v="1202.4000000000001"/>
    <x v="1"/>
    <n v="3411.93"/>
    <x v="2"/>
    <x v="0"/>
    <x v="2"/>
  </r>
  <r>
    <s v="ORD1404"/>
    <d v="2023-11-27T00:00:00"/>
    <x v="2"/>
    <x v="3"/>
    <x v="0"/>
    <x v="11"/>
    <x v="3"/>
    <n v="401"/>
    <x v="397"/>
    <x v="403"/>
    <n v="0.1415267387087836"/>
    <x v="2"/>
    <x v="3"/>
    <n v="2023"/>
    <x v="379"/>
    <n v="1082.7000000000003"/>
    <x v="0"/>
    <n v="3098.23"/>
    <x v="0"/>
    <x v="1"/>
    <x v="2"/>
  </r>
  <r>
    <s v="ORD1405"/>
    <d v="2023-02-08T00:00:00"/>
    <x v="3"/>
    <x v="0"/>
    <x v="1"/>
    <x v="2"/>
    <x v="4"/>
    <n v="3389"/>
    <x v="398"/>
    <x v="404"/>
    <n v="9.9675420478017113E-2"/>
    <x v="1"/>
    <x v="8"/>
    <n v="2023"/>
    <x v="380"/>
    <n v="3050.1000000000004"/>
    <x v="1"/>
    <n v="9153.6"/>
    <x v="2"/>
    <x v="0"/>
    <x v="1"/>
  </r>
  <r>
    <s v="ORD1406"/>
    <d v="2023-12-16T00:00:00"/>
    <x v="3"/>
    <x v="3"/>
    <x v="2"/>
    <x v="6"/>
    <x v="1"/>
    <n v="3785"/>
    <x v="399"/>
    <x v="405"/>
    <n v="0.17009881109643329"/>
    <x v="1"/>
    <x v="7"/>
    <n v="2023"/>
    <x v="381"/>
    <n v="5677.5"/>
    <x v="1"/>
    <n v="15705.88"/>
    <x v="1"/>
    <x v="0"/>
    <x v="1"/>
  </r>
  <r>
    <s v="ORD1407"/>
    <d v="2023-10-28T00:00:00"/>
    <x v="0"/>
    <x v="3"/>
    <x v="3"/>
    <x v="12"/>
    <x v="4"/>
    <n v="2482"/>
    <x v="400"/>
    <x v="406"/>
    <n v="0.16262019876443726"/>
    <x v="2"/>
    <x v="1"/>
    <n v="2023"/>
    <x v="382"/>
    <n v="2233.8000000000002"/>
    <x v="1"/>
    <n v="6235.13"/>
    <x v="2"/>
    <x v="0"/>
    <x v="2"/>
  </r>
  <r>
    <s v="ORD1408"/>
    <d v="2023-10-06T00:00:00"/>
    <x v="3"/>
    <x v="4"/>
    <x v="3"/>
    <x v="12"/>
    <x v="8"/>
    <n v="1350"/>
    <x v="401"/>
    <x v="407"/>
    <n v="0.13834074074074074"/>
    <x v="2"/>
    <x v="1"/>
    <n v="2023"/>
    <x v="383"/>
    <n v="405.00000000000011"/>
    <x v="1"/>
    <n v="1163.24"/>
    <x v="2"/>
    <x v="0"/>
    <x v="2"/>
  </r>
  <r>
    <s v="ORD1409"/>
    <d v="2023-04-09T00:00:00"/>
    <x v="2"/>
    <x v="4"/>
    <x v="1"/>
    <x v="1"/>
    <x v="1"/>
    <n v="1330"/>
    <x v="402"/>
    <x v="408"/>
    <n v="0.15308872180451127"/>
    <x v="2"/>
    <x v="11"/>
    <n v="2023"/>
    <x v="384"/>
    <n v="1995.0000000000009"/>
    <x v="1"/>
    <n v="5631.96"/>
    <x v="1"/>
    <x v="1"/>
    <x v="2"/>
  </r>
  <r>
    <s v="ORD1410"/>
    <d v="2023-06-05T00:00:00"/>
    <x v="3"/>
    <x v="4"/>
    <x v="3"/>
    <x v="7"/>
    <x v="7"/>
    <n v="2023"/>
    <x v="403"/>
    <x v="409"/>
    <n v="0.21981216015818092"/>
    <x v="2"/>
    <x v="2"/>
    <n v="2023"/>
    <x v="385"/>
    <n v="1213.8000000000002"/>
    <x v="1"/>
    <n v="3156.64"/>
    <x v="2"/>
    <x v="0"/>
    <x v="2"/>
  </r>
  <r>
    <s v="ORD1411"/>
    <d v="2023-04-28T00:00:00"/>
    <x v="3"/>
    <x v="2"/>
    <x v="0"/>
    <x v="16"/>
    <x v="0"/>
    <n v="2241"/>
    <x v="386"/>
    <x v="410"/>
    <n v="0.14290885765283357"/>
    <x v="1"/>
    <x v="11"/>
    <n v="2023"/>
    <x v="386"/>
    <n v="5378.4000000000015"/>
    <x v="0"/>
    <n v="15365.93"/>
    <x v="0"/>
    <x v="0"/>
    <x v="1"/>
  </r>
  <r>
    <s v="ORD1412"/>
    <d v="2023-01-07T00:00:00"/>
    <x v="3"/>
    <x v="1"/>
    <x v="3"/>
    <x v="14"/>
    <x v="5"/>
    <n v="3561"/>
    <x v="404"/>
    <x v="411"/>
    <n v="0.10836642997552855"/>
    <x v="0"/>
    <x v="6"/>
    <n v="2023"/>
    <x v="387"/>
    <n v="7478.1000000000022"/>
    <x v="0"/>
    <n v="22225.75"/>
    <x v="0"/>
    <x v="0"/>
    <x v="0"/>
  </r>
  <r>
    <s v="ORD1413"/>
    <d v="2023-06-06T00:00:00"/>
    <x v="1"/>
    <x v="2"/>
    <x v="2"/>
    <x v="8"/>
    <x v="8"/>
    <n v="2806"/>
    <x v="405"/>
    <x v="412"/>
    <n v="0.10625801853171776"/>
    <x v="2"/>
    <x v="2"/>
    <n v="2023"/>
    <x v="388"/>
    <n v="841.80000000000018"/>
    <x v="1"/>
    <n v="2507.8399999999997"/>
    <x v="2"/>
    <x v="0"/>
    <x v="2"/>
  </r>
  <r>
    <s v="ORD1414"/>
    <d v="2023-05-06T00:00:00"/>
    <x v="0"/>
    <x v="4"/>
    <x v="1"/>
    <x v="1"/>
    <x v="4"/>
    <n v="3254"/>
    <x v="406"/>
    <x v="413"/>
    <n v="9.2191149354640442E-2"/>
    <x v="2"/>
    <x v="0"/>
    <n v="2023"/>
    <x v="389"/>
    <n v="2928.6000000000004"/>
    <x v="1"/>
    <n v="8862.0300000000007"/>
    <x v="2"/>
    <x v="0"/>
    <x v="2"/>
  </r>
  <r>
    <s v="ORD1415"/>
    <d v="2023-07-23T00:00:00"/>
    <x v="1"/>
    <x v="4"/>
    <x v="3"/>
    <x v="7"/>
    <x v="1"/>
    <n v="1129"/>
    <x v="407"/>
    <x v="414"/>
    <n v="0.22309300265721876"/>
    <x v="2"/>
    <x v="10"/>
    <n v="2023"/>
    <x v="390"/>
    <n v="1693.5"/>
    <x v="1"/>
    <n v="4385.6400000000003"/>
    <x v="1"/>
    <x v="0"/>
    <x v="2"/>
  </r>
  <r>
    <s v="ORD1416"/>
    <d v="2023-12-10T00:00:00"/>
    <x v="0"/>
    <x v="0"/>
    <x v="0"/>
    <x v="0"/>
    <x v="8"/>
    <n v="2100"/>
    <x v="408"/>
    <x v="415"/>
    <n v="0.24524285714285715"/>
    <x v="2"/>
    <x v="7"/>
    <n v="2023"/>
    <x v="391"/>
    <n v="630"/>
    <x v="1"/>
    <n v="1584.99"/>
    <x v="2"/>
    <x v="0"/>
    <x v="2"/>
  </r>
  <r>
    <s v="ORD1417"/>
    <d v="2023-12-29T00:00:00"/>
    <x v="3"/>
    <x v="0"/>
    <x v="0"/>
    <x v="9"/>
    <x v="6"/>
    <n v="1378"/>
    <x v="281"/>
    <x v="416"/>
    <n v="0.11550616835994194"/>
    <x v="2"/>
    <x v="7"/>
    <n v="2023"/>
    <x v="392"/>
    <n v="1653.6000000000004"/>
    <x v="1"/>
    <n v="4875.33"/>
    <x v="1"/>
    <x v="0"/>
    <x v="2"/>
  </r>
  <r>
    <s v="ORD1418"/>
    <d v="2023-09-02T00:00:00"/>
    <x v="1"/>
    <x v="3"/>
    <x v="1"/>
    <x v="15"/>
    <x v="7"/>
    <n v="2509"/>
    <x v="409"/>
    <x v="417"/>
    <n v="0.20855719410123555"/>
    <x v="2"/>
    <x v="5"/>
    <n v="2023"/>
    <x v="393"/>
    <n v="1505.4"/>
    <x v="1"/>
    <n v="3971.46"/>
    <x v="2"/>
    <x v="0"/>
    <x v="2"/>
  </r>
  <r>
    <s v="ORD1419"/>
    <d v="2023-03-28T00:00:00"/>
    <x v="1"/>
    <x v="2"/>
    <x v="3"/>
    <x v="7"/>
    <x v="1"/>
    <n v="323"/>
    <x v="410"/>
    <x v="418"/>
    <n v="0.13337461300309597"/>
    <x v="2"/>
    <x v="4"/>
    <n v="2023"/>
    <x v="394"/>
    <n v="484.5"/>
    <x v="1"/>
    <n v="1399.6000000000001"/>
    <x v="1"/>
    <x v="0"/>
    <x v="2"/>
  </r>
  <r>
    <s v="ORD1420"/>
    <d v="2023-02-28T00:00:00"/>
    <x v="0"/>
    <x v="2"/>
    <x v="1"/>
    <x v="1"/>
    <x v="3"/>
    <n v="2616"/>
    <x v="411"/>
    <x v="419"/>
    <n v="9.4994478423377507E-2"/>
    <x v="0"/>
    <x v="8"/>
    <n v="2023"/>
    <x v="395"/>
    <n v="7063.2000000000007"/>
    <x v="0"/>
    <n v="21307.45"/>
    <x v="0"/>
    <x v="0"/>
    <x v="0"/>
  </r>
  <r>
    <s v="ORD1421"/>
    <d v="2023-11-01T00:00:00"/>
    <x v="2"/>
    <x v="3"/>
    <x v="3"/>
    <x v="12"/>
    <x v="2"/>
    <n v="4363"/>
    <x v="412"/>
    <x v="420"/>
    <n v="0.24661853464741385"/>
    <x v="0"/>
    <x v="3"/>
    <n v="2023"/>
    <x v="396"/>
    <n v="7853.4000000000015"/>
    <x v="0"/>
    <n v="19722.02"/>
    <x v="1"/>
    <x v="1"/>
    <x v="0"/>
  </r>
  <r>
    <s v="ORD1422"/>
    <d v="2023-02-11T00:00:00"/>
    <x v="1"/>
    <x v="1"/>
    <x v="3"/>
    <x v="7"/>
    <x v="1"/>
    <n v="2590"/>
    <x v="413"/>
    <x v="421"/>
    <n v="0.15487490347490349"/>
    <x v="1"/>
    <x v="8"/>
    <n v="2023"/>
    <x v="397"/>
    <n v="3885.0000000000018"/>
    <x v="1"/>
    <n v="10944.369999999999"/>
    <x v="1"/>
    <x v="0"/>
    <x v="1"/>
  </r>
  <r>
    <s v="ORD1423"/>
    <d v="2023-01-21T00:00:00"/>
    <x v="3"/>
    <x v="0"/>
    <x v="0"/>
    <x v="11"/>
    <x v="8"/>
    <n v="540"/>
    <x v="414"/>
    <x v="422"/>
    <n v="0.13822222222222222"/>
    <x v="2"/>
    <x v="6"/>
    <n v="2023"/>
    <x v="398"/>
    <n v="162"/>
    <x v="1"/>
    <n v="465.36"/>
    <x v="2"/>
    <x v="0"/>
    <x v="2"/>
  </r>
  <r>
    <s v="ORD1424"/>
    <d v="2023-10-07T00:00:00"/>
    <x v="2"/>
    <x v="0"/>
    <x v="0"/>
    <x v="0"/>
    <x v="4"/>
    <n v="3656"/>
    <x v="415"/>
    <x v="423"/>
    <n v="0.17867979576951132"/>
    <x v="1"/>
    <x v="1"/>
    <n v="2023"/>
    <x v="399"/>
    <n v="3290.4000000000005"/>
    <x v="1"/>
    <n v="9008.24"/>
    <x v="2"/>
    <x v="1"/>
    <x v="1"/>
  </r>
  <r>
    <s v="ORD1425"/>
    <d v="2023-09-30T00:00:00"/>
    <x v="0"/>
    <x v="2"/>
    <x v="3"/>
    <x v="4"/>
    <x v="7"/>
    <n v="2386"/>
    <x v="416"/>
    <x v="424"/>
    <n v="0.1152430846605197"/>
    <x v="2"/>
    <x v="5"/>
    <n v="2023"/>
    <x v="400"/>
    <n v="1431.6000000000004"/>
    <x v="1"/>
    <n v="4222.0600000000004"/>
    <x v="2"/>
    <x v="0"/>
    <x v="2"/>
  </r>
  <r>
    <s v="ORD1426"/>
    <d v="2023-06-14T00:00:00"/>
    <x v="0"/>
    <x v="1"/>
    <x v="1"/>
    <x v="1"/>
    <x v="2"/>
    <n v="3935"/>
    <x v="417"/>
    <x v="425"/>
    <n v="0.1855120711562897"/>
    <x v="0"/>
    <x v="2"/>
    <n v="2023"/>
    <x v="401"/>
    <n v="7083"/>
    <x v="0"/>
    <n v="19230.060000000001"/>
    <x v="1"/>
    <x v="0"/>
    <x v="0"/>
  </r>
  <r>
    <s v="ORD1427"/>
    <d v="2023-05-27T00:00:00"/>
    <x v="0"/>
    <x v="0"/>
    <x v="2"/>
    <x v="3"/>
    <x v="1"/>
    <n v="856"/>
    <x v="418"/>
    <x v="426"/>
    <n v="0.20085046728971961"/>
    <x v="2"/>
    <x v="0"/>
    <n v="2023"/>
    <x v="402"/>
    <n v="1284.0000000000005"/>
    <x v="1"/>
    <n v="3420.36"/>
    <x v="1"/>
    <x v="0"/>
    <x v="2"/>
  </r>
  <r>
    <s v="ORD1428"/>
    <d v="2023-09-03T00:00:00"/>
    <x v="2"/>
    <x v="0"/>
    <x v="3"/>
    <x v="7"/>
    <x v="2"/>
    <n v="1908"/>
    <x v="419"/>
    <x v="427"/>
    <n v="0.15793937805730257"/>
    <x v="1"/>
    <x v="5"/>
    <n v="2023"/>
    <x v="403"/>
    <n v="3434.4000000000005"/>
    <x v="0"/>
    <n v="9639.91"/>
    <x v="1"/>
    <x v="1"/>
    <x v="1"/>
  </r>
  <r>
    <s v="ORD1429"/>
    <d v="2023-02-15T00:00:00"/>
    <x v="1"/>
    <x v="2"/>
    <x v="0"/>
    <x v="0"/>
    <x v="1"/>
    <n v="1176"/>
    <x v="420"/>
    <x v="428"/>
    <n v="0.19572789115646261"/>
    <x v="2"/>
    <x v="8"/>
    <n v="2023"/>
    <x v="404"/>
    <n v="1764"/>
    <x v="1"/>
    <n v="4729.12"/>
    <x v="1"/>
    <x v="0"/>
    <x v="2"/>
  </r>
  <r>
    <s v="ORD1430"/>
    <d v="2023-04-18T00:00:00"/>
    <x v="3"/>
    <x v="2"/>
    <x v="1"/>
    <x v="5"/>
    <x v="4"/>
    <n v="2394"/>
    <x v="421"/>
    <x v="429"/>
    <n v="0.16719298245614034"/>
    <x v="2"/>
    <x v="11"/>
    <n v="2023"/>
    <x v="405"/>
    <n v="2154.6000000000004"/>
    <x v="1"/>
    <n v="5981.22"/>
    <x v="2"/>
    <x v="0"/>
    <x v="2"/>
  </r>
  <r>
    <s v="ORD1431"/>
    <d v="2023-08-04T00:00:00"/>
    <x v="0"/>
    <x v="0"/>
    <x v="2"/>
    <x v="6"/>
    <x v="5"/>
    <n v="1810"/>
    <x v="422"/>
    <x v="430"/>
    <n v="0.11454775059194948"/>
    <x v="1"/>
    <x v="9"/>
    <n v="2023"/>
    <x v="406"/>
    <n v="3801"/>
    <x v="0"/>
    <n v="11218.68"/>
    <x v="0"/>
    <x v="0"/>
    <x v="1"/>
  </r>
  <r>
    <s v="ORD1432"/>
    <d v="2023-08-07T00:00:00"/>
    <x v="1"/>
    <x v="2"/>
    <x v="0"/>
    <x v="0"/>
    <x v="3"/>
    <n v="4025"/>
    <x v="423"/>
    <x v="431"/>
    <n v="0.20337170462387855"/>
    <x v="0"/>
    <x v="9"/>
    <n v="2023"/>
    <x v="407"/>
    <n v="10867.5"/>
    <x v="0"/>
    <n v="28857.86"/>
    <x v="0"/>
    <x v="0"/>
    <x v="0"/>
  </r>
  <r>
    <s v="ORD1433"/>
    <d v="2023-02-17T00:00:00"/>
    <x v="0"/>
    <x v="4"/>
    <x v="0"/>
    <x v="16"/>
    <x v="6"/>
    <n v="1102"/>
    <x v="424"/>
    <x v="432"/>
    <n v="0.24252722323049"/>
    <x v="2"/>
    <x v="8"/>
    <n v="2023"/>
    <x v="408"/>
    <n v="1322.4"/>
    <x v="1"/>
    <n v="3338.94"/>
    <x v="1"/>
    <x v="0"/>
    <x v="2"/>
  </r>
  <r>
    <s v="ORD1434"/>
    <d v="2023-12-18T00:00:00"/>
    <x v="3"/>
    <x v="0"/>
    <x v="2"/>
    <x v="3"/>
    <x v="8"/>
    <n v="2584"/>
    <x v="425"/>
    <x v="433"/>
    <n v="0.22398606811145511"/>
    <x v="2"/>
    <x v="7"/>
    <n v="2023"/>
    <x v="409"/>
    <n v="775.2"/>
    <x v="1"/>
    <n v="2005.2199999999998"/>
    <x v="2"/>
    <x v="0"/>
    <x v="2"/>
  </r>
  <r>
    <s v="ORD1435"/>
    <d v="2023-07-08T00:00:00"/>
    <x v="0"/>
    <x v="3"/>
    <x v="0"/>
    <x v="11"/>
    <x v="4"/>
    <n v="2690"/>
    <x v="426"/>
    <x v="434"/>
    <n v="8.5234200743494429E-2"/>
    <x v="2"/>
    <x v="10"/>
    <n v="2023"/>
    <x v="410"/>
    <n v="2421.0000000000009"/>
    <x v="1"/>
    <n v="7382.16"/>
    <x v="2"/>
    <x v="0"/>
    <x v="2"/>
  </r>
  <r>
    <s v="ORD1436"/>
    <d v="2023-10-25T00:00:00"/>
    <x v="3"/>
    <x v="1"/>
    <x v="2"/>
    <x v="6"/>
    <x v="2"/>
    <n v="4978"/>
    <x v="427"/>
    <x v="435"/>
    <n v="0.22824829248694253"/>
    <x v="0"/>
    <x v="1"/>
    <n v="2023"/>
    <x v="411"/>
    <n v="8960.4000000000015"/>
    <x v="0"/>
    <n v="23050.68"/>
    <x v="1"/>
    <x v="0"/>
    <x v="0"/>
  </r>
  <r>
    <s v="ORD1437"/>
    <d v="2023-07-03T00:00:00"/>
    <x v="1"/>
    <x v="4"/>
    <x v="2"/>
    <x v="3"/>
    <x v="7"/>
    <n v="3952"/>
    <x v="428"/>
    <x v="436"/>
    <n v="0.12738866396761134"/>
    <x v="2"/>
    <x v="10"/>
    <n v="2023"/>
    <x v="412"/>
    <n v="2371.2000000000007"/>
    <x v="1"/>
    <n v="6897.12"/>
    <x v="2"/>
    <x v="0"/>
    <x v="2"/>
  </r>
  <r>
    <s v="ORD1438"/>
    <d v="2023-10-09T00:00:00"/>
    <x v="2"/>
    <x v="0"/>
    <x v="1"/>
    <x v="15"/>
    <x v="4"/>
    <n v="4314"/>
    <x v="429"/>
    <x v="437"/>
    <n v="0.11411064750424972"/>
    <x v="1"/>
    <x v="1"/>
    <n v="2023"/>
    <x v="413"/>
    <n v="3882.6000000000004"/>
    <x v="1"/>
    <n v="11465.18"/>
    <x v="2"/>
    <x v="1"/>
    <x v="1"/>
  </r>
  <r>
    <s v="ORD1439"/>
    <d v="2023-02-06T00:00:00"/>
    <x v="2"/>
    <x v="1"/>
    <x v="3"/>
    <x v="14"/>
    <x v="3"/>
    <n v="1772"/>
    <x v="430"/>
    <x v="438"/>
    <n v="0.20588098821168799"/>
    <x v="1"/>
    <x v="8"/>
    <n v="2023"/>
    <x v="414"/>
    <n v="4784.4000000000015"/>
    <x v="0"/>
    <n v="12664.61"/>
    <x v="0"/>
    <x v="1"/>
    <x v="1"/>
  </r>
  <r>
    <s v="ORD1440"/>
    <d v="2023-02-04T00:00:00"/>
    <x v="1"/>
    <x v="4"/>
    <x v="2"/>
    <x v="3"/>
    <x v="3"/>
    <n v="3398"/>
    <x v="431"/>
    <x v="439"/>
    <n v="0.23035216794192662"/>
    <x v="0"/>
    <x v="8"/>
    <n v="2023"/>
    <x v="415"/>
    <n v="9174.6000000000022"/>
    <x v="0"/>
    <n v="23537.370000000003"/>
    <x v="0"/>
    <x v="0"/>
    <x v="0"/>
  </r>
  <r>
    <s v="ORD1441"/>
    <d v="2023-03-16T00:00:00"/>
    <x v="0"/>
    <x v="0"/>
    <x v="1"/>
    <x v="2"/>
    <x v="6"/>
    <n v="613"/>
    <x v="432"/>
    <x v="440"/>
    <n v="8.4163947797716146E-2"/>
    <x v="2"/>
    <x v="4"/>
    <n v="2023"/>
    <x v="416"/>
    <n v="735.60000000000014"/>
    <x v="1"/>
    <n v="2245.63"/>
    <x v="1"/>
    <x v="0"/>
    <x v="2"/>
  </r>
  <r>
    <s v="ORD1442"/>
    <d v="2023-05-03T00:00:00"/>
    <x v="1"/>
    <x v="3"/>
    <x v="1"/>
    <x v="1"/>
    <x v="7"/>
    <n v="2292"/>
    <x v="433"/>
    <x v="441"/>
    <n v="0.24236910994764396"/>
    <x v="2"/>
    <x v="0"/>
    <n v="2023"/>
    <x v="417"/>
    <n v="1375.2000000000003"/>
    <x v="1"/>
    <n v="3472.98"/>
    <x v="2"/>
    <x v="0"/>
    <x v="2"/>
  </r>
  <r>
    <s v="ORD1443"/>
    <d v="2023-05-24T00:00:00"/>
    <x v="1"/>
    <x v="2"/>
    <x v="2"/>
    <x v="8"/>
    <x v="5"/>
    <n v="4457"/>
    <x v="434"/>
    <x v="442"/>
    <n v="0.21506779063431519"/>
    <x v="0"/>
    <x v="0"/>
    <n v="2023"/>
    <x v="418"/>
    <n v="9359.7000000000044"/>
    <x v="0"/>
    <n v="24489.1"/>
    <x v="0"/>
    <x v="0"/>
    <x v="0"/>
  </r>
  <r>
    <s v="ORD1444"/>
    <d v="2023-10-17T00:00:00"/>
    <x v="0"/>
    <x v="0"/>
    <x v="1"/>
    <x v="2"/>
    <x v="0"/>
    <n v="2358"/>
    <x v="435"/>
    <x v="443"/>
    <n v="0.11588899491094148"/>
    <x v="1"/>
    <x v="1"/>
    <n v="2023"/>
    <x v="107"/>
    <n v="5659.2000000000007"/>
    <x v="0"/>
    <n v="16677.87"/>
    <x v="0"/>
    <x v="0"/>
    <x v="1"/>
  </r>
  <r>
    <s v="ORD1445"/>
    <d v="2023-04-28T00:00:00"/>
    <x v="2"/>
    <x v="1"/>
    <x v="2"/>
    <x v="13"/>
    <x v="0"/>
    <n v="4165"/>
    <x v="436"/>
    <x v="444"/>
    <n v="0.1252484993997599"/>
    <x v="0"/>
    <x v="11"/>
    <n v="2023"/>
    <x v="419"/>
    <n v="9996"/>
    <x v="0"/>
    <n v="29146.720000000001"/>
    <x v="0"/>
    <x v="1"/>
    <x v="0"/>
  </r>
  <r>
    <s v="ORD1446"/>
    <d v="2023-02-22T00:00:00"/>
    <x v="0"/>
    <x v="4"/>
    <x v="0"/>
    <x v="9"/>
    <x v="8"/>
    <n v="636"/>
    <x v="437"/>
    <x v="445"/>
    <n v="8.5723270440251575E-2"/>
    <x v="2"/>
    <x v="8"/>
    <n v="2023"/>
    <x v="420"/>
    <n v="190.8"/>
    <x v="1"/>
    <n v="581.48"/>
    <x v="2"/>
    <x v="0"/>
    <x v="2"/>
  </r>
  <r>
    <s v="ORD1447"/>
    <d v="2023-03-15T00:00:00"/>
    <x v="1"/>
    <x v="2"/>
    <x v="3"/>
    <x v="7"/>
    <x v="8"/>
    <n v="382"/>
    <x v="438"/>
    <x v="446"/>
    <n v="0.16552356020942408"/>
    <x v="2"/>
    <x v="4"/>
    <n v="2023"/>
    <x v="421"/>
    <n v="114.60000000000002"/>
    <x v="1"/>
    <n v="318.77000000000004"/>
    <x v="2"/>
    <x v="0"/>
    <x v="2"/>
  </r>
  <r>
    <s v="ORD1448"/>
    <d v="2023-01-14T00:00:00"/>
    <x v="1"/>
    <x v="2"/>
    <x v="2"/>
    <x v="6"/>
    <x v="6"/>
    <n v="859"/>
    <x v="439"/>
    <x v="447"/>
    <n v="0.19604481955762515"/>
    <x v="2"/>
    <x v="6"/>
    <n v="2023"/>
    <x v="422"/>
    <n v="1030.8000000000002"/>
    <x v="1"/>
    <n v="2762.39"/>
    <x v="1"/>
    <x v="0"/>
    <x v="2"/>
  </r>
  <r>
    <s v="ORD1449"/>
    <d v="2023-09-21T00:00:00"/>
    <x v="1"/>
    <x v="2"/>
    <x v="1"/>
    <x v="1"/>
    <x v="1"/>
    <n v="2507"/>
    <x v="359"/>
    <x v="448"/>
    <n v="0.10428879138412445"/>
    <x v="1"/>
    <x v="5"/>
    <n v="2023"/>
    <x v="343"/>
    <n v="3760.5"/>
    <x v="1"/>
    <n v="11227.740000000002"/>
    <x v="1"/>
    <x v="0"/>
    <x v="1"/>
  </r>
  <r>
    <s v="ORD1450"/>
    <d v="2023-12-27T00:00:00"/>
    <x v="3"/>
    <x v="4"/>
    <x v="0"/>
    <x v="16"/>
    <x v="7"/>
    <n v="4649"/>
    <x v="440"/>
    <x v="449"/>
    <n v="0.20269305226930523"/>
    <x v="2"/>
    <x v="7"/>
    <n v="2023"/>
    <x v="423"/>
    <n v="2789.4000000000005"/>
    <x v="1"/>
    <n v="7413.36"/>
    <x v="2"/>
    <x v="0"/>
    <x v="2"/>
  </r>
  <r>
    <s v="ORD1451"/>
    <d v="2023-04-06T00:00:00"/>
    <x v="1"/>
    <x v="4"/>
    <x v="0"/>
    <x v="9"/>
    <x v="8"/>
    <n v="2084"/>
    <x v="441"/>
    <x v="450"/>
    <n v="8.7965451055662183E-2"/>
    <x v="2"/>
    <x v="11"/>
    <n v="2023"/>
    <x v="424"/>
    <n v="625.20000000000005"/>
    <x v="1"/>
    <n v="1900.6799999999998"/>
    <x v="2"/>
    <x v="0"/>
    <x v="2"/>
  </r>
  <r>
    <s v="ORD1452"/>
    <d v="2023-11-16T00:00:00"/>
    <x v="2"/>
    <x v="2"/>
    <x v="0"/>
    <x v="0"/>
    <x v="7"/>
    <n v="2637"/>
    <x v="442"/>
    <x v="451"/>
    <n v="0.1219605612438377"/>
    <x v="2"/>
    <x v="3"/>
    <n v="2023"/>
    <x v="425"/>
    <n v="1582.2000000000003"/>
    <x v="1"/>
    <n v="4630.78"/>
    <x v="2"/>
    <x v="1"/>
    <x v="2"/>
  </r>
  <r>
    <s v="ORD1453"/>
    <d v="2023-04-10T00:00:00"/>
    <x v="1"/>
    <x v="0"/>
    <x v="0"/>
    <x v="9"/>
    <x v="8"/>
    <n v="4432"/>
    <x v="443"/>
    <x v="452"/>
    <n v="0.22326037906137183"/>
    <x v="2"/>
    <x v="11"/>
    <n v="2023"/>
    <x v="426"/>
    <n v="1329.6000000000004"/>
    <x v="1"/>
    <n v="3442.5099999999998"/>
    <x v="2"/>
    <x v="0"/>
    <x v="2"/>
  </r>
  <r>
    <s v="ORD1454"/>
    <d v="2023-06-28T00:00:00"/>
    <x v="2"/>
    <x v="4"/>
    <x v="3"/>
    <x v="4"/>
    <x v="8"/>
    <n v="397"/>
    <x v="444"/>
    <x v="453"/>
    <n v="0.14415617128463476"/>
    <x v="2"/>
    <x v="2"/>
    <n v="2023"/>
    <x v="427"/>
    <n v="119.10000000000002"/>
    <x v="1"/>
    <n v="339.77"/>
    <x v="2"/>
    <x v="1"/>
    <x v="2"/>
  </r>
  <r>
    <s v="ORD1455"/>
    <d v="2023-04-30T00:00:00"/>
    <x v="0"/>
    <x v="3"/>
    <x v="1"/>
    <x v="15"/>
    <x v="8"/>
    <n v="4099"/>
    <x v="445"/>
    <x v="454"/>
    <n v="0.1875603805806294"/>
    <x v="2"/>
    <x v="11"/>
    <n v="2023"/>
    <x v="428"/>
    <n v="1229.7000000000003"/>
    <x v="1"/>
    <n v="3330.19"/>
    <x v="2"/>
    <x v="0"/>
    <x v="2"/>
  </r>
  <r>
    <s v="ORD1456"/>
    <d v="2023-04-11T00:00:00"/>
    <x v="2"/>
    <x v="2"/>
    <x v="0"/>
    <x v="16"/>
    <x v="1"/>
    <n v="4188"/>
    <x v="446"/>
    <x v="455"/>
    <n v="0.22883667621776504"/>
    <x v="0"/>
    <x v="11"/>
    <n v="2023"/>
    <x v="302"/>
    <n v="6282"/>
    <x v="1"/>
    <n v="16148.16"/>
    <x v="1"/>
    <x v="1"/>
    <x v="0"/>
  </r>
  <r>
    <s v="ORD1457"/>
    <d v="2023-07-20T00:00:00"/>
    <x v="2"/>
    <x v="2"/>
    <x v="0"/>
    <x v="9"/>
    <x v="6"/>
    <n v="4726"/>
    <x v="447"/>
    <x v="456"/>
    <n v="0.24047714769360978"/>
    <x v="1"/>
    <x v="10"/>
    <n v="2023"/>
    <x v="429"/>
    <n v="5671.2000000000007"/>
    <x v="1"/>
    <n v="14358.02"/>
    <x v="1"/>
    <x v="1"/>
    <x v="1"/>
  </r>
  <r>
    <s v="ORD1458"/>
    <d v="2023-10-31T00:00:00"/>
    <x v="0"/>
    <x v="2"/>
    <x v="0"/>
    <x v="16"/>
    <x v="1"/>
    <n v="3057"/>
    <x v="448"/>
    <x v="457"/>
    <n v="9.7817468105986266E-2"/>
    <x v="1"/>
    <x v="1"/>
    <n v="2023"/>
    <x v="430"/>
    <n v="4585.5"/>
    <x v="1"/>
    <n v="13789.86"/>
    <x v="1"/>
    <x v="0"/>
    <x v="1"/>
  </r>
  <r>
    <s v="ORD1459"/>
    <d v="2023-09-13T00:00:00"/>
    <x v="1"/>
    <x v="0"/>
    <x v="2"/>
    <x v="8"/>
    <x v="4"/>
    <n v="3574"/>
    <x v="449"/>
    <x v="458"/>
    <n v="9.8865883230740526E-2"/>
    <x v="1"/>
    <x v="5"/>
    <n v="2023"/>
    <x v="431"/>
    <n v="3216.6000000000004"/>
    <x v="1"/>
    <n v="9661.9600000000009"/>
    <x v="2"/>
    <x v="0"/>
    <x v="1"/>
  </r>
  <r>
    <s v="ORD1460"/>
    <d v="2023-08-17T00:00:00"/>
    <x v="2"/>
    <x v="2"/>
    <x v="2"/>
    <x v="8"/>
    <x v="5"/>
    <n v="4272"/>
    <x v="89"/>
    <x v="459"/>
    <n v="0.1116238630283574"/>
    <x v="0"/>
    <x v="9"/>
    <n v="2023"/>
    <x v="432"/>
    <n v="8971.2000000000044"/>
    <x v="0"/>
    <n v="26566"/>
    <x v="0"/>
    <x v="1"/>
    <x v="0"/>
  </r>
  <r>
    <s v="ORD1461"/>
    <d v="2023-11-06T00:00:00"/>
    <x v="3"/>
    <x v="4"/>
    <x v="0"/>
    <x v="11"/>
    <x v="3"/>
    <n v="4624"/>
    <x v="450"/>
    <x v="460"/>
    <n v="0.22785971741637834"/>
    <x v="0"/>
    <x v="3"/>
    <n v="2023"/>
    <x v="433"/>
    <n v="12484.800000000003"/>
    <x v="0"/>
    <n v="32133.39"/>
    <x v="0"/>
    <x v="0"/>
    <x v="0"/>
  </r>
  <r>
    <s v="ORD1462"/>
    <d v="2023-08-04T00:00:00"/>
    <x v="3"/>
    <x v="2"/>
    <x v="2"/>
    <x v="8"/>
    <x v="5"/>
    <n v="1396"/>
    <x v="451"/>
    <x v="461"/>
    <n v="8.6109291854277528E-2"/>
    <x v="2"/>
    <x v="9"/>
    <n v="2023"/>
    <x v="434"/>
    <n v="2931.6000000000004"/>
    <x v="0"/>
    <n v="8930.5400000000009"/>
    <x v="0"/>
    <x v="0"/>
    <x v="2"/>
  </r>
  <r>
    <s v="ORD1463"/>
    <d v="2023-11-06T00:00:00"/>
    <x v="1"/>
    <x v="4"/>
    <x v="1"/>
    <x v="15"/>
    <x v="2"/>
    <n v="1139"/>
    <x v="452"/>
    <x v="462"/>
    <n v="0.14717295873573311"/>
    <x v="2"/>
    <x v="3"/>
    <n v="2023"/>
    <x v="435"/>
    <n v="2050.2000000000007"/>
    <x v="0"/>
    <n v="5828.22"/>
    <x v="1"/>
    <x v="0"/>
    <x v="2"/>
  </r>
  <r>
    <s v="ORD1464"/>
    <d v="2023-04-28T00:00:00"/>
    <x v="1"/>
    <x v="3"/>
    <x v="2"/>
    <x v="8"/>
    <x v="4"/>
    <n v="1748"/>
    <x v="453"/>
    <x v="463"/>
    <n v="8.9876048817696411E-2"/>
    <x v="2"/>
    <x v="11"/>
    <n v="2023"/>
    <x v="436"/>
    <n v="1573.2000000000003"/>
    <x v="1"/>
    <n v="4772.6900000000005"/>
    <x v="2"/>
    <x v="0"/>
    <x v="2"/>
  </r>
  <r>
    <s v="ORD1465"/>
    <d v="2023-06-14T00:00:00"/>
    <x v="1"/>
    <x v="3"/>
    <x v="3"/>
    <x v="14"/>
    <x v="1"/>
    <n v="3857"/>
    <x v="454"/>
    <x v="464"/>
    <n v="8.2497796214674624E-2"/>
    <x v="1"/>
    <x v="2"/>
    <n v="2023"/>
    <x v="437"/>
    <n v="5785.5000000000018"/>
    <x v="1"/>
    <n v="17694.03"/>
    <x v="1"/>
    <x v="0"/>
    <x v="1"/>
  </r>
  <r>
    <s v="ORD1466"/>
    <d v="2023-04-21T00:00:00"/>
    <x v="1"/>
    <x v="4"/>
    <x v="1"/>
    <x v="5"/>
    <x v="6"/>
    <n v="4693"/>
    <x v="455"/>
    <x v="465"/>
    <n v="0.15031909226507564"/>
    <x v="1"/>
    <x v="11"/>
    <n v="2023"/>
    <x v="15"/>
    <n v="5631.6"/>
    <x v="1"/>
    <n v="15950.21"/>
    <x v="1"/>
    <x v="0"/>
    <x v="1"/>
  </r>
  <r>
    <s v="ORD1467"/>
    <d v="2023-08-16T00:00:00"/>
    <x v="1"/>
    <x v="2"/>
    <x v="2"/>
    <x v="6"/>
    <x v="6"/>
    <n v="4836"/>
    <x v="456"/>
    <x v="466"/>
    <n v="0.15889629859387924"/>
    <x v="1"/>
    <x v="9"/>
    <n v="2023"/>
    <x v="438"/>
    <n v="5803.2000000000007"/>
    <x v="1"/>
    <n v="16270.310000000001"/>
    <x v="1"/>
    <x v="0"/>
    <x v="1"/>
  </r>
  <r>
    <s v="ORD1468"/>
    <d v="2023-09-29T00:00:00"/>
    <x v="0"/>
    <x v="4"/>
    <x v="1"/>
    <x v="2"/>
    <x v="8"/>
    <n v="4123"/>
    <x v="457"/>
    <x v="467"/>
    <n v="0.15733689061363088"/>
    <x v="2"/>
    <x v="5"/>
    <n v="2023"/>
    <x v="236"/>
    <n v="1236.9000000000001"/>
    <x v="1"/>
    <n v="3474.2999999999997"/>
    <x v="2"/>
    <x v="0"/>
    <x v="2"/>
  </r>
  <r>
    <s v="ORD1469"/>
    <d v="2023-06-24T00:00:00"/>
    <x v="1"/>
    <x v="4"/>
    <x v="2"/>
    <x v="3"/>
    <x v="2"/>
    <n v="3964"/>
    <x v="14"/>
    <x v="468"/>
    <n v="9.2985620585267409E-2"/>
    <x v="0"/>
    <x v="2"/>
    <n v="2023"/>
    <x v="439"/>
    <n v="7135.2000000000007"/>
    <x v="0"/>
    <n v="21572.43"/>
    <x v="1"/>
    <x v="0"/>
    <x v="0"/>
  </r>
  <r>
    <s v="ORD1470"/>
    <d v="2023-06-02T00:00:00"/>
    <x v="2"/>
    <x v="5"/>
    <x v="1"/>
    <x v="10"/>
    <x v="2"/>
    <n v="3662"/>
    <x v="458"/>
    <x v="469"/>
    <n v="8.2983797560531578E-2"/>
    <x v="0"/>
    <x v="2"/>
    <n v="2023"/>
    <x v="145"/>
    <n v="6591.6000000000022"/>
    <x v="0"/>
    <n v="20148.68"/>
    <x v="1"/>
    <x v="1"/>
    <x v="0"/>
  </r>
  <r>
    <s v="ORD1471"/>
    <d v="2023-07-27T00:00:00"/>
    <x v="0"/>
    <x v="1"/>
    <x v="0"/>
    <x v="0"/>
    <x v="3"/>
    <n v="3909"/>
    <x v="459"/>
    <x v="470"/>
    <n v="0.17701031806941245"/>
    <x v="0"/>
    <x v="10"/>
    <n v="2023"/>
    <x v="440"/>
    <n v="10554.300000000003"/>
    <x v="0"/>
    <n v="28953.599999999999"/>
    <x v="0"/>
    <x v="0"/>
    <x v="0"/>
  </r>
  <r>
    <s v="ORD1472"/>
    <d v="2023-11-27T00:00:00"/>
    <x v="3"/>
    <x v="4"/>
    <x v="2"/>
    <x v="8"/>
    <x v="5"/>
    <n v="4602"/>
    <x v="460"/>
    <x v="471"/>
    <n v="8.401098901098901E-2"/>
    <x v="0"/>
    <x v="3"/>
    <n v="2023"/>
    <x v="339"/>
    <n v="9664.2000000000044"/>
    <x v="0"/>
    <n v="29507.67"/>
    <x v="0"/>
    <x v="0"/>
    <x v="0"/>
  </r>
  <r>
    <s v="ORD1473"/>
    <d v="2023-05-12T00:00:00"/>
    <x v="3"/>
    <x v="0"/>
    <x v="0"/>
    <x v="9"/>
    <x v="0"/>
    <n v="3316"/>
    <x v="461"/>
    <x v="472"/>
    <n v="0.14766096200241255"/>
    <x v="0"/>
    <x v="0"/>
    <n v="2023"/>
    <x v="441"/>
    <n v="7958.4000000000015"/>
    <x v="0"/>
    <n v="22610.850000000002"/>
    <x v="0"/>
    <x v="0"/>
    <x v="0"/>
  </r>
  <r>
    <s v="ORD1474"/>
    <d v="2023-08-06T00:00:00"/>
    <x v="3"/>
    <x v="3"/>
    <x v="3"/>
    <x v="12"/>
    <x v="7"/>
    <n v="3476"/>
    <x v="462"/>
    <x v="473"/>
    <n v="0.20706559263521288"/>
    <x v="2"/>
    <x v="9"/>
    <n v="2023"/>
    <x v="442"/>
    <n v="2085.6000000000004"/>
    <x v="1"/>
    <n v="5512.4800000000005"/>
    <x v="2"/>
    <x v="0"/>
    <x v="2"/>
  </r>
  <r>
    <s v="ORD1475"/>
    <d v="2023-11-27T00:00:00"/>
    <x v="0"/>
    <x v="2"/>
    <x v="2"/>
    <x v="8"/>
    <x v="5"/>
    <n v="3916"/>
    <x v="463"/>
    <x v="474"/>
    <n v="0.1702254487085948"/>
    <x v="0"/>
    <x v="3"/>
    <n v="2023"/>
    <x v="443"/>
    <n v="8223.6000000000022"/>
    <x v="0"/>
    <n v="22745.78"/>
    <x v="0"/>
    <x v="0"/>
    <x v="0"/>
  </r>
  <r>
    <s v="ORD1476"/>
    <d v="2023-01-26T00:00:00"/>
    <x v="2"/>
    <x v="3"/>
    <x v="1"/>
    <x v="5"/>
    <x v="8"/>
    <n v="3470"/>
    <x v="464"/>
    <x v="475"/>
    <n v="0.10393659942363113"/>
    <x v="2"/>
    <x v="6"/>
    <n v="2023"/>
    <x v="444"/>
    <n v="1041"/>
    <x v="1"/>
    <n v="3109.34"/>
    <x v="2"/>
    <x v="1"/>
    <x v="2"/>
  </r>
  <r>
    <s v="ORD1477"/>
    <d v="2023-12-26T00:00:00"/>
    <x v="3"/>
    <x v="2"/>
    <x v="0"/>
    <x v="9"/>
    <x v="4"/>
    <n v="660"/>
    <x v="465"/>
    <x v="476"/>
    <n v="0.21788888888888891"/>
    <x v="2"/>
    <x v="7"/>
    <n v="2023"/>
    <x v="445"/>
    <n v="594.00000000000023"/>
    <x v="1"/>
    <n v="1548.58"/>
    <x v="2"/>
    <x v="0"/>
    <x v="2"/>
  </r>
  <r>
    <s v="ORD1478"/>
    <d v="2023-04-12T00:00:00"/>
    <x v="3"/>
    <x v="2"/>
    <x v="0"/>
    <x v="16"/>
    <x v="8"/>
    <n v="1272"/>
    <x v="466"/>
    <x v="477"/>
    <n v="0.24105345911949685"/>
    <x v="2"/>
    <x v="11"/>
    <n v="2023"/>
    <x v="446"/>
    <n v="381.6"/>
    <x v="1"/>
    <n v="965.38"/>
    <x v="2"/>
    <x v="0"/>
    <x v="2"/>
  </r>
  <r>
    <s v="ORD1479"/>
    <d v="2023-08-29T00:00:00"/>
    <x v="1"/>
    <x v="1"/>
    <x v="3"/>
    <x v="4"/>
    <x v="3"/>
    <n v="4981"/>
    <x v="467"/>
    <x v="478"/>
    <n v="9.0574628030962098E-2"/>
    <x v="0"/>
    <x v="9"/>
    <n v="2023"/>
    <x v="447"/>
    <n v="13448.7"/>
    <x v="0"/>
    <n v="40768.630000000005"/>
    <x v="0"/>
    <x v="0"/>
    <x v="0"/>
  </r>
  <r>
    <s v="ORD1480"/>
    <d v="2023-08-14T00:00:00"/>
    <x v="0"/>
    <x v="1"/>
    <x v="2"/>
    <x v="3"/>
    <x v="3"/>
    <n v="2495"/>
    <x v="468"/>
    <x v="479"/>
    <n v="0.10282654197283454"/>
    <x v="0"/>
    <x v="9"/>
    <n v="2023"/>
    <x v="448"/>
    <n v="6736.5"/>
    <x v="0"/>
    <n v="20146.03"/>
    <x v="0"/>
    <x v="0"/>
    <x v="0"/>
  </r>
  <r>
    <s v="ORD1481"/>
    <d v="2023-07-29T00:00:00"/>
    <x v="1"/>
    <x v="3"/>
    <x v="1"/>
    <x v="5"/>
    <x v="1"/>
    <n v="3845"/>
    <x v="469"/>
    <x v="480"/>
    <n v="0.21718387516254875"/>
    <x v="1"/>
    <x v="10"/>
    <n v="2023"/>
    <x v="449"/>
    <n v="5767.5"/>
    <x v="1"/>
    <n v="15049.64"/>
    <x v="1"/>
    <x v="0"/>
    <x v="1"/>
  </r>
  <r>
    <s v="ORD1482"/>
    <d v="2023-08-23T00:00:00"/>
    <x v="3"/>
    <x v="4"/>
    <x v="1"/>
    <x v="5"/>
    <x v="4"/>
    <n v="1316"/>
    <x v="470"/>
    <x v="481"/>
    <n v="0.16182624113475177"/>
    <x v="2"/>
    <x v="9"/>
    <n v="2023"/>
    <x v="450"/>
    <n v="1184.4000000000001"/>
    <x v="1"/>
    <n v="3309.11"/>
    <x v="2"/>
    <x v="0"/>
    <x v="2"/>
  </r>
  <r>
    <s v="ORD1483"/>
    <d v="2023-03-11T00:00:00"/>
    <x v="2"/>
    <x v="2"/>
    <x v="3"/>
    <x v="14"/>
    <x v="7"/>
    <n v="1746"/>
    <x v="471"/>
    <x v="482"/>
    <n v="0.14661512027491411"/>
    <x v="2"/>
    <x v="4"/>
    <n v="2023"/>
    <x v="259"/>
    <n v="1047.6000000000004"/>
    <x v="1"/>
    <n v="2980.02"/>
    <x v="2"/>
    <x v="1"/>
    <x v="2"/>
  </r>
  <r>
    <s v="ORD1484"/>
    <d v="2023-05-19T00:00:00"/>
    <x v="2"/>
    <x v="4"/>
    <x v="0"/>
    <x v="0"/>
    <x v="0"/>
    <n v="2693"/>
    <x v="472"/>
    <x v="483"/>
    <n v="0.17682185295209801"/>
    <x v="0"/>
    <x v="0"/>
    <n v="2023"/>
    <x v="451"/>
    <n v="6463.2000000000007"/>
    <x v="0"/>
    <n v="17734.550000000003"/>
    <x v="0"/>
    <x v="1"/>
    <x v="0"/>
  </r>
  <r>
    <s v="ORD1485"/>
    <d v="2023-06-03T00:00:00"/>
    <x v="1"/>
    <x v="2"/>
    <x v="1"/>
    <x v="15"/>
    <x v="5"/>
    <n v="1069"/>
    <x v="473"/>
    <x v="484"/>
    <n v="0.18579847654683948"/>
    <x v="2"/>
    <x v="2"/>
    <n v="2023"/>
    <x v="452"/>
    <n v="2244.9000000000005"/>
    <x v="0"/>
    <n v="6092.67"/>
    <x v="0"/>
    <x v="0"/>
    <x v="2"/>
  </r>
  <r>
    <s v="ORD1486"/>
    <d v="2023-09-02T00:00:00"/>
    <x v="3"/>
    <x v="3"/>
    <x v="2"/>
    <x v="13"/>
    <x v="7"/>
    <n v="1496"/>
    <x v="474"/>
    <x v="485"/>
    <n v="0.24322192513368984"/>
    <x v="2"/>
    <x v="5"/>
    <n v="2023"/>
    <x v="453"/>
    <n v="897.59999999999991"/>
    <x v="1"/>
    <n v="2264.2800000000002"/>
    <x v="2"/>
    <x v="0"/>
    <x v="2"/>
  </r>
  <r>
    <s v="ORD1487"/>
    <d v="2023-12-18T00:00:00"/>
    <x v="3"/>
    <x v="4"/>
    <x v="1"/>
    <x v="15"/>
    <x v="0"/>
    <n v="3412"/>
    <x v="475"/>
    <x v="486"/>
    <n v="0.2252176143024619"/>
    <x v="0"/>
    <x v="7"/>
    <n v="2023"/>
    <x v="454"/>
    <n v="8188.8000000000029"/>
    <x v="0"/>
    <n v="21148.46"/>
    <x v="0"/>
    <x v="0"/>
    <x v="0"/>
  </r>
  <r>
    <s v="ORD1488"/>
    <d v="2023-08-30T00:00:00"/>
    <x v="1"/>
    <x v="1"/>
    <x v="0"/>
    <x v="16"/>
    <x v="8"/>
    <n v="4482"/>
    <x v="476"/>
    <x v="487"/>
    <n v="0.24322846943328874"/>
    <x v="2"/>
    <x v="9"/>
    <n v="2023"/>
    <x v="455"/>
    <n v="1344.6000000000004"/>
    <x v="1"/>
    <n v="3391.85"/>
    <x v="2"/>
    <x v="0"/>
    <x v="2"/>
  </r>
  <r>
    <s v="ORD1489"/>
    <d v="2023-04-11T00:00:00"/>
    <x v="3"/>
    <x v="2"/>
    <x v="1"/>
    <x v="1"/>
    <x v="3"/>
    <n v="2668"/>
    <x v="477"/>
    <x v="488"/>
    <n v="8.1536731634182902E-2"/>
    <x v="0"/>
    <x v="11"/>
    <n v="2023"/>
    <x v="456"/>
    <n v="7203.6000000000022"/>
    <x v="0"/>
    <n v="22054.140000000003"/>
    <x v="0"/>
    <x v="0"/>
    <x v="0"/>
  </r>
  <r>
    <s v="ORD1490"/>
    <d v="2023-11-18T00:00:00"/>
    <x v="0"/>
    <x v="0"/>
    <x v="1"/>
    <x v="15"/>
    <x v="1"/>
    <n v="2417"/>
    <x v="478"/>
    <x v="489"/>
    <n v="0.13468349193214729"/>
    <x v="1"/>
    <x v="3"/>
    <n v="2023"/>
    <x v="457"/>
    <n v="3625.5"/>
    <x v="1"/>
    <n v="10457.349999999999"/>
    <x v="1"/>
    <x v="0"/>
    <x v="1"/>
  </r>
  <r>
    <s v="ORD1491"/>
    <d v="2023-05-21T00:00:00"/>
    <x v="2"/>
    <x v="3"/>
    <x v="1"/>
    <x v="5"/>
    <x v="3"/>
    <n v="4644"/>
    <x v="479"/>
    <x v="490"/>
    <n v="0.16175136376686766"/>
    <x v="0"/>
    <x v="0"/>
    <n v="2023"/>
    <x v="204"/>
    <n v="12538.800000000003"/>
    <x v="0"/>
    <n v="35035.439999999995"/>
    <x v="0"/>
    <x v="1"/>
    <x v="0"/>
  </r>
  <r>
    <s v="ORD1492"/>
    <d v="2023-05-09T00:00:00"/>
    <x v="3"/>
    <x v="4"/>
    <x v="2"/>
    <x v="8"/>
    <x v="2"/>
    <n v="3518"/>
    <x v="480"/>
    <x v="491"/>
    <n v="0.23632035247299601"/>
    <x v="0"/>
    <x v="0"/>
    <n v="2023"/>
    <x v="458"/>
    <n v="6332.4000000000015"/>
    <x v="0"/>
    <n v="16119.75"/>
    <x v="1"/>
    <x v="0"/>
    <x v="0"/>
  </r>
  <r>
    <s v="ORD1493"/>
    <d v="2023-04-27T00:00:00"/>
    <x v="1"/>
    <x v="0"/>
    <x v="3"/>
    <x v="4"/>
    <x v="8"/>
    <n v="4106"/>
    <x v="481"/>
    <x v="492"/>
    <n v="0.14671699951290793"/>
    <x v="2"/>
    <x v="11"/>
    <n v="2023"/>
    <x v="459"/>
    <n v="1231.8000000000002"/>
    <x v="1"/>
    <n v="3503.58"/>
    <x v="2"/>
    <x v="0"/>
    <x v="2"/>
  </r>
  <r>
    <s v="ORD1494"/>
    <d v="2023-01-17T00:00:00"/>
    <x v="1"/>
    <x v="1"/>
    <x v="0"/>
    <x v="9"/>
    <x v="5"/>
    <n v="3874"/>
    <x v="482"/>
    <x v="493"/>
    <n v="0.12684305627258646"/>
    <x v="0"/>
    <x v="6"/>
    <n v="2023"/>
    <x v="460"/>
    <n v="8135.4000000000015"/>
    <x v="0"/>
    <n v="23678.27"/>
    <x v="0"/>
    <x v="0"/>
    <x v="0"/>
  </r>
  <r>
    <s v="ORD1495"/>
    <d v="2023-11-20T00:00:00"/>
    <x v="2"/>
    <x v="3"/>
    <x v="2"/>
    <x v="8"/>
    <x v="6"/>
    <n v="892"/>
    <x v="483"/>
    <x v="494"/>
    <n v="0.14095852017937219"/>
    <x v="2"/>
    <x v="3"/>
    <n v="2023"/>
    <x v="461"/>
    <n v="1070.4000000000001"/>
    <x v="1"/>
    <n v="3065.06"/>
    <x v="1"/>
    <x v="1"/>
    <x v="2"/>
  </r>
  <r>
    <s v="ORD1496"/>
    <d v="2023-11-11T00:00:00"/>
    <x v="0"/>
    <x v="4"/>
    <x v="3"/>
    <x v="7"/>
    <x v="6"/>
    <n v="3899"/>
    <x v="484"/>
    <x v="495"/>
    <n v="8.4678122595537322E-2"/>
    <x v="1"/>
    <x v="3"/>
    <n v="2023"/>
    <x v="462"/>
    <n v="4678.8000000000011"/>
    <x v="1"/>
    <n v="14275.36"/>
    <x v="1"/>
    <x v="0"/>
    <x v="1"/>
  </r>
  <r>
    <s v="ORD1497"/>
    <d v="2023-08-09T00:00:00"/>
    <x v="3"/>
    <x v="1"/>
    <x v="3"/>
    <x v="12"/>
    <x v="8"/>
    <n v="2601"/>
    <x v="485"/>
    <x v="496"/>
    <n v="0.19552479815455595"/>
    <x v="2"/>
    <x v="9"/>
    <n v="2023"/>
    <x v="265"/>
    <n v="780.30000000000018"/>
    <x v="1"/>
    <n v="2092.44"/>
    <x v="2"/>
    <x v="0"/>
    <x v="2"/>
  </r>
  <r>
    <s v="ORD1498"/>
    <d v="2023-10-09T00:00:00"/>
    <x v="0"/>
    <x v="0"/>
    <x v="2"/>
    <x v="13"/>
    <x v="0"/>
    <n v="860"/>
    <x v="486"/>
    <x v="497"/>
    <n v="0.16783866279069767"/>
    <x v="2"/>
    <x v="1"/>
    <n v="2023"/>
    <x v="463"/>
    <n v="2064"/>
    <x v="0"/>
    <n v="5725.2699999999995"/>
    <x v="0"/>
    <x v="0"/>
    <x v="2"/>
  </r>
  <r>
    <s v="ORD1499"/>
    <d v="2023-02-09T00:00:00"/>
    <x v="2"/>
    <x v="5"/>
    <x v="3"/>
    <x v="14"/>
    <x v="5"/>
    <n v="2238"/>
    <x v="487"/>
    <x v="498"/>
    <n v="0.24089748499936167"/>
    <x v="1"/>
    <x v="8"/>
    <n v="2023"/>
    <x v="117"/>
    <n v="4699.8000000000011"/>
    <x v="0"/>
    <n v="11892.1"/>
    <x v="0"/>
    <x v="1"/>
    <x v="1"/>
  </r>
  <r>
    <s v="ORD1500"/>
    <d v="2023-08-30T00:00:00"/>
    <x v="3"/>
    <x v="1"/>
    <x v="1"/>
    <x v="1"/>
    <x v="5"/>
    <n v="1073"/>
    <x v="488"/>
    <x v="499"/>
    <n v="0.23111037145519903"/>
    <x v="2"/>
    <x v="9"/>
    <n v="2023"/>
    <x v="464"/>
    <n v="2253.3000000000011"/>
    <x v="0"/>
    <n v="5775.13"/>
    <x v="0"/>
    <x v="0"/>
    <x v="2"/>
  </r>
  <r>
    <s v="ORD1501"/>
    <d v="2023-04-13T00:00:00"/>
    <x v="1"/>
    <x v="2"/>
    <x v="3"/>
    <x v="14"/>
    <x v="3"/>
    <n v="1591"/>
    <x v="489"/>
    <x v="500"/>
    <n v="0.13636566799357497"/>
    <x v="1"/>
    <x v="11"/>
    <n v="2023"/>
    <x v="465"/>
    <n v="4295.7000000000007"/>
    <x v="0"/>
    <n v="12366.38"/>
    <x v="0"/>
    <x v="0"/>
    <x v="1"/>
  </r>
  <r>
    <s v="ORD1502"/>
    <d v="2023-07-14T00:00:00"/>
    <x v="0"/>
    <x v="0"/>
    <x v="1"/>
    <x v="5"/>
    <x v="6"/>
    <n v="470"/>
    <x v="490"/>
    <x v="501"/>
    <n v="0.22951595744680853"/>
    <x v="2"/>
    <x v="10"/>
    <n v="2023"/>
    <x v="466"/>
    <n v="564"/>
    <x v="1"/>
    <n v="1448.51"/>
    <x v="1"/>
    <x v="0"/>
    <x v="2"/>
  </r>
  <r>
    <s v="ORD1503"/>
    <d v="2023-01-04T00:00:00"/>
    <x v="0"/>
    <x v="3"/>
    <x v="2"/>
    <x v="13"/>
    <x v="6"/>
    <n v="3807"/>
    <x v="491"/>
    <x v="502"/>
    <n v="0.13994221171526136"/>
    <x v="1"/>
    <x v="6"/>
    <n v="2023"/>
    <x v="467"/>
    <n v="4568.4000000000015"/>
    <x v="1"/>
    <n v="13096.960000000001"/>
    <x v="1"/>
    <x v="0"/>
    <x v="1"/>
  </r>
  <r>
    <s v="ORD1504"/>
    <d v="2023-10-06T00:00:00"/>
    <x v="2"/>
    <x v="1"/>
    <x v="3"/>
    <x v="12"/>
    <x v="5"/>
    <n v="3452"/>
    <x v="492"/>
    <x v="503"/>
    <n v="0.12802019533189871"/>
    <x v="0"/>
    <x v="1"/>
    <n v="2023"/>
    <x v="468"/>
    <n v="7249.2000000000044"/>
    <x v="0"/>
    <n v="21070.52"/>
    <x v="0"/>
    <x v="1"/>
    <x v="0"/>
  </r>
  <r>
    <s v="ORD1505"/>
    <d v="2023-09-06T00:00:00"/>
    <x v="3"/>
    <x v="1"/>
    <x v="0"/>
    <x v="11"/>
    <x v="1"/>
    <n v="4976"/>
    <x v="493"/>
    <x v="504"/>
    <n v="8.0002009646302247E-2"/>
    <x v="0"/>
    <x v="5"/>
    <n v="2023"/>
    <x v="469"/>
    <n v="7464"/>
    <x v="1"/>
    <n v="22889.55"/>
    <x v="1"/>
    <x v="0"/>
    <x v="0"/>
  </r>
  <r>
    <s v="ORD1506"/>
    <d v="2023-01-03T00:00:00"/>
    <x v="3"/>
    <x v="5"/>
    <x v="3"/>
    <x v="7"/>
    <x v="0"/>
    <n v="3356"/>
    <x v="494"/>
    <x v="505"/>
    <n v="0.13167014302741359"/>
    <x v="0"/>
    <x v="6"/>
    <n v="2023"/>
    <x v="470"/>
    <n v="8054.4000000000015"/>
    <x v="0"/>
    <n v="23312.92"/>
    <x v="0"/>
    <x v="0"/>
    <x v="0"/>
  </r>
  <r>
    <s v="ORD1507"/>
    <d v="2023-08-27T00:00:00"/>
    <x v="2"/>
    <x v="1"/>
    <x v="1"/>
    <x v="15"/>
    <x v="6"/>
    <n v="4259"/>
    <x v="495"/>
    <x v="506"/>
    <n v="0.13271425217187133"/>
    <x v="1"/>
    <x v="9"/>
    <n v="2023"/>
    <x v="471"/>
    <n v="5110.8000000000011"/>
    <x v="1"/>
    <n v="14775.08"/>
    <x v="1"/>
    <x v="1"/>
    <x v="1"/>
  </r>
  <r>
    <s v="ORD1508"/>
    <d v="2023-01-25T00:00:00"/>
    <x v="3"/>
    <x v="0"/>
    <x v="3"/>
    <x v="4"/>
    <x v="7"/>
    <n v="3813"/>
    <x v="496"/>
    <x v="507"/>
    <n v="0.13530028848675582"/>
    <x v="2"/>
    <x v="6"/>
    <n v="2023"/>
    <x v="472"/>
    <n v="2287.8000000000002"/>
    <x v="1"/>
    <n v="6594.2000000000007"/>
    <x v="2"/>
    <x v="0"/>
    <x v="2"/>
  </r>
  <r>
    <s v="ORD1509"/>
    <d v="2023-08-16T00:00:00"/>
    <x v="0"/>
    <x v="1"/>
    <x v="0"/>
    <x v="11"/>
    <x v="3"/>
    <n v="4791"/>
    <x v="497"/>
    <x v="508"/>
    <n v="0.2333298545884645"/>
    <x v="0"/>
    <x v="9"/>
    <n v="2023"/>
    <x v="473"/>
    <n v="12935.7"/>
    <x v="0"/>
    <n v="33058.049999999996"/>
    <x v="0"/>
    <x v="0"/>
    <x v="0"/>
  </r>
  <r>
    <s v="ORD1510"/>
    <d v="2023-10-14T00:00:00"/>
    <x v="1"/>
    <x v="3"/>
    <x v="1"/>
    <x v="5"/>
    <x v="0"/>
    <n v="471"/>
    <x v="498"/>
    <x v="509"/>
    <n v="9.3338641188959653E-2"/>
    <x v="2"/>
    <x v="1"/>
    <n v="2023"/>
    <x v="474"/>
    <n v="1130.4000000000001"/>
    <x v="0"/>
    <n v="3416.3"/>
    <x v="0"/>
    <x v="0"/>
    <x v="2"/>
  </r>
  <r>
    <s v="ORD1511"/>
    <d v="2023-05-19T00:00:00"/>
    <x v="3"/>
    <x v="3"/>
    <x v="2"/>
    <x v="13"/>
    <x v="7"/>
    <n v="4549"/>
    <x v="499"/>
    <x v="510"/>
    <n v="0.1792415915585843"/>
    <x v="2"/>
    <x v="0"/>
    <n v="2023"/>
    <x v="475"/>
    <n v="2729.4000000000005"/>
    <x v="1"/>
    <n v="7467.26"/>
    <x v="2"/>
    <x v="0"/>
    <x v="2"/>
  </r>
  <r>
    <s v="ORD1512"/>
    <d v="2023-04-21T00:00:00"/>
    <x v="2"/>
    <x v="0"/>
    <x v="1"/>
    <x v="5"/>
    <x v="8"/>
    <n v="4107"/>
    <x v="500"/>
    <x v="511"/>
    <n v="0.24136596055514972"/>
    <x v="2"/>
    <x v="11"/>
    <n v="2023"/>
    <x v="476"/>
    <n v="1232.1000000000004"/>
    <x v="1"/>
    <n v="3115.71"/>
    <x v="2"/>
    <x v="1"/>
    <x v="2"/>
  </r>
  <r>
    <s v="ORD1513"/>
    <d v="2023-08-05T00:00:00"/>
    <x v="0"/>
    <x v="2"/>
    <x v="3"/>
    <x v="12"/>
    <x v="2"/>
    <n v="3000"/>
    <x v="391"/>
    <x v="512"/>
    <n v="0.167355"/>
    <x v="1"/>
    <x v="9"/>
    <n v="2023"/>
    <x v="180"/>
    <n v="5400"/>
    <x v="0"/>
    <n v="14987.609999999999"/>
    <x v="1"/>
    <x v="0"/>
    <x v="1"/>
  </r>
  <r>
    <s v="ORD1514"/>
    <d v="2023-07-17T00:00:00"/>
    <x v="2"/>
    <x v="3"/>
    <x v="3"/>
    <x v="12"/>
    <x v="0"/>
    <n v="4399"/>
    <x v="501"/>
    <x v="513"/>
    <n v="0.11063338258695157"/>
    <x v="0"/>
    <x v="10"/>
    <n v="2023"/>
    <x v="34"/>
    <n v="10557.600000000002"/>
    <x v="0"/>
    <n v="31298.59"/>
    <x v="0"/>
    <x v="1"/>
    <x v="0"/>
  </r>
  <r>
    <s v="ORD1515"/>
    <d v="2023-06-18T00:00:00"/>
    <x v="2"/>
    <x v="4"/>
    <x v="0"/>
    <x v="9"/>
    <x v="3"/>
    <n v="3864"/>
    <x v="502"/>
    <x v="514"/>
    <n v="8.5245859213250522E-2"/>
    <x v="0"/>
    <x v="2"/>
    <n v="2023"/>
    <x v="477"/>
    <n v="10432.800000000003"/>
    <x v="0"/>
    <n v="31811.489999999998"/>
    <x v="0"/>
    <x v="1"/>
    <x v="0"/>
  </r>
  <r>
    <s v="ORD1516"/>
    <d v="2023-01-03T00:00:00"/>
    <x v="2"/>
    <x v="4"/>
    <x v="3"/>
    <x v="7"/>
    <x v="2"/>
    <n v="1563"/>
    <x v="503"/>
    <x v="515"/>
    <n v="0.24634890168479423"/>
    <x v="2"/>
    <x v="6"/>
    <n v="2023"/>
    <x v="6"/>
    <n v="2813.4000000000005"/>
    <x v="0"/>
    <n v="7067.74"/>
    <x v="1"/>
    <x v="1"/>
    <x v="2"/>
  </r>
  <r>
    <s v="ORD1517"/>
    <d v="2023-09-28T00:00:00"/>
    <x v="3"/>
    <x v="2"/>
    <x v="2"/>
    <x v="3"/>
    <x v="5"/>
    <n v="4487"/>
    <x v="504"/>
    <x v="516"/>
    <n v="0.16436403578592124"/>
    <x v="0"/>
    <x v="5"/>
    <n v="2023"/>
    <x v="478"/>
    <n v="9422.7000000000044"/>
    <x v="0"/>
    <n v="26246.489999999998"/>
    <x v="0"/>
    <x v="0"/>
    <x v="0"/>
  </r>
  <r>
    <s v="ORD1518"/>
    <d v="2023-03-19T00:00:00"/>
    <x v="1"/>
    <x v="4"/>
    <x v="1"/>
    <x v="5"/>
    <x v="4"/>
    <n v="242"/>
    <x v="505"/>
    <x v="517"/>
    <n v="0.22263085399449034"/>
    <x v="2"/>
    <x v="4"/>
    <n v="2023"/>
    <x v="479"/>
    <n v="217.80000000000007"/>
    <x v="1"/>
    <n v="564.37"/>
    <x v="2"/>
    <x v="0"/>
    <x v="2"/>
  </r>
  <r>
    <s v="ORD1519"/>
    <d v="2023-06-17T00:00:00"/>
    <x v="0"/>
    <x v="1"/>
    <x v="1"/>
    <x v="2"/>
    <x v="5"/>
    <n v="3586"/>
    <x v="506"/>
    <x v="518"/>
    <n v="0.16518484582901763"/>
    <x v="0"/>
    <x v="2"/>
    <n v="2023"/>
    <x v="480"/>
    <n v="7530.6000000000022"/>
    <x v="0"/>
    <n v="20955.53"/>
    <x v="0"/>
    <x v="0"/>
    <x v="0"/>
  </r>
  <r>
    <s v="ORD1520"/>
    <d v="2023-11-16T00:00:00"/>
    <x v="1"/>
    <x v="0"/>
    <x v="3"/>
    <x v="12"/>
    <x v="2"/>
    <n v="1199"/>
    <x v="507"/>
    <x v="519"/>
    <n v="0.11047400611620795"/>
    <x v="2"/>
    <x v="3"/>
    <n v="2023"/>
    <x v="481"/>
    <n v="2158.2000000000007"/>
    <x v="0"/>
    <n v="6399.25"/>
    <x v="1"/>
    <x v="0"/>
    <x v="2"/>
  </r>
  <r>
    <s v="ORD1521"/>
    <d v="2023-05-31T00:00:00"/>
    <x v="1"/>
    <x v="0"/>
    <x v="0"/>
    <x v="0"/>
    <x v="3"/>
    <n v="3931"/>
    <x v="508"/>
    <x v="520"/>
    <n v="0.19511602928290794"/>
    <x v="0"/>
    <x v="0"/>
    <n v="2023"/>
    <x v="482"/>
    <n v="10613.7"/>
    <x v="0"/>
    <n v="28475.99"/>
    <x v="0"/>
    <x v="0"/>
    <x v="0"/>
  </r>
  <r>
    <s v="ORD1522"/>
    <d v="2023-04-24T00:00:00"/>
    <x v="3"/>
    <x v="0"/>
    <x v="3"/>
    <x v="12"/>
    <x v="0"/>
    <n v="2766"/>
    <x v="509"/>
    <x v="521"/>
    <n v="0.1331869125090383"/>
    <x v="0"/>
    <x v="11"/>
    <n v="2023"/>
    <x v="483"/>
    <n v="6638.4000000000015"/>
    <x v="0"/>
    <n v="19180.84"/>
    <x v="0"/>
    <x v="0"/>
    <x v="0"/>
  </r>
  <r>
    <s v="ORD1523"/>
    <d v="2023-04-23T00:00:00"/>
    <x v="3"/>
    <x v="1"/>
    <x v="0"/>
    <x v="11"/>
    <x v="6"/>
    <n v="4759"/>
    <x v="510"/>
    <x v="522"/>
    <n v="0.10767860895146039"/>
    <x v="1"/>
    <x v="11"/>
    <n v="2023"/>
    <x v="484"/>
    <n v="5710.8000000000011"/>
    <x v="1"/>
    <n v="16986.23"/>
    <x v="1"/>
    <x v="0"/>
    <x v="1"/>
  </r>
  <r>
    <s v="ORD1524"/>
    <d v="2023-02-26T00:00:00"/>
    <x v="3"/>
    <x v="1"/>
    <x v="0"/>
    <x v="9"/>
    <x v="8"/>
    <n v="3149"/>
    <x v="511"/>
    <x v="523"/>
    <n v="0.13678945697046682"/>
    <x v="2"/>
    <x v="8"/>
    <n v="2023"/>
    <x v="485"/>
    <n v="944.70000000000027"/>
    <x v="1"/>
    <n v="2718.25"/>
    <x v="2"/>
    <x v="0"/>
    <x v="2"/>
  </r>
  <r>
    <s v="ORD1525"/>
    <d v="2023-01-19T00:00:00"/>
    <x v="1"/>
    <x v="1"/>
    <x v="1"/>
    <x v="1"/>
    <x v="8"/>
    <n v="249"/>
    <x v="512"/>
    <x v="524"/>
    <n v="0.15357429718875504"/>
    <x v="2"/>
    <x v="6"/>
    <n v="2023"/>
    <x v="486"/>
    <n v="74.700000000000017"/>
    <x v="1"/>
    <n v="210.76"/>
    <x v="2"/>
    <x v="0"/>
    <x v="2"/>
  </r>
  <r>
    <s v="ORD1526"/>
    <d v="2023-03-25T00:00:00"/>
    <x v="1"/>
    <x v="0"/>
    <x v="0"/>
    <x v="11"/>
    <x v="5"/>
    <n v="651"/>
    <x v="513"/>
    <x v="525"/>
    <n v="0.2469475532148343"/>
    <x v="2"/>
    <x v="4"/>
    <n v="2023"/>
    <x v="487"/>
    <n v="1367.1"/>
    <x v="0"/>
    <n v="3431.66"/>
    <x v="0"/>
    <x v="0"/>
    <x v="2"/>
  </r>
  <r>
    <s v="ORD1527"/>
    <d v="2023-08-06T00:00:00"/>
    <x v="1"/>
    <x v="1"/>
    <x v="2"/>
    <x v="6"/>
    <x v="0"/>
    <n v="2961"/>
    <x v="514"/>
    <x v="526"/>
    <n v="0.23550447483958123"/>
    <x v="0"/>
    <x v="9"/>
    <n v="2023"/>
    <x v="488"/>
    <n v="7106.4000000000015"/>
    <x v="0"/>
    <n v="18109.37"/>
    <x v="0"/>
    <x v="0"/>
    <x v="0"/>
  </r>
  <r>
    <s v="ORD1528"/>
    <d v="2023-11-14T00:00:00"/>
    <x v="2"/>
    <x v="1"/>
    <x v="1"/>
    <x v="5"/>
    <x v="7"/>
    <n v="717"/>
    <x v="515"/>
    <x v="527"/>
    <n v="0.17312412831241283"/>
    <x v="2"/>
    <x v="3"/>
    <n v="2023"/>
    <x v="489"/>
    <n v="430.20000000000005"/>
    <x v="1"/>
    <n v="1185.74"/>
    <x v="2"/>
    <x v="1"/>
    <x v="2"/>
  </r>
  <r>
    <s v="ORD1529"/>
    <d v="2023-06-26T00:00:00"/>
    <x v="3"/>
    <x v="0"/>
    <x v="1"/>
    <x v="2"/>
    <x v="6"/>
    <n v="4720"/>
    <x v="516"/>
    <x v="528"/>
    <n v="0.11475476694915256"/>
    <x v="1"/>
    <x v="2"/>
    <n v="2023"/>
    <x v="490"/>
    <n v="5664"/>
    <x v="1"/>
    <n v="16713.43"/>
    <x v="1"/>
    <x v="0"/>
    <x v="1"/>
  </r>
  <r>
    <s v="ORD1530"/>
    <d v="2023-10-07T00:00:00"/>
    <x v="1"/>
    <x v="3"/>
    <x v="0"/>
    <x v="11"/>
    <x v="7"/>
    <n v="407"/>
    <x v="517"/>
    <x v="529"/>
    <n v="0.18722358722358723"/>
    <x v="2"/>
    <x v="1"/>
    <n v="2023"/>
    <x v="215"/>
    <n v="244.20000000000005"/>
    <x v="1"/>
    <n v="661.6"/>
    <x v="2"/>
    <x v="0"/>
    <x v="2"/>
  </r>
  <r>
    <s v="ORD1531"/>
    <d v="2023-08-18T00:00:00"/>
    <x v="3"/>
    <x v="0"/>
    <x v="0"/>
    <x v="16"/>
    <x v="5"/>
    <n v="4514"/>
    <x v="518"/>
    <x v="530"/>
    <n v="9.2849230963985063E-2"/>
    <x v="0"/>
    <x v="9"/>
    <n v="2023"/>
    <x v="491"/>
    <n v="9479.4000000000015"/>
    <x v="0"/>
    <n v="28664.15"/>
    <x v="0"/>
    <x v="0"/>
    <x v="0"/>
  </r>
  <r>
    <s v="ORD1532"/>
    <d v="2023-11-18T00:00:00"/>
    <x v="1"/>
    <x v="1"/>
    <x v="3"/>
    <x v="7"/>
    <x v="6"/>
    <n v="4698"/>
    <x v="519"/>
    <x v="531"/>
    <n v="0.18602011494252874"/>
    <x v="1"/>
    <x v="3"/>
    <n v="2023"/>
    <x v="492"/>
    <n v="5637.6"/>
    <x v="1"/>
    <n v="15296.310000000001"/>
    <x v="1"/>
    <x v="0"/>
    <x v="1"/>
  </r>
  <r>
    <s v="ORD1533"/>
    <d v="2023-03-14T00:00:00"/>
    <x v="2"/>
    <x v="4"/>
    <x v="1"/>
    <x v="2"/>
    <x v="4"/>
    <n v="1942"/>
    <x v="520"/>
    <x v="532"/>
    <n v="0.17582217645039477"/>
    <x v="2"/>
    <x v="4"/>
    <n v="2023"/>
    <x v="493"/>
    <n v="1747.8000000000002"/>
    <x v="1"/>
    <n v="4801.66"/>
    <x v="2"/>
    <x v="1"/>
    <x v="2"/>
  </r>
  <r>
    <s v="ORD1534"/>
    <d v="2023-03-24T00:00:00"/>
    <x v="1"/>
    <x v="4"/>
    <x v="0"/>
    <x v="0"/>
    <x v="7"/>
    <n v="4708"/>
    <x v="521"/>
    <x v="533"/>
    <n v="0.10959430756159728"/>
    <x v="2"/>
    <x v="4"/>
    <n v="2023"/>
    <x v="494"/>
    <n v="2824.8"/>
    <x v="1"/>
    <n v="8384.06"/>
    <x v="2"/>
    <x v="0"/>
    <x v="2"/>
  </r>
  <r>
    <s v="ORD1535"/>
    <d v="2023-09-05T00:00:00"/>
    <x v="1"/>
    <x v="2"/>
    <x v="1"/>
    <x v="5"/>
    <x v="2"/>
    <n v="3194"/>
    <x v="522"/>
    <x v="534"/>
    <n v="0.2301090586516385"/>
    <x v="1"/>
    <x v="5"/>
    <n v="2023"/>
    <x v="495"/>
    <n v="5749.2000000000007"/>
    <x v="0"/>
    <n v="14754.189999999999"/>
    <x v="1"/>
    <x v="0"/>
    <x v="1"/>
  </r>
  <r>
    <s v="ORD1536"/>
    <d v="2023-10-28T00:00:00"/>
    <x v="3"/>
    <x v="4"/>
    <x v="1"/>
    <x v="2"/>
    <x v="3"/>
    <n v="483"/>
    <x v="523"/>
    <x v="535"/>
    <n v="0.18667356797791582"/>
    <x v="2"/>
    <x v="1"/>
    <n v="2023"/>
    <x v="496"/>
    <n v="1304.1000000000004"/>
    <x v="0"/>
    <n v="3535.53"/>
    <x v="0"/>
    <x v="0"/>
    <x v="2"/>
  </r>
  <r>
    <s v="ORD1537"/>
    <d v="2023-03-14T00:00:00"/>
    <x v="2"/>
    <x v="3"/>
    <x v="3"/>
    <x v="14"/>
    <x v="4"/>
    <n v="2120"/>
    <x v="524"/>
    <x v="536"/>
    <n v="0.11748270440251574"/>
    <x v="2"/>
    <x v="4"/>
    <n v="2023"/>
    <x v="497"/>
    <n v="1908"/>
    <x v="1"/>
    <n v="5612.8099999999995"/>
    <x v="2"/>
    <x v="1"/>
    <x v="2"/>
  </r>
  <r>
    <s v="ORD1538"/>
    <d v="2023-11-26T00:00:00"/>
    <x v="1"/>
    <x v="0"/>
    <x v="2"/>
    <x v="3"/>
    <x v="2"/>
    <n v="375"/>
    <x v="525"/>
    <x v="537"/>
    <n v="0.19304888888888891"/>
    <x v="2"/>
    <x v="3"/>
    <n v="2023"/>
    <x v="498"/>
    <n v="675"/>
    <x v="0"/>
    <n v="1815.6399999999999"/>
    <x v="1"/>
    <x v="0"/>
    <x v="2"/>
  </r>
  <r>
    <s v="ORD1539"/>
    <d v="2023-05-07T00:00:00"/>
    <x v="2"/>
    <x v="2"/>
    <x v="1"/>
    <x v="2"/>
    <x v="4"/>
    <n v="1979"/>
    <x v="526"/>
    <x v="538"/>
    <n v="0.20722587165234965"/>
    <x v="2"/>
    <x v="0"/>
    <n v="2023"/>
    <x v="499"/>
    <n v="1781.1000000000004"/>
    <x v="1"/>
    <n v="4706.7000000000007"/>
    <x v="2"/>
    <x v="1"/>
    <x v="2"/>
  </r>
  <r>
    <s v="ORD1540"/>
    <d v="2023-09-05T00:00:00"/>
    <x v="3"/>
    <x v="4"/>
    <x v="0"/>
    <x v="16"/>
    <x v="6"/>
    <n v="3876"/>
    <x v="527"/>
    <x v="539"/>
    <n v="0.16716331269349843"/>
    <x v="1"/>
    <x v="5"/>
    <n v="2023"/>
    <x v="500"/>
    <n v="4651.2000000000007"/>
    <x v="1"/>
    <n v="12912.300000000001"/>
    <x v="1"/>
    <x v="0"/>
    <x v="1"/>
  </r>
  <r>
    <s v="ORD1541"/>
    <d v="2023-06-17T00:00:00"/>
    <x v="0"/>
    <x v="4"/>
    <x v="0"/>
    <x v="9"/>
    <x v="3"/>
    <n v="2417"/>
    <x v="528"/>
    <x v="540"/>
    <n v="0.19914770376499796"/>
    <x v="0"/>
    <x v="2"/>
    <n v="2023"/>
    <x v="457"/>
    <n v="6525.9000000000015"/>
    <x v="0"/>
    <n v="17420.939999999999"/>
    <x v="0"/>
    <x v="0"/>
    <x v="0"/>
  </r>
  <r>
    <s v="ORD1542"/>
    <d v="2023-03-10T00:00:00"/>
    <x v="0"/>
    <x v="3"/>
    <x v="3"/>
    <x v="4"/>
    <x v="6"/>
    <n v="2984"/>
    <x v="529"/>
    <x v="541"/>
    <n v="0.11644939678284183"/>
    <x v="1"/>
    <x v="4"/>
    <n v="2023"/>
    <x v="501"/>
    <n v="3580.8000000000011"/>
    <x v="1"/>
    <n v="10546.06"/>
    <x v="1"/>
    <x v="0"/>
    <x v="1"/>
  </r>
  <r>
    <s v="ORD1543"/>
    <d v="2023-06-10T00:00:00"/>
    <x v="0"/>
    <x v="3"/>
    <x v="2"/>
    <x v="13"/>
    <x v="7"/>
    <n v="3210"/>
    <x v="530"/>
    <x v="542"/>
    <n v="0.11660903426791278"/>
    <x v="2"/>
    <x v="2"/>
    <n v="2023"/>
    <x v="502"/>
    <n v="1926"/>
    <x v="1"/>
    <n v="5671.37"/>
    <x v="2"/>
    <x v="0"/>
    <x v="2"/>
  </r>
  <r>
    <s v="ORD1544"/>
    <d v="2023-05-07T00:00:00"/>
    <x v="0"/>
    <x v="2"/>
    <x v="1"/>
    <x v="1"/>
    <x v="5"/>
    <n v="1873"/>
    <x v="531"/>
    <x v="543"/>
    <n v="0.23044390206696666"/>
    <x v="1"/>
    <x v="0"/>
    <n v="2023"/>
    <x v="503"/>
    <n v="3933.3000000000011"/>
    <x v="0"/>
    <n v="10089.65"/>
    <x v="0"/>
    <x v="0"/>
    <x v="1"/>
  </r>
  <r>
    <s v="ORD1545"/>
    <d v="2023-12-24T00:00:00"/>
    <x v="2"/>
    <x v="0"/>
    <x v="0"/>
    <x v="16"/>
    <x v="0"/>
    <n v="3957"/>
    <x v="532"/>
    <x v="544"/>
    <n v="0.14756633813495071"/>
    <x v="0"/>
    <x v="7"/>
    <n v="2023"/>
    <x v="504"/>
    <n v="9496.8000000000029"/>
    <x v="0"/>
    <n v="26984.640000000003"/>
    <x v="0"/>
    <x v="1"/>
    <x v="0"/>
  </r>
  <r>
    <s v="ORD1546"/>
    <d v="2023-03-14T00:00:00"/>
    <x v="2"/>
    <x v="0"/>
    <x v="1"/>
    <x v="1"/>
    <x v="4"/>
    <n v="693"/>
    <x v="533"/>
    <x v="545"/>
    <n v="0.1430880230880231"/>
    <x v="2"/>
    <x v="4"/>
    <n v="2023"/>
    <x v="505"/>
    <n v="623.70000000000005"/>
    <x v="1"/>
    <n v="1781.5199999999998"/>
    <x v="2"/>
    <x v="1"/>
    <x v="2"/>
  </r>
  <r>
    <s v="ORD1547"/>
    <d v="2023-07-01T00:00:00"/>
    <x v="2"/>
    <x v="4"/>
    <x v="3"/>
    <x v="4"/>
    <x v="8"/>
    <n v="4227"/>
    <x v="534"/>
    <x v="546"/>
    <n v="0.14263543884551691"/>
    <x v="2"/>
    <x v="10"/>
    <n v="2023"/>
    <x v="506"/>
    <n v="1268.1000000000004"/>
    <x v="1"/>
    <n v="3624.08"/>
    <x v="2"/>
    <x v="1"/>
    <x v="2"/>
  </r>
  <r>
    <s v="ORD1548"/>
    <d v="2023-12-29T00:00:00"/>
    <x v="0"/>
    <x v="2"/>
    <x v="1"/>
    <x v="1"/>
    <x v="1"/>
    <n v="3017"/>
    <x v="282"/>
    <x v="547"/>
    <n v="0.18714219423268147"/>
    <x v="1"/>
    <x v="7"/>
    <n v="2023"/>
    <x v="272"/>
    <n v="4525.5"/>
    <x v="1"/>
    <n v="12261.960000000001"/>
    <x v="1"/>
    <x v="0"/>
    <x v="1"/>
  </r>
  <r>
    <s v="ORD1549"/>
    <d v="2023-04-17T00:00:00"/>
    <x v="2"/>
    <x v="2"/>
    <x v="1"/>
    <x v="2"/>
    <x v="0"/>
    <n v="2667"/>
    <x v="535"/>
    <x v="548"/>
    <n v="0.17095425571803524"/>
    <x v="0"/>
    <x v="11"/>
    <n v="2023"/>
    <x v="507"/>
    <n v="6400.8000000000011"/>
    <x v="0"/>
    <n v="17688.52"/>
    <x v="0"/>
    <x v="1"/>
    <x v="0"/>
  </r>
  <r>
    <s v="ORD1550"/>
    <d v="2023-07-04T00:00:00"/>
    <x v="2"/>
    <x v="2"/>
    <x v="1"/>
    <x v="2"/>
    <x v="2"/>
    <n v="2759"/>
    <x v="536"/>
    <x v="549"/>
    <n v="0.15546635254319199"/>
    <x v="1"/>
    <x v="10"/>
    <n v="2023"/>
    <x v="508"/>
    <n v="4966.2000000000007"/>
    <x v="0"/>
    <n v="13980.41"/>
    <x v="1"/>
    <x v="1"/>
    <x v="1"/>
  </r>
  <r>
    <s v="ORD1551"/>
    <d v="2023-03-29T00:00:00"/>
    <x v="3"/>
    <x v="2"/>
    <x v="1"/>
    <x v="1"/>
    <x v="5"/>
    <n v="3844"/>
    <x v="537"/>
    <x v="550"/>
    <n v="0.15981938456964473"/>
    <x v="0"/>
    <x v="4"/>
    <n v="2023"/>
    <x v="509"/>
    <n v="8072.4000000000015"/>
    <x v="0"/>
    <n v="22607.579999999998"/>
    <x v="0"/>
    <x v="0"/>
    <x v="0"/>
  </r>
  <r>
    <s v="ORD1552"/>
    <d v="2023-08-30T00:00:00"/>
    <x v="2"/>
    <x v="4"/>
    <x v="0"/>
    <x v="9"/>
    <x v="5"/>
    <n v="3274"/>
    <x v="538"/>
    <x v="551"/>
    <n v="0.14964394798848066"/>
    <x v="0"/>
    <x v="9"/>
    <n v="2023"/>
    <x v="510"/>
    <n v="6875.4000000000015"/>
    <x v="0"/>
    <n v="19488.46"/>
    <x v="0"/>
    <x v="1"/>
    <x v="0"/>
  </r>
  <r>
    <s v="ORD1553"/>
    <d v="2023-07-21T00:00:00"/>
    <x v="3"/>
    <x v="1"/>
    <x v="1"/>
    <x v="2"/>
    <x v="1"/>
    <n v="1124"/>
    <x v="539"/>
    <x v="552"/>
    <n v="9.1983985765124565E-2"/>
    <x v="2"/>
    <x v="10"/>
    <n v="2023"/>
    <x v="511"/>
    <n v="1686"/>
    <x v="1"/>
    <n v="5103.05"/>
    <x v="1"/>
    <x v="0"/>
    <x v="2"/>
  </r>
  <r>
    <s v="ORD1554"/>
    <d v="2023-03-24T00:00:00"/>
    <x v="0"/>
    <x v="2"/>
    <x v="1"/>
    <x v="15"/>
    <x v="4"/>
    <n v="2868"/>
    <x v="540"/>
    <x v="553"/>
    <n v="0.22050325430032544"/>
    <x v="2"/>
    <x v="4"/>
    <n v="2023"/>
    <x v="512"/>
    <n v="2581.2000000000007"/>
    <x v="1"/>
    <n v="6706.79"/>
    <x v="2"/>
    <x v="0"/>
    <x v="2"/>
  </r>
  <r>
    <s v="ORD1555"/>
    <d v="2023-11-08T00:00:00"/>
    <x v="1"/>
    <x v="4"/>
    <x v="3"/>
    <x v="10"/>
    <x v="6"/>
    <n v="2387"/>
    <x v="541"/>
    <x v="554"/>
    <n v="0.12249266862170087"/>
    <x v="2"/>
    <x v="3"/>
    <n v="2023"/>
    <x v="513"/>
    <n v="2864.4000000000005"/>
    <x v="1"/>
    <n v="8378.44"/>
    <x v="1"/>
    <x v="0"/>
    <x v="2"/>
  </r>
  <r>
    <s v="ORD1556"/>
    <d v="2023-11-07T00:00:00"/>
    <x v="1"/>
    <x v="1"/>
    <x v="3"/>
    <x v="12"/>
    <x v="6"/>
    <n v="4127"/>
    <x v="542"/>
    <x v="555"/>
    <n v="0.21417979161618608"/>
    <x v="1"/>
    <x v="3"/>
    <n v="2023"/>
    <x v="514"/>
    <n v="4952.4000000000015"/>
    <x v="1"/>
    <n v="12972.32"/>
    <x v="1"/>
    <x v="0"/>
    <x v="1"/>
  </r>
  <r>
    <s v="ORD1557"/>
    <d v="2023-04-07T00:00:00"/>
    <x v="2"/>
    <x v="1"/>
    <x v="2"/>
    <x v="6"/>
    <x v="8"/>
    <n v="4609"/>
    <x v="543"/>
    <x v="556"/>
    <n v="0.23999132132783682"/>
    <x v="2"/>
    <x v="11"/>
    <n v="2023"/>
    <x v="515"/>
    <n v="1382.7000000000003"/>
    <x v="1"/>
    <n v="3502.88"/>
    <x v="2"/>
    <x v="1"/>
    <x v="2"/>
  </r>
  <r>
    <s v="ORD1558"/>
    <d v="2023-05-30T00:00:00"/>
    <x v="2"/>
    <x v="1"/>
    <x v="3"/>
    <x v="12"/>
    <x v="2"/>
    <n v="2356"/>
    <x v="544"/>
    <x v="557"/>
    <n v="0.16553268251273343"/>
    <x v="1"/>
    <x v="0"/>
    <n v="2023"/>
    <x v="516"/>
    <n v="4240.8000000000011"/>
    <x v="0"/>
    <n v="11796.03"/>
    <x v="1"/>
    <x v="1"/>
    <x v="1"/>
  </r>
  <r>
    <s v="ORD1559"/>
    <d v="2023-10-12T00:00:00"/>
    <x v="0"/>
    <x v="1"/>
    <x v="1"/>
    <x v="15"/>
    <x v="8"/>
    <n v="3142"/>
    <x v="545"/>
    <x v="558"/>
    <n v="0.18379376193507321"/>
    <x v="2"/>
    <x v="1"/>
    <n v="2023"/>
    <x v="517"/>
    <n v="942.60000000000036"/>
    <x v="1"/>
    <n v="2564.52"/>
    <x v="2"/>
    <x v="0"/>
    <x v="2"/>
  </r>
  <r>
    <s v="ORD1560"/>
    <d v="2023-02-14T00:00:00"/>
    <x v="2"/>
    <x v="1"/>
    <x v="0"/>
    <x v="9"/>
    <x v="6"/>
    <n v="4790"/>
    <x v="546"/>
    <x v="559"/>
    <n v="0.16319415448851776"/>
    <x v="1"/>
    <x v="8"/>
    <n v="2023"/>
    <x v="518"/>
    <n v="5748"/>
    <x v="1"/>
    <n v="16033.199999999999"/>
    <x v="1"/>
    <x v="1"/>
    <x v="1"/>
  </r>
  <r>
    <s v="ORD1561"/>
    <d v="2023-09-03T00:00:00"/>
    <x v="2"/>
    <x v="4"/>
    <x v="1"/>
    <x v="5"/>
    <x v="2"/>
    <n v="3289"/>
    <x v="547"/>
    <x v="560"/>
    <n v="0.1304535319752711"/>
    <x v="1"/>
    <x v="5"/>
    <n v="2023"/>
    <x v="519"/>
    <n v="5920.2000000000007"/>
    <x v="0"/>
    <n v="17159.63"/>
    <x v="1"/>
    <x v="1"/>
    <x v="1"/>
  </r>
  <r>
    <s v="ORD1562"/>
    <d v="2023-04-25T00:00:00"/>
    <x v="3"/>
    <x v="3"/>
    <x v="1"/>
    <x v="15"/>
    <x v="4"/>
    <n v="4929"/>
    <x v="548"/>
    <x v="561"/>
    <n v="0.14022587407858253"/>
    <x v="1"/>
    <x v="11"/>
    <n v="2023"/>
    <x v="520"/>
    <n v="4436.1000000000004"/>
    <x v="1"/>
    <n v="12713.48"/>
    <x v="2"/>
    <x v="0"/>
    <x v="1"/>
  </r>
  <r>
    <s v="ORD1563"/>
    <d v="2023-05-07T00:00:00"/>
    <x v="0"/>
    <x v="2"/>
    <x v="3"/>
    <x v="7"/>
    <x v="5"/>
    <n v="2494"/>
    <x v="549"/>
    <x v="562"/>
    <n v="0.12143372665826555"/>
    <x v="1"/>
    <x v="0"/>
    <n v="2023"/>
    <x v="521"/>
    <n v="5237.3999999999996"/>
    <x v="0"/>
    <n v="15338.01"/>
    <x v="0"/>
    <x v="0"/>
    <x v="1"/>
  </r>
  <r>
    <s v="ORD1564"/>
    <d v="2023-01-19T00:00:00"/>
    <x v="0"/>
    <x v="3"/>
    <x v="2"/>
    <x v="3"/>
    <x v="3"/>
    <n v="3560"/>
    <x v="550"/>
    <x v="563"/>
    <n v="0.15292041198501871"/>
    <x v="0"/>
    <x v="6"/>
    <n v="2023"/>
    <x v="522"/>
    <n v="9612"/>
    <x v="0"/>
    <n v="27140.43"/>
    <x v="0"/>
    <x v="0"/>
    <x v="0"/>
  </r>
  <r>
    <s v="ORD1565"/>
    <d v="2023-05-21T00:00:00"/>
    <x v="1"/>
    <x v="4"/>
    <x v="2"/>
    <x v="13"/>
    <x v="8"/>
    <n v="2148"/>
    <x v="551"/>
    <x v="564"/>
    <n v="0.16501862197392922"/>
    <x v="2"/>
    <x v="0"/>
    <n v="2023"/>
    <x v="523"/>
    <n v="644.40000000000009"/>
    <x v="1"/>
    <n v="1793.54"/>
    <x v="2"/>
    <x v="0"/>
    <x v="2"/>
  </r>
  <r>
    <s v="ORD1566"/>
    <d v="2023-10-22T00:00:00"/>
    <x v="3"/>
    <x v="3"/>
    <x v="1"/>
    <x v="5"/>
    <x v="8"/>
    <n v="4540"/>
    <x v="552"/>
    <x v="565"/>
    <n v="9.9925110132158601E-2"/>
    <x v="2"/>
    <x v="1"/>
    <n v="2023"/>
    <x v="524"/>
    <n v="1362"/>
    <x v="1"/>
    <n v="4086.34"/>
    <x v="2"/>
    <x v="0"/>
    <x v="2"/>
  </r>
  <r>
    <s v="ORD1567"/>
    <d v="2023-11-10T00:00:00"/>
    <x v="2"/>
    <x v="1"/>
    <x v="3"/>
    <x v="4"/>
    <x v="1"/>
    <n v="4600"/>
    <x v="553"/>
    <x v="566"/>
    <n v="0.19541260869565216"/>
    <x v="0"/>
    <x v="3"/>
    <n v="2023"/>
    <x v="525"/>
    <n v="6900"/>
    <x v="1"/>
    <n v="18505.510000000002"/>
    <x v="1"/>
    <x v="1"/>
    <x v="0"/>
  </r>
  <r>
    <s v="ORD1568"/>
    <d v="2023-07-26T00:00:00"/>
    <x v="2"/>
    <x v="1"/>
    <x v="3"/>
    <x v="12"/>
    <x v="8"/>
    <n v="450"/>
    <x v="554"/>
    <x v="567"/>
    <n v="0.16062222222222222"/>
    <x v="2"/>
    <x v="10"/>
    <n v="2023"/>
    <x v="526"/>
    <n v="135"/>
    <x v="1"/>
    <n v="377.72"/>
    <x v="2"/>
    <x v="1"/>
    <x v="2"/>
  </r>
  <r>
    <s v="ORD1569"/>
    <d v="2023-04-30T00:00:00"/>
    <x v="3"/>
    <x v="4"/>
    <x v="0"/>
    <x v="0"/>
    <x v="3"/>
    <n v="4093"/>
    <x v="555"/>
    <x v="568"/>
    <n v="0.20298531367918127"/>
    <x v="0"/>
    <x v="11"/>
    <n v="2023"/>
    <x v="527"/>
    <n v="11051.100000000002"/>
    <x v="0"/>
    <n v="29359.63"/>
    <x v="0"/>
    <x v="0"/>
    <x v="0"/>
  </r>
  <r>
    <s v="ORD1570"/>
    <d v="2023-04-28T00:00:00"/>
    <x v="2"/>
    <x v="1"/>
    <x v="3"/>
    <x v="12"/>
    <x v="2"/>
    <n v="2672"/>
    <x v="556"/>
    <x v="569"/>
    <n v="0.16246631736526945"/>
    <x v="1"/>
    <x v="11"/>
    <n v="2023"/>
    <x v="528"/>
    <n v="4809.6000000000004"/>
    <x v="0"/>
    <n v="13427.34"/>
    <x v="1"/>
    <x v="1"/>
    <x v="1"/>
  </r>
  <r>
    <s v="ORD1571"/>
    <d v="2023-05-19T00:00:00"/>
    <x v="2"/>
    <x v="4"/>
    <x v="0"/>
    <x v="16"/>
    <x v="7"/>
    <n v="4208"/>
    <x v="557"/>
    <x v="570"/>
    <n v="0.23003564638783269"/>
    <x v="2"/>
    <x v="0"/>
    <n v="2023"/>
    <x v="261"/>
    <n v="2524.8000000000002"/>
    <x v="1"/>
    <n v="6480.02"/>
    <x v="2"/>
    <x v="1"/>
    <x v="2"/>
  </r>
  <r>
    <s v="ORD1572"/>
    <d v="2023-08-12T00:00:00"/>
    <x v="3"/>
    <x v="2"/>
    <x v="2"/>
    <x v="6"/>
    <x v="4"/>
    <n v="583"/>
    <x v="558"/>
    <x v="571"/>
    <n v="0.11459119496855345"/>
    <x v="2"/>
    <x v="9"/>
    <n v="2023"/>
    <x v="529"/>
    <n v="524.70000000000005"/>
    <x v="1"/>
    <n v="1548.5800000000002"/>
    <x v="2"/>
    <x v="0"/>
    <x v="2"/>
  </r>
  <r>
    <s v="ORD1573"/>
    <d v="2023-04-26T00:00:00"/>
    <x v="2"/>
    <x v="4"/>
    <x v="0"/>
    <x v="9"/>
    <x v="0"/>
    <n v="2539"/>
    <x v="559"/>
    <x v="572"/>
    <n v="0.22414779440724697"/>
    <x v="0"/>
    <x v="11"/>
    <n v="2023"/>
    <x v="530"/>
    <n v="6093.6"/>
    <x v="0"/>
    <n v="15759.109999999999"/>
    <x v="0"/>
    <x v="1"/>
    <x v="0"/>
  </r>
  <r>
    <s v="ORD1574"/>
    <d v="2023-01-20T00:00:00"/>
    <x v="3"/>
    <x v="1"/>
    <x v="3"/>
    <x v="7"/>
    <x v="7"/>
    <n v="2804"/>
    <x v="560"/>
    <x v="573"/>
    <n v="0.24816690442225392"/>
    <x v="2"/>
    <x v="6"/>
    <n v="2023"/>
    <x v="531"/>
    <n v="1682.4"/>
    <x v="1"/>
    <n v="4216.2800000000007"/>
    <x v="2"/>
    <x v="0"/>
    <x v="2"/>
  </r>
  <r>
    <s v="ORD1575"/>
    <d v="2023-11-16T00:00:00"/>
    <x v="3"/>
    <x v="0"/>
    <x v="0"/>
    <x v="11"/>
    <x v="4"/>
    <n v="202"/>
    <x v="561"/>
    <x v="574"/>
    <n v="0.13958745874587458"/>
    <x v="2"/>
    <x v="3"/>
    <n v="2023"/>
    <x v="532"/>
    <n v="181.80000000000007"/>
    <x v="1"/>
    <n v="521.41000000000008"/>
    <x v="2"/>
    <x v="0"/>
    <x v="2"/>
  </r>
  <r>
    <s v="ORD1576"/>
    <d v="2023-04-17T00:00:00"/>
    <x v="3"/>
    <x v="0"/>
    <x v="0"/>
    <x v="11"/>
    <x v="6"/>
    <n v="3090"/>
    <x v="562"/>
    <x v="575"/>
    <n v="0.19164401294498382"/>
    <x v="1"/>
    <x v="11"/>
    <n v="2023"/>
    <x v="533"/>
    <n v="3708"/>
    <x v="1"/>
    <n v="9991.2800000000007"/>
    <x v="1"/>
    <x v="0"/>
    <x v="1"/>
  </r>
  <r>
    <s v="ORD1577"/>
    <d v="2023-12-14T00:00:00"/>
    <x v="0"/>
    <x v="2"/>
    <x v="1"/>
    <x v="15"/>
    <x v="7"/>
    <n v="1285"/>
    <x v="563"/>
    <x v="576"/>
    <n v="0.22319455252918288"/>
    <x v="2"/>
    <x v="7"/>
    <n v="2023"/>
    <x v="534"/>
    <n v="771.00000000000023"/>
    <x v="1"/>
    <n v="1996.39"/>
    <x v="2"/>
    <x v="0"/>
    <x v="2"/>
  </r>
  <r>
    <s v="ORD1578"/>
    <d v="2023-09-07T00:00:00"/>
    <x v="1"/>
    <x v="1"/>
    <x v="1"/>
    <x v="5"/>
    <x v="0"/>
    <n v="2155"/>
    <x v="564"/>
    <x v="577"/>
    <n v="0.21030742459396751"/>
    <x v="1"/>
    <x v="5"/>
    <n v="2023"/>
    <x v="535"/>
    <n v="5172"/>
    <x v="0"/>
    <n v="13614.3"/>
    <x v="0"/>
    <x v="0"/>
    <x v="1"/>
  </r>
  <r>
    <s v="ORD1579"/>
    <d v="2023-07-28T00:00:00"/>
    <x v="0"/>
    <x v="1"/>
    <x v="2"/>
    <x v="8"/>
    <x v="5"/>
    <n v="1703"/>
    <x v="565"/>
    <x v="578"/>
    <n v="0.16806140424461036"/>
    <x v="1"/>
    <x v="10"/>
    <n v="2023"/>
    <x v="536"/>
    <n v="3576.3000000000011"/>
    <x v="0"/>
    <n v="9917.5399999999991"/>
    <x v="0"/>
    <x v="0"/>
    <x v="1"/>
  </r>
  <r>
    <s v="ORD1580"/>
    <d v="2023-08-08T00:00:00"/>
    <x v="1"/>
    <x v="1"/>
    <x v="0"/>
    <x v="10"/>
    <x v="5"/>
    <n v="3363"/>
    <x v="566"/>
    <x v="579"/>
    <n v="0.11314557580391657"/>
    <x v="0"/>
    <x v="9"/>
    <n v="2023"/>
    <x v="537"/>
    <n v="7062.2999999999993"/>
    <x v="0"/>
    <n v="20877.439999999999"/>
    <x v="0"/>
    <x v="0"/>
    <x v="0"/>
  </r>
  <r>
    <s v="ORD1581"/>
    <d v="2023-03-05T00:00:00"/>
    <x v="1"/>
    <x v="2"/>
    <x v="1"/>
    <x v="5"/>
    <x v="5"/>
    <n v="1190"/>
    <x v="567"/>
    <x v="580"/>
    <n v="0.18151620648259303"/>
    <x v="2"/>
    <x v="4"/>
    <n v="2023"/>
    <x v="538"/>
    <n v="2499"/>
    <x v="0"/>
    <n v="6817.97"/>
    <x v="0"/>
    <x v="0"/>
    <x v="2"/>
  </r>
  <r>
    <s v="ORD1582"/>
    <d v="2023-11-28T00:00:00"/>
    <x v="1"/>
    <x v="1"/>
    <x v="1"/>
    <x v="5"/>
    <x v="1"/>
    <n v="1693"/>
    <x v="568"/>
    <x v="581"/>
    <n v="0.20890490253987007"/>
    <x v="2"/>
    <x v="3"/>
    <n v="2023"/>
    <x v="539"/>
    <n v="2539.5"/>
    <x v="1"/>
    <n v="6696.62"/>
    <x v="1"/>
    <x v="0"/>
    <x v="2"/>
  </r>
  <r>
    <s v="ORD1583"/>
    <d v="2023-02-28T00:00:00"/>
    <x v="2"/>
    <x v="1"/>
    <x v="3"/>
    <x v="4"/>
    <x v="2"/>
    <n v="2775"/>
    <x v="569"/>
    <x v="582"/>
    <n v="0.11438318318318319"/>
    <x v="1"/>
    <x v="8"/>
    <n v="2023"/>
    <x v="540"/>
    <n v="4995.0000000000018"/>
    <x v="0"/>
    <n v="14745.52"/>
    <x v="1"/>
    <x v="1"/>
    <x v="1"/>
  </r>
  <r>
    <s v="ORD1584"/>
    <d v="2023-12-12T00:00:00"/>
    <x v="0"/>
    <x v="3"/>
    <x v="0"/>
    <x v="11"/>
    <x v="8"/>
    <n v="4001"/>
    <x v="570"/>
    <x v="583"/>
    <n v="0.19834541364658836"/>
    <x v="2"/>
    <x v="7"/>
    <n v="2023"/>
    <x v="541"/>
    <n v="1200.3000000000002"/>
    <x v="1"/>
    <n v="3207.42"/>
    <x v="2"/>
    <x v="0"/>
    <x v="2"/>
  </r>
  <r>
    <s v="ORD1585"/>
    <d v="2023-08-27T00:00:00"/>
    <x v="0"/>
    <x v="0"/>
    <x v="1"/>
    <x v="1"/>
    <x v="8"/>
    <n v="583"/>
    <x v="571"/>
    <x v="584"/>
    <n v="0.17339622641509433"/>
    <x v="2"/>
    <x v="9"/>
    <n v="2023"/>
    <x v="529"/>
    <n v="174.90000000000003"/>
    <x v="1"/>
    <n v="481.91"/>
    <x v="2"/>
    <x v="0"/>
    <x v="2"/>
  </r>
  <r>
    <s v="ORD1586"/>
    <d v="2023-04-20T00:00:00"/>
    <x v="2"/>
    <x v="0"/>
    <x v="1"/>
    <x v="5"/>
    <x v="8"/>
    <n v="4451"/>
    <x v="572"/>
    <x v="585"/>
    <n v="0.1587306223320602"/>
    <x v="2"/>
    <x v="11"/>
    <n v="2023"/>
    <x v="542"/>
    <n v="1335.3000000000002"/>
    <x v="1"/>
    <n v="3744.4900000000002"/>
    <x v="2"/>
    <x v="1"/>
    <x v="2"/>
  </r>
  <r>
    <s v="ORD1587"/>
    <d v="2023-07-26T00:00:00"/>
    <x v="3"/>
    <x v="2"/>
    <x v="2"/>
    <x v="13"/>
    <x v="2"/>
    <n v="3246"/>
    <x v="573"/>
    <x v="586"/>
    <n v="0.21205432326966525"/>
    <x v="1"/>
    <x v="10"/>
    <n v="2023"/>
    <x v="543"/>
    <n v="5842.8000000000011"/>
    <x v="0"/>
    <n v="15346.03"/>
    <x v="1"/>
    <x v="0"/>
    <x v="1"/>
  </r>
  <r>
    <s v="ORD1588"/>
    <d v="2023-09-14T00:00:00"/>
    <x v="2"/>
    <x v="1"/>
    <x v="1"/>
    <x v="5"/>
    <x v="6"/>
    <n v="403"/>
    <x v="574"/>
    <x v="587"/>
    <n v="0.10560173697270471"/>
    <x v="2"/>
    <x v="5"/>
    <n v="2023"/>
    <x v="544"/>
    <n v="483.60000000000014"/>
    <x v="1"/>
    <n v="1441.77"/>
    <x v="1"/>
    <x v="1"/>
    <x v="2"/>
  </r>
  <r>
    <s v="ORD1589"/>
    <d v="2023-10-29T00:00:00"/>
    <x v="1"/>
    <x v="4"/>
    <x v="3"/>
    <x v="14"/>
    <x v="4"/>
    <n v="1740"/>
    <x v="575"/>
    <x v="588"/>
    <n v="0.18710727969348659"/>
    <x v="2"/>
    <x v="1"/>
    <n v="2023"/>
    <x v="545"/>
    <n v="1566"/>
    <x v="1"/>
    <n v="4243.3"/>
    <x v="2"/>
    <x v="0"/>
    <x v="2"/>
  </r>
  <r>
    <s v="ORD1590"/>
    <d v="2023-08-18T00:00:00"/>
    <x v="1"/>
    <x v="3"/>
    <x v="2"/>
    <x v="6"/>
    <x v="0"/>
    <n v="4750"/>
    <x v="576"/>
    <x v="589"/>
    <n v="0.24934684210526317"/>
    <x v="0"/>
    <x v="9"/>
    <n v="2023"/>
    <x v="546"/>
    <n v="11400"/>
    <x v="0"/>
    <n v="28524.82"/>
    <x v="0"/>
    <x v="0"/>
    <x v="0"/>
  </r>
  <r>
    <s v="ORD1591"/>
    <d v="2023-02-07T00:00:00"/>
    <x v="3"/>
    <x v="0"/>
    <x v="2"/>
    <x v="13"/>
    <x v="8"/>
    <n v="1405"/>
    <x v="577"/>
    <x v="590"/>
    <n v="0.20016370106761566"/>
    <x v="2"/>
    <x v="8"/>
    <n v="2023"/>
    <x v="137"/>
    <n v="421.50000000000011"/>
    <x v="1"/>
    <n v="1123.77"/>
    <x v="2"/>
    <x v="0"/>
    <x v="2"/>
  </r>
  <r>
    <s v="ORD1592"/>
    <d v="2023-12-17T00:00:00"/>
    <x v="0"/>
    <x v="1"/>
    <x v="2"/>
    <x v="3"/>
    <x v="4"/>
    <n v="4660"/>
    <x v="578"/>
    <x v="591"/>
    <n v="0.15919027181688125"/>
    <x v="1"/>
    <x v="7"/>
    <n v="2023"/>
    <x v="547"/>
    <n v="4194"/>
    <x v="1"/>
    <n v="11754.52"/>
    <x v="2"/>
    <x v="0"/>
    <x v="1"/>
  </r>
  <r>
    <s v="ORD1593"/>
    <d v="2023-10-31T00:00:00"/>
    <x v="2"/>
    <x v="0"/>
    <x v="3"/>
    <x v="12"/>
    <x v="4"/>
    <n v="2706"/>
    <x v="201"/>
    <x v="592"/>
    <n v="0.14127248090662722"/>
    <x v="2"/>
    <x v="1"/>
    <n v="2023"/>
    <x v="197"/>
    <n v="2435.4000000000005"/>
    <x v="1"/>
    <n v="6971.15"/>
    <x v="2"/>
    <x v="1"/>
    <x v="2"/>
  </r>
  <r>
    <s v="ORD1594"/>
    <d v="2023-12-22T00:00:00"/>
    <x v="3"/>
    <x v="0"/>
    <x v="1"/>
    <x v="2"/>
    <x v="0"/>
    <n v="313"/>
    <x v="579"/>
    <x v="593"/>
    <n v="0.2000479233226837"/>
    <x v="2"/>
    <x v="7"/>
    <n v="2023"/>
    <x v="548"/>
    <n v="751.2"/>
    <x v="0"/>
    <n v="2003.08"/>
    <x v="0"/>
    <x v="0"/>
    <x v="2"/>
  </r>
  <r>
    <s v="ORD1595"/>
    <d v="2023-01-25T00:00:00"/>
    <x v="3"/>
    <x v="1"/>
    <x v="1"/>
    <x v="15"/>
    <x v="4"/>
    <n v="3396"/>
    <x v="580"/>
    <x v="594"/>
    <n v="0.17977915194346289"/>
    <x v="1"/>
    <x v="6"/>
    <n v="2023"/>
    <x v="549"/>
    <n v="3056.4000000000005"/>
    <x v="1"/>
    <n v="8356.41"/>
    <x v="2"/>
    <x v="0"/>
    <x v="1"/>
  </r>
  <r>
    <s v="ORD1596"/>
    <d v="2023-03-02T00:00:00"/>
    <x v="0"/>
    <x v="4"/>
    <x v="3"/>
    <x v="4"/>
    <x v="4"/>
    <n v="2930"/>
    <x v="581"/>
    <x v="595"/>
    <n v="0.19494084186575653"/>
    <x v="2"/>
    <x v="4"/>
    <n v="2023"/>
    <x v="550"/>
    <n v="2637"/>
    <x v="1"/>
    <n v="7076.47"/>
    <x v="2"/>
    <x v="0"/>
    <x v="2"/>
  </r>
  <r>
    <s v="ORD1597"/>
    <d v="2023-04-20T00:00:00"/>
    <x v="1"/>
    <x v="2"/>
    <x v="2"/>
    <x v="10"/>
    <x v="4"/>
    <n v="3102"/>
    <x v="582"/>
    <x v="596"/>
    <n v="0.23779067268428972"/>
    <x v="2"/>
    <x v="11"/>
    <n v="2023"/>
    <x v="551"/>
    <n v="2791.8000000000011"/>
    <x v="1"/>
    <n v="7093.119999999999"/>
    <x v="2"/>
    <x v="0"/>
    <x v="2"/>
  </r>
  <r>
    <s v="ORD1598"/>
    <d v="2023-02-19T00:00:00"/>
    <x v="3"/>
    <x v="4"/>
    <x v="3"/>
    <x v="4"/>
    <x v="1"/>
    <n v="3834"/>
    <x v="583"/>
    <x v="597"/>
    <n v="0.15532029212310902"/>
    <x v="1"/>
    <x v="8"/>
    <n v="2023"/>
    <x v="552"/>
    <n v="5751.0000000000018"/>
    <x v="1"/>
    <n v="16192.51"/>
    <x v="1"/>
    <x v="0"/>
    <x v="1"/>
  </r>
  <r>
    <s v="ORD1599"/>
    <d v="2023-07-08T00:00:00"/>
    <x v="1"/>
    <x v="0"/>
    <x v="1"/>
    <x v="1"/>
    <x v="2"/>
    <n v="1237"/>
    <x v="584"/>
    <x v="598"/>
    <n v="8.90689841013204E-2"/>
    <x v="2"/>
    <x v="10"/>
    <n v="2023"/>
    <x v="310"/>
    <n v="2226.6000000000004"/>
    <x v="0"/>
    <n v="6760.93"/>
    <x v="1"/>
    <x v="0"/>
    <x v="2"/>
  </r>
  <r>
    <s v="ORD1600"/>
    <d v="2023-05-13T00:00:00"/>
    <x v="0"/>
    <x v="4"/>
    <x v="0"/>
    <x v="11"/>
    <x v="7"/>
    <n v="1298"/>
    <x v="366"/>
    <x v="599"/>
    <n v="0.10845146379044684"/>
    <x v="2"/>
    <x v="0"/>
    <n v="2023"/>
    <x v="349"/>
    <n v="778.80000000000018"/>
    <x v="1"/>
    <n v="2314.46"/>
    <x v="2"/>
    <x v="0"/>
    <x v="2"/>
  </r>
  <r>
    <s v="ORD1601"/>
    <d v="2023-11-17T00:00:00"/>
    <x v="3"/>
    <x v="2"/>
    <x v="0"/>
    <x v="16"/>
    <x v="3"/>
    <n v="2705"/>
    <x v="585"/>
    <x v="600"/>
    <n v="0.17429698089956872"/>
    <x v="0"/>
    <x v="3"/>
    <n v="2023"/>
    <x v="553"/>
    <n v="7303.5000000000036"/>
    <x v="0"/>
    <n v="20101.740000000002"/>
    <x v="0"/>
    <x v="0"/>
    <x v="0"/>
  </r>
  <r>
    <s v="ORD1602"/>
    <d v="2023-07-28T00:00:00"/>
    <x v="2"/>
    <x v="3"/>
    <x v="3"/>
    <x v="4"/>
    <x v="0"/>
    <n v="4701"/>
    <x v="164"/>
    <x v="601"/>
    <n v="0.15737928100404169"/>
    <x v="0"/>
    <x v="10"/>
    <n v="2023"/>
    <x v="160"/>
    <n v="11282.400000000001"/>
    <x v="0"/>
    <n v="31689.279999999999"/>
    <x v="0"/>
    <x v="1"/>
    <x v="0"/>
  </r>
  <r>
    <s v="ORD1603"/>
    <d v="2023-07-26T00:00:00"/>
    <x v="3"/>
    <x v="2"/>
    <x v="2"/>
    <x v="6"/>
    <x v="8"/>
    <n v="574"/>
    <x v="586"/>
    <x v="602"/>
    <n v="0.10914634146341463"/>
    <x v="2"/>
    <x v="10"/>
    <n v="2023"/>
    <x v="226"/>
    <n v="172.20000000000005"/>
    <x v="1"/>
    <n v="511.35"/>
    <x v="2"/>
    <x v="0"/>
    <x v="2"/>
  </r>
  <r>
    <s v="ORD1604"/>
    <d v="2023-01-13T00:00:00"/>
    <x v="2"/>
    <x v="3"/>
    <x v="1"/>
    <x v="2"/>
    <x v="4"/>
    <n v="3455"/>
    <x v="587"/>
    <x v="603"/>
    <n v="0.24210130246020262"/>
    <x v="1"/>
    <x v="6"/>
    <n v="2023"/>
    <x v="554"/>
    <n v="3109.5"/>
    <x v="1"/>
    <n v="7855.6200000000008"/>
    <x v="2"/>
    <x v="1"/>
    <x v="1"/>
  </r>
  <r>
    <s v="ORD1605"/>
    <d v="2023-03-16T00:00:00"/>
    <x v="3"/>
    <x v="2"/>
    <x v="3"/>
    <x v="12"/>
    <x v="2"/>
    <n v="4075"/>
    <x v="588"/>
    <x v="604"/>
    <n v="9.3355010224948881E-2"/>
    <x v="0"/>
    <x v="4"/>
    <n v="2023"/>
    <x v="555"/>
    <n v="7335"/>
    <x v="0"/>
    <n v="22167.47"/>
    <x v="1"/>
    <x v="0"/>
    <x v="0"/>
  </r>
  <r>
    <s v="ORD1606"/>
    <d v="2023-07-28T00:00:00"/>
    <x v="3"/>
    <x v="2"/>
    <x v="2"/>
    <x v="13"/>
    <x v="2"/>
    <n v="4591"/>
    <x v="589"/>
    <x v="605"/>
    <n v="0.11923509765483191"/>
    <x v="0"/>
    <x v="10"/>
    <n v="2023"/>
    <x v="556"/>
    <n v="8263.8000000000029"/>
    <x v="0"/>
    <n v="24261.550000000003"/>
    <x v="1"/>
    <x v="0"/>
    <x v="0"/>
  </r>
  <r>
    <s v="ORD1607"/>
    <d v="2023-08-27T00:00:00"/>
    <x v="3"/>
    <x v="0"/>
    <x v="2"/>
    <x v="13"/>
    <x v="5"/>
    <n v="1175"/>
    <x v="590"/>
    <x v="606"/>
    <n v="0.22671003039513679"/>
    <x v="2"/>
    <x v="9"/>
    <n v="2023"/>
    <x v="557"/>
    <n v="2467.5"/>
    <x v="0"/>
    <n v="6360.3099999999995"/>
    <x v="0"/>
    <x v="0"/>
    <x v="2"/>
  </r>
  <r>
    <s v="ORD1608"/>
    <d v="2023-06-28T00:00:00"/>
    <x v="3"/>
    <x v="1"/>
    <x v="3"/>
    <x v="4"/>
    <x v="0"/>
    <n v="3527"/>
    <x v="591"/>
    <x v="607"/>
    <n v="0.21644882336263113"/>
    <x v="0"/>
    <x v="2"/>
    <n v="2023"/>
    <x v="558"/>
    <n v="8464.8000000000029"/>
    <x v="0"/>
    <n v="22108.68"/>
    <x v="0"/>
    <x v="0"/>
    <x v="0"/>
  </r>
  <r>
    <s v="ORD1609"/>
    <d v="2023-08-10T00:00:00"/>
    <x v="1"/>
    <x v="2"/>
    <x v="1"/>
    <x v="10"/>
    <x v="5"/>
    <n v="1430"/>
    <x v="592"/>
    <x v="608"/>
    <n v="0.22405594405594406"/>
    <x v="1"/>
    <x v="9"/>
    <n v="2023"/>
    <x v="559"/>
    <n v="3003.0000000000009"/>
    <x v="0"/>
    <n v="7767.2"/>
    <x v="0"/>
    <x v="0"/>
    <x v="1"/>
  </r>
  <r>
    <s v="ORD1610"/>
    <d v="2023-12-16T00:00:00"/>
    <x v="2"/>
    <x v="0"/>
    <x v="2"/>
    <x v="13"/>
    <x v="1"/>
    <n v="4056"/>
    <x v="593"/>
    <x v="609"/>
    <n v="0.22493293885601578"/>
    <x v="0"/>
    <x v="7"/>
    <n v="2023"/>
    <x v="560"/>
    <n v="6084"/>
    <x v="1"/>
    <n v="15718.36"/>
    <x v="1"/>
    <x v="1"/>
    <x v="0"/>
  </r>
  <r>
    <s v="ORD1611"/>
    <d v="2023-10-17T00:00:00"/>
    <x v="0"/>
    <x v="2"/>
    <x v="1"/>
    <x v="15"/>
    <x v="7"/>
    <n v="1294"/>
    <x v="594"/>
    <x v="610"/>
    <n v="0.11583462132921174"/>
    <x v="2"/>
    <x v="1"/>
    <n v="2023"/>
    <x v="561"/>
    <n v="776.40000000000009"/>
    <x v="1"/>
    <n v="2288.2199999999998"/>
    <x v="2"/>
    <x v="0"/>
    <x v="2"/>
  </r>
  <r>
    <s v="ORD1612"/>
    <d v="2023-03-25T00:00:00"/>
    <x v="0"/>
    <x v="1"/>
    <x v="1"/>
    <x v="2"/>
    <x v="0"/>
    <n v="4859"/>
    <x v="595"/>
    <x v="611"/>
    <n v="0.15453771352130066"/>
    <x v="0"/>
    <x v="4"/>
    <n v="2023"/>
    <x v="22"/>
    <n v="11661.600000000002"/>
    <x v="0"/>
    <n v="32864.810000000005"/>
    <x v="0"/>
    <x v="0"/>
    <x v="0"/>
  </r>
  <r>
    <s v="ORD1613"/>
    <d v="2023-02-25T00:00:00"/>
    <x v="0"/>
    <x v="0"/>
    <x v="1"/>
    <x v="5"/>
    <x v="0"/>
    <n v="783"/>
    <x v="211"/>
    <x v="612"/>
    <n v="0.15475574712643678"/>
    <x v="2"/>
    <x v="8"/>
    <n v="2023"/>
    <x v="207"/>
    <n v="1879.2000000000007"/>
    <x v="0"/>
    <n v="5294.61"/>
    <x v="0"/>
    <x v="0"/>
    <x v="2"/>
  </r>
  <r>
    <s v="ORD1614"/>
    <d v="2023-05-18T00:00:00"/>
    <x v="0"/>
    <x v="2"/>
    <x v="1"/>
    <x v="1"/>
    <x v="0"/>
    <n v="1061"/>
    <x v="596"/>
    <x v="613"/>
    <n v="8.3488454288407163E-2"/>
    <x v="2"/>
    <x v="0"/>
    <n v="2023"/>
    <x v="562"/>
    <n v="2546.4000000000005"/>
    <x v="0"/>
    <n v="7779.35"/>
    <x v="0"/>
    <x v="0"/>
    <x v="2"/>
  </r>
  <r>
    <s v="ORD1615"/>
    <d v="2023-01-04T00:00:00"/>
    <x v="0"/>
    <x v="3"/>
    <x v="3"/>
    <x v="14"/>
    <x v="6"/>
    <n v="2348"/>
    <x v="597"/>
    <x v="614"/>
    <n v="0.10891929301533219"/>
    <x v="2"/>
    <x v="6"/>
    <n v="2023"/>
    <x v="293"/>
    <n v="2817.6000000000004"/>
    <x v="1"/>
    <n v="8369.0300000000007"/>
    <x v="1"/>
    <x v="0"/>
    <x v="2"/>
  </r>
  <r>
    <s v="ORD1616"/>
    <d v="2023-10-05T00:00:00"/>
    <x v="1"/>
    <x v="0"/>
    <x v="2"/>
    <x v="6"/>
    <x v="0"/>
    <n v="4166"/>
    <x v="598"/>
    <x v="615"/>
    <n v="0.12613208113298127"/>
    <x v="0"/>
    <x v="1"/>
    <n v="2023"/>
    <x v="563"/>
    <n v="9998.4000000000015"/>
    <x v="0"/>
    <n v="29124.27"/>
    <x v="0"/>
    <x v="0"/>
    <x v="0"/>
  </r>
  <r>
    <s v="ORD1617"/>
    <d v="2023-05-08T00:00:00"/>
    <x v="1"/>
    <x v="0"/>
    <x v="2"/>
    <x v="6"/>
    <x v="1"/>
    <n v="4781"/>
    <x v="599"/>
    <x v="616"/>
    <n v="0.21269441539426898"/>
    <x v="0"/>
    <x v="0"/>
    <n v="2023"/>
    <x v="564"/>
    <n v="7171.5"/>
    <x v="1"/>
    <n v="18820.54"/>
    <x v="1"/>
    <x v="0"/>
    <x v="0"/>
  </r>
  <r>
    <s v="ORD1618"/>
    <d v="2023-08-11T00:00:00"/>
    <x v="0"/>
    <x v="3"/>
    <x v="2"/>
    <x v="3"/>
    <x v="5"/>
    <n v="3416"/>
    <x v="600"/>
    <x v="617"/>
    <n v="0.15509702241552359"/>
    <x v="0"/>
    <x v="9"/>
    <n v="2023"/>
    <x v="565"/>
    <n v="7173.6000000000022"/>
    <x v="0"/>
    <n v="20203.32"/>
    <x v="0"/>
    <x v="0"/>
    <x v="0"/>
  </r>
  <r>
    <s v="ORD1619"/>
    <d v="2023-03-30T00:00:00"/>
    <x v="3"/>
    <x v="3"/>
    <x v="3"/>
    <x v="4"/>
    <x v="1"/>
    <n v="425"/>
    <x v="601"/>
    <x v="618"/>
    <n v="0.15793411764705884"/>
    <x v="2"/>
    <x v="4"/>
    <n v="2023"/>
    <x v="566"/>
    <n v="637.5"/>
    <x v="1"/>
    <n v="1789.39"/>
    <x v="1"/>
    <x v="0"/>
    <x v="2"/>
  </r>
  <r>
    <s v="ORD1620"/>
    <d v="2023-11-15T00:00:00"/>
    <x v="0"/>
    <x v="1"/>
    <x v="0"/>
    <x v="0"/>
    <x v="0"/>
    <n v="2353"/>
    <x v="602"/>
    <x v="619"/>
    <n v="0.13335900977475562"/>
    <x v="1"/>
    <x v="3"/>
    <n v="2023"/>
    <x v="567"/>
    <n v="5647.2000000000007"/>
    <x v="0"/>
    <n v="16313.65"/>
    <x v="0"/>
    <x v="0"/>
    <x v="1"/>
  </r>
  <r>
    <s v="ORD1621"/>
    <d v="2023-08-07T00:00:00"/>
    <x v="2"/>
    <x v="3"/>
    <x v="3"/>
    <x v="14"/>
    <x v="3"/>
    <n v="4335"/>
    <x v="188"/>
    <x v="620"/>
    <n v="0.14314955786236061"/>
    <x v="0"/>
    <x v="9"/>
    <n v="2023"/>
    <x v="185"/>
    <n v="11704.5"/>
    <x v="0"/>
    <n v="33430.020000000004"/>
    <x v="0"/>
    <x v="1"/>
    <x v="0"/>
  </r>
  <r>
    <s v="ORD1622"/>
    <d v="2023-02-07T00:00:00"/>
    <x v="0"/>
    <x v="2"/>
    <x v="3"/>
    <x v="14"/>
    <x v="3"/>
    <n v="646"/>
    <x v="603"/>
    <x v="621"/>
    <n v="0.17512899896800826"/>
    <x v="2"/>
    <x v="8"/>
    <n v="2023"/>
    <x v="568"/>
    <n v="1744.2000000000003"/>
    <x v="0"/>
    <n v="4795.8"/>
    <x v="0"/>
    <x v="0"/>
    <x v="2"/>
  </r>
  <r>
    <s v="ORD1623"/>
    <d v="2023-10-22T00:00:00"/>
    <x v="3"/>
    <x v="0"/>
    <x v="0"/>
    <x v="9"/>
    <x v="4"/>
    <n v="4343"/>
    <x v="604"/>
    <x v="622"/>
    <n v="0.14915649704505332"/>
    <x v="1"/>
    <x v="1"/>
    <n v="2023"/>
    <x v="569"/>
    <n v="3908.7000000000007"/>
    <x v="1"/>
    <n v="11085.640000000001"/>
    <x v="2"/>
    <x v="0"/>
    <x v="1"/>
  </r>
  <r>
    <s v="ORD1624"/>
    <d v="2023-08-17T00:00:00"/>
    <x v="1"/>
    <x v="0"/>
    <x v="3"/>
    <x v="14"/>
    <x v="0"/>
    <n v="2132"/>
    <x v="605"/>
    <x v="623"/>
    <n v="0.23128048780487803"/>
    <x v="1"/>
    <x v="9"/>
    <n v="2023"/>
    <x v="570"/>
    <n v="5116.8000000000011"/>
    <x v="0"/>
    <n v="13111.28"/>
    <x v="0"/>
    <x v="0"/>
    <x v="1"/>
  </r>
  <r>
    <s v="ORD1625"/>
    <d v="2023-03-13T00:00:00"/>
    <x v="2"/>
    <x v="1"/>
    <x v="3"/>
    <x v="12"/>
    <x v="2"/>
    <n v="3403"/>
    <x v="606"/>
    <x v="624"/>
    <n v="0.24494024880007834"/>
    <x v="0"/>
    <x v="4"/>
    <n v="2023"/>
    <x v="571"/>
    <n v="6125.4000000000015"/>
    <x v="0"/>
    <n v="15416.81"/>
    <x v="1"/>
    <x v="1"/>
    <x v="0"/>
  </r>
  <r>
    <s v="ORD1626"/>
    <d v="2023-08-08T00:00:00"/>
    <x v="2"/>
    <x v="0"/>
    <x v="2"/>
    <x v="13"/>
    <x v="2"/>
    <n v="3462"/>
    <x v="607"/>
    <x v="625"/>
    <n v="0.17704939341421144"/>
    <x v="0"/>
    <x v="9"/>
    <n v="2023"/>
    <x v="572"/>
    <n v="6231.6000000000022"/>
    <x v="0"/>
    <n v="17094.329999999998"/>
    <x v="1"/>
    <x v="1"/>
    <x v="0"/>
  </r>
  <r>
    <s v="ORD1627"/>
    <d v="2023-04-06T00:00:00"/>
    <x v="2"/>
    <x v="4"/>
    <x v="2"/>
    <x v="13"/>
    <x v="2"/>
    <n v="2985"/>
    <x v="608"/>
    <x v="626"/>
    <n v="0.23354215522054717"/>
    <x v="1"/>
    <x v="11"/>
    <n v="2023"/>
    <x v="573"/>
    <n v="5373"/>
    <x v="0"/>
    <n v="13727.259999999998"/>
    <x v="1"/>
    <x v="1"/>
    <x v="1"/>
  </r>
  <r>
    <s v="ORD1628"/>
    <d v="2023-07-06T00:00:00"/>
    <x v="3"/>
    <x v="4"/>
    <x v="1"/>
    <x v="2"/>
    <x v="4"/>
    <n v="3153"/>
    <x v="609"/>
    <x v="627"/>
    <n v="0.14245691933608204"/>
    <x v="2"/>
    <x v="10"/>
    <n v="2023"/>
    <x v="574"/>
    <n v="2837.7000000000007"/>
    <x v="1"/>
    <n v="8111.5"/>
    <x v="2"/>
    <x v="0"/>
    <x v="2"/>
  </r>
  <r>
    <s v="ORD1629"/>
    <d v="2023-10-14T00:00:00"/>
    <x v="1"/>
    <x v="1"/>
    <x v="0"/>
    <x v="16"/>
    <x v="1"/>
    <n v="507"/>
    <x v="610"/>
    <x v="628"/>
    <n v="0.19437080867850098"/>
    <x v="2"/>
    <x v="1"/>
    <n v="2023"/>
    <x v="575"/>
    <n v="760.5"/>
    <x v="1"/>
    <n v="2042.27"/>
    <x v="1"/>
    <x v="0"/>
    <x v="2"/>
  </r>
  <r>
    <s v="ORD1630"/>
    <d v="2023-01-13T00:00:00"/>
    <x v="2"/>
    <x v="3"/>
    <x v="1"/>
    <x v="1"/>
    <x v="5"/>
    <n v="4678"/>
    <x v="611"/>
    <x v="629"/>
    <n v="0.12475203078238564"/>
    <x v="0"/>
    <x v="6"/>
    <n v="2023"/>
    <x v="576"/>
    <n v="9823.7999999999993"/>
    <x v="0"/>
    <n v="28660.87"/>
    <x v="0"/>
    <x v="1"/>
    <x v="0"/>
  </r>
  <r>
    <s v="ORD1631"/>
    <d v="2023-09-30T00:00:00"/>
    <x v="3"/>
    <x v="3"/>
    <x v="1"/>
    <x v="5"/>
    <x v="6"/>
    <n v="2747"/>
    <x v="612"/>
    <x v="630"/>
    <n v="0.20754550418638518"/>
    <x v="1"/>
    <x v="5"/>
    <n v="2023"/>
    <x v="577"/>
    <n v="3296.4000000000005"/>
    <x v="1"/>
    <n v="8707.49"/>
    <x v="1"/>
    <x v="0"/>
    <x v="1"/>
  </r>
  <r>
    <s v="ORD1632"/>
    <d v="2023-11-11T00:00:00"/>
    <x v="1"/>
    <x v="0"/>
    <x v="2"/>
    <x v="6"/>
    <x v="5"/>
    <n v="3957"/>
    <x v="613"/>
    <x v="631"/>
    <n v="0.18369002491064659"/>
    <x v="0"/>
    <x v="3"/>
    <n v="2023"/>
    <x v="504"/>
    <n v="8309.7000000000044"/>
    <x v="0"/>
    <n v="22610.97"/>
    <x v="0"/>
    <x v="0"/>
    <x v="0"/>
  </r>
  <r>
    <s v="ORD1633"/>
    <d v="2023-07-08T00:00:00"/>
    <x v="3"/>
    <x v="3"/>
    <x v="3"/>
    <x v="4"/>
    <x v="1"/>
    <n v="1720"/>
    <x v="614"/>
    <x v="632"/>
    <n v="0.2113279069767442"/>
    <x v="2"/>
    <x v="10"/>
    <n v="2023"/>
    <x v="578"/>
    <n v="2580"/>
    <x v="1"/>
    <n v="6782.58"/>
    <x v="1"/>
    <x v="0"/>
    <x v="2"/>
  </r>
  <r>
    <s v="ORD1634"/>
    <d v="2023-04-06T00:00:00"/>
    <x v="1"/>
    <x v="1"/>
    <x v="1"/>
    <x v="2"/>
    <x v="8"/>
    <n v="3557"/>
    <x v="615"/>
    <x v="633"/>
    <n v="0.24992409333708182"/>
    <x v="2"/>
    <x v="11"/>
    <n v="2023"/>
    <x v="579"/>
    <n v="1067.1000000000004"/>
    <x v="1"/>
    <n v="2668.02"/>
    <x v="2"/>
    <x v="0"/>
    <x v="2"/>
  </r>
  <r>
    <s v="ORD1635"/>
    <d v="2023-04-04T00:00:00"/>
    <x v="2"/>
    <x v="4"/>
    <x v="1"/>
    <x v="2"/>
    <x v="7"/>
    <n v="3028"/>
    <x v="616"/>
    <x v="634"/>
    <n v="0.19464828269484807"/>
    <x v="2"/>
    <x v="11"/>
    <n v="2023"/>
    <x v="580"/>
    <n v="1816.8000000000002"/>
    <x v="1"/>
    <n v="4877.21"/>
    <x v="2"/>
    <x v="1"/>
    <x v="2"/>
  </r>
  <r>
    <s v="ORD1636"/>
    <d v="2023-07-21T00:00:00"/>
    <x v="3"/>
    <x v="1"/>
    <x v="2"/>
    <x v="13"/>
    <x v="6"/>
    <n v="342"/>
    <x v="617"/>
    <x v="635"/>
    <n v="0.23480263157894735"/>
    <x v="2"/>
    <x v="10"/>
    <n v="2023"/>
    <x v="581"/>
    <n v="410.40000000000009"/>
    <x v="1"/>
    <n v="1046.79"/>
    <x v="1"/>
    <x v="0"/>
    <x v="2"/>
  </r>
  <r>
    <s v="ORD1637"/>
    <d v="2023-05-17T00:00:00"/>
    <x v="1"/>
    <x v="4"/>
    <x v="0"/>
    <x v="0"/>
    <x v="6"/>
    <n v="4712"/>
    <x v="618"/>
    <x v="636"/>
    <n v="0.22500689728353143"/>
    <x v="1"/>
    <x v="0"/>
    <n v="2023"/>
    <x v="582"/>
    <n v="5654.4000000000015"/>
    <x v="1"/>
    <n v="14607.07"/>
    <x v="1"/>
    <x v="0"/>
    <x v="1"/>
  </r>
  <r>
    <s v="ORD1638"/>
    <d v="2023-09-28T00:00:00"/>
    <x v="3"/>
    <x v="4"/>
    <x v="2"/>
    <x v="13"/>
    <x v="7"/>
    <n v="3991"/>
    <x v="619"/>
    <x v="637"/>
    <n v="0.12037083437734902"/>
    <x v="2"/>
    <x v="5"/>
    <n v="2023"/>
    <x v="583"/>
    <n v="2394.6000000000004"/>
    <x v="1"/>
    <n v="7021.2"/>
    <x v="2"/>
    <x v="0"/>
    <x v="2"/>
  </r>
  <r>
    <s v="ORD1639"/>
    <d v="2023-07-09T00:00:00"/>
    <x v="3"/>
    <x v="4"/>
    <x v="3"/>
    <x v="7"/>
    <x v="3"/>
    <n v="3151"/>
    <x v="620"/>
    <x v="638"/>
    <n v="0.1277784830212631"/>
    <x v="0"/>
    <x v="10"/>
    <n v="2023"/>
    <x v="584"/>
    <n v="8507.7000000000007"/>
    <x v="0"/>
    <n v="24735.329999999998"/>
    <x v="0"/>
    <x v="0"/>
    <x v="0"/>
  </r>
  <r>
    <s v="ORD1640"/>
    <d v="2023-12-17T00:00:00"/>
    <x v="2"/>
    <x v="4"/>
    <x v="0"/>
    <x v="0"/>
    <x v="4"/>
    <n v="4434"/>
    <x v="621"/>
    <x v="639"/>
    <n v="0.17663885130055632"/>
    <x v="1"/>
    <x v="7"/>
    <n v="2023"/>
    <x v="585"/>
    <n v="3990.6000000000004"/>
    <x v="1"/>
    <n v="10952.35"/>
    <x v="2"/>
    <x v="1"/>
    <x v="1"/>
  </r>
  <r>
    <s v="ORD1641"/>
    <d v="2023-02-25T00:00:00"/>
    <x v="1"/>
    <x v="3"/>
    <x v="2"/>
    <x v="6"/>
    <x v="1"/>
    <n v="4124"/>
    <x v="622"/>
    <x v="640"/>
    <n v="0.22196120271580991"/>
    <x v="0"/>
    <x v="8"/>
    <n v="2023"/>
    <x v="586"/>
    <n v="6186.0000000000018"/>
    <x v="1"/>
    <n v="16043.16"/>
    <x v="1"/>
    <x v="0"/>
    <x v="0"/>
  </r>
  <r>
    <s v="ORD1642"/>
    <d v="2023-05-19T00:00:00"/>
    <x v="3"/>
    <x v="4"/>
    <x v="1"/>
    <x v="5"/>
    <x v="4"/>
    <n v="1456"/>
    <x v="623"/>
    <x v="641"/>
    <n v="0.12807692307692309"/>
    <x v="2"/>
    <x v="0"/>
    <n v="2023"/>
    <x v="587"/>
    <n v="1310.4000000000001"/>
    <x v="1"/>
    <n v="3808.56"/>
    <x v="2"/>
    <x v="0"/>
    <x v="2"/>
  </r>
  <r>
    <s v="ORD1643"/>
    <d v="2023-12-25T00:00:00"/>
    <x v="3"/>
    <x v="0"/>
    <x v="3"/>
    <x v="4"/>
    <x v="7"/>
    <n v="1286"/>
    <x v="624"/>
    <x v="642"/>
    <n v="8.7056765163297037E-2"/>
    <x v="2"/>
    <x v="7"/>
    <n v="2023"/>
    <x v="588"/>
    <n v="771.60000000000014"/>
    <x v="1"/>
    <n v="2348.0899999999997"/>
    <x v="2"/>
    <x v="0"/>
    <x v="2"/>
  </r>
  <r>
    <s v="ORD1644"/>
    <d v="2023-02-07T00:00:00"/>
    <x v="0"/>
    <x v="1"/>
    <x v="3"/>
    <x v="7"/>
    <x v="4"/>
    <n v="4269"/>
    <x v="625"/>
    <x v="643"/>
    <n v="0.13026157570078864"/>
    <x v="1"/>
    <x v="8"/>
    <n v="2023"/>
    <x v="589"/>
    <n v="3842.1000000000004"/>
    <x v="1"/>
    <n v="11138.74"/>
    <x v="2"/>
    <x v="0"/>
    <x v="1"/>
  </r>
  <r>
    <s v="ORD1645"/>
    <d v="2023-10-26T00:00:00"/>
    <x v="3"/>
    <x v="3"/>
    <x v="0"/>
    <x v="0"/>
    <x v="6"/>
    <n v="3997"/>
    <x v="626"/>
    <x v="644"/>
    <n v="0.12716912684513385"/>
    <x v="1"/>
    <x v="1"/>
    <n v="2023"/>
    <x v="590"/>
    <n v="4796.4000000000015"/>
    <x v="1"/>
    <n v="13954.82"/>
    <x v="1"/>
    <x v="0"/>
    <x v="1"/>
  </r>
  <r>
    <s v="ORD1646"/>
    <d v="2023-07-07T00:00:00"/>
    <x v="1"/>
    <x v="0"/>
    <x v="3"/>
    <x v="14"/>
    <x v="8"/>
    <n v="3376"/>
    <x v="627"/>
    <x v="645"/>
    <n v="0.13896919431279622"/>
    <x v="2"/>
    <x v="10"/>
    <n v="2023"/>
    <x v="591"/>
    <n v="1012.8000000000002"/>
    <x v="1"/>
    <n v="2906.84"/>
    <x v="2"/>
    <x v="0"/>
    <x v="2"/>
  </r>
  <r>
    <s v="ORD1647"/>
    <d v="2023-10-23T00:00:00"/>
    <x v="2"/>
    <x v="2"/>
    <x v="1"/>
    <x v="1"/>
    <x v="4"/>
    <n v="2161"/>
    <x v="628"/>
    <x v="646"/>
    <n v="0.13837575196668209"/>
    <x v="2"/>
    <x v="1"/>
    <n v="2023"/>
    <x v="592"/>
    <n v="1944.9000000000005"/>
    <x v="1"/>
    <n v="5585.91"/>
    <x v="2"/>
    <x v="1"/>
    <x v="2"/>
  </r>
  <r>
    <s v="ORD1648"/>
    <d v="2023-05-17T00:00:00"/>
    <x v="0"/>
    <x v="5"/>
    <x v="2"/>
    <x v="3"/>
    <x v="7"/>
    <n v="4205"/>
    <x v="629"/>
    <x v="647"/>
    <n v="9.0507728894173592E-2"/>
    <x v="2"/>
    <x v="0"/>
    <n v="2023"/>
    <x v="593"/>
    <n v="2523"/>
    <x v="1"/>
    <n v="7648.83"/>
    <x v="2"/>
    <x v="0"/>
    <x v="2"/>
  </r>
  <r>
    <s v="ORD1649"/>
    <d v="2023-10-17T00:00:00"/>
    <x v="0"/>
    <x v="3"/>
    <x v="0"/>
    <x v="0"/>
    <x v="5"/>
    <n v="2996"/>
    <x v="630"/>
    <x v="648"/>
    <n v="0.15594125500667558"/>
    <x v="0"/>
    <x v="1"/>
    <n v="2023"/>
    <x v="594"/>
    <n v="6291.6000000000022"/>
    <x v="0"/>
    <n v="17701.600000000002"/>
    <x v="0"/>
    <x v="0"/>
    <x v="0"/>
  </r>
  <r>
    <s v="ORD1650"/>
    <d v="2023-12-26T00:00:00"/>
    <x v="1"/>
    <x v="0"/>
    <x v="2"/>
    <x v="6"/>
    <x v="2"/>
    <n v="3249"/>
    <x v="631"/>
    <x v="649"/>
    <n v="0.2338104032009849"/>
    <x v="1"/>
    <x v="7"/>
    <n v="2023"/>
    <x v="595"/>
    <n v="5848.2000000000007"/>
    <x v="0"/>
    <n v="14936.1"/>
    <x v="1"/>
    <x v="0"/>
    <x v="1"/>
  </r>
  <r>
    <s v="ORD1651"/>
    <d v="2023-04-23T00:00:00"/>
    <x v="0"/>
    <x v="0"/>
    <x v="0"/>
    <x v="0"/>
    <x v="1"/>
    <n v="2177"/>
    <x v="632"/>
    <x v="650"/>
    <n v="0.24006063389986218"/>
    <x v="1"/>
    <x v="11"/>
    <n v="2023"/>
    <x v="596"/>
    <n v="3265.5000000000009"/>
    <x v="1"/>
    <n v="8271.94"/>
    <x v="1"/>
    <x v="0"/>
    <x v="1"/>
  </r>
  <r>
    <s v="ORD1652"/>
    <d v="2023-05-20T00:00:00"/>
    <x v="0"/>
    <x v="2"/>
    <x v="2"/>
    <x v="8"/>
    <x v="1"/>
    <n v="2598"/>
    <x v="225"/>
    <x v="651"/>
    <n v="0.14065050038491148"/>
    <x v="1"/>
    <x v="0"/>
    <n v="2023"/>
    <x v="597"/>
    <n v="3897"/>
    <x v="1"/>
    <n v="11162.95"/>
    <x v="1"/>
    <x v="0"/>
    <x v="1"/>
  </r>
  <r>
    <s v="ORD1653"/>
    <d v="2023-03-07T00:00:00"/>
    <x v="1"/>
    <x v="0"/>
    <x v="0"/>
    <x v="0"/>
    <x v="5"/>
    <n v="328"/>
    <x v="633"/>
    <x v="652"/>
    <n v="0.15480836236933798"/>
    <x v="2"/>
    <x v="4"/>
    <n v="2023"/>
    <x v="598"/>
    <n v="688.8"/>
    <x v="0"/>
    <n v="1940.5600000000002"/>
    <x v="0"/>
    <x v="0"/>
    <x v="2"/>
  </r>
  <r>
    <s v="ORD1654"/>
    <d v="2023-10-21T00:00:00"/>
    <x v="2"/>
    <x v="3"/>
    <x v="1"/>
    <x v="10"/>
    <x v="3"/>
    <n v="827"/>
    <x v="634"/>
    <x v="653"/>
    <n v="0.10038156657261857"/>
    <x v="2"/>
    <x v="1"/>
    <n v="2023"/>
    <x v="599"/>
    <n v="2232.9000000000005"/>
    <x v="0"/>
    <n v="6695.8600000000006"/>
    <x v="0"/>
    <x v="1"/>
    <x v="2"/>
  </r>
  <r>
    <s v="ORD1655"/>
    <d v="2023-10-04T00:00:00"/>
    <x v="3"/>
    <x v="4"/>
    <x v="1"/>
    <x v="2"/>
    <x v="6"/>
    <n v="1174"/>
    <x v="635"/>
    <x v="654"/>
    <n v="0.15375425894378195"/>
    <x v="2"/>
    <x v="1"/>
    <n v="2023"/>
    <x v="600"/>
    <n v="1408.8000000000002"/>
    <x v="1"/>
    <n v="3973.9700000000003"/>
    <x v="1"/>
    <x v="0"/>
    <x v="2"/>
  </r>
  <r>
    <s v="ORD1656"/>
    <d v="2023-12-30T00:00:00"/>
    <x v="0"/>
    <x v="2"/>
    <x v="1"/>
    <x v="5"/>
    <x v="2"/>
    <n v="2872"/>
    <x v="636"/>
    <x v="655"/>
    <n v="8.7692084493964706E-2"/>
    <x v="1"/>
    <x v="7"/>
    <n v="2023"/>
    <x v="601"/>
    <n v="5169.6000000000004"/>
    <x v="0"/>
    <n v="15720.89"/>
    <x v="1"/>
    <x v="0"/>
    <x v="1"/>
  </r>
  <r>
    <s v="ORD1657"/>
    <d v="2023-12-26T00:00:00"/>
    <x v="0"/>
    <x v="0"/>
    <x v="0"/>
    <x v="11"/>
    <x v="1"/>
    <n v="4259"/>
    <x v="637"/>
    <x v="656"/>
    <n v="0.22841324254519843"/>
    <x v="0"/>
    <x v="7"/>
    <n v="2023"/>
    <x v="471"/>
    <n v="6388.5000000000018"/>
    <x v="1"/>
    <n v="16430.939999999999"/>
    <x v="1"/>
    <x v="0"/>
    <x v="0"/>
  </r>
  <r>
    <s v="ORD1658"/>
    <d v="2023-07-22T00:00:00"/>
    <x v="2"/>
    <x v="1"/>
    <x v="2"/>
    <x v="6"/>
    <x v="3"/>
    <n v="1208"/>
    <x v="638"/>
    <x v="657"/>
    <n v="9.4064569536423837E-2"/>
    <x v="1"/>
    <x v="10"/>
    <n v="2023"/>
    <x v="602"/>
    <n v="3261.6000000000004"/>
    <x v="0"/>
    <n v="9849.33"/>
    <x v="0"/>
    <x v="1"/>
    <x v="1"/>
  </r>
  <r>
    <s v="ORD1659"/>
    <d v="2023-08-25T00:00:00"/>
    <x v="1"/>
    <x v="1"/>
    <x v="1"/>
    <x v="5"/>
    <x v="1"/>
    <n v="510"/>
    <x v="639"/>
    <x v="658"/>
    <n v="0.14146274509803922"/>
    <x v="2"/>
    <x v="9"/>
    <n v="2023"/>
    <x v="173"/>
    <n v="765"/>
    <x v="1"/>
    <n v="2189.27"/>
    <x v="1"/>
    <x v="0"/>
    <x v="2"/>
  </r>
  <r>
    <s v="ORD1660"/>
    <d v="2023-01-30T00:00:00"/>
    <x v="0"/>
    <x v="2"/>
    <x v="3"/>
    <x v="12"/>
    <x v="7"/>
    <n v="559"/>
    <x v="640"/>
    <x v="659"/>
    <n v="8.5518783542039359E-2"/>
    <x v="2"/>
    <x v="6"/>
    <n v="2023"/>
    <x v="603"/>
    <n v="335.40000000000009"/>
    <x v="1"/>
    <n v="1022.39"/>
    <x v="2"/>
    <x v="0"/>
    <x v="2"/>
  </r>
  <r>
    <s v="ORD1661"/>
    <d v="2023-08-08T00:00:00"/>
    <x v="1"/>
    <x v="4"/>
    <x v="2"/>
    <x v="3"/>
    <x v="5"/>
    <n v="1825"/>
    <x v="641"/>
    <x v="660"/>
    <n v="0.21421369863013698"/>
    <x v="1"/>
    <x v="9"/>
    <n v="2023"/>
    <x v="324"/>
    <n v="3832.5"/>
    <x v="0"/>
    <n v="10038.42"/>
    <x v="0"/>
    <x v="0"/>
    <x v="1"/>
  </r>
  <r>
    <s v="ORD1662"/>
    <d v="2023-09-04T00:00:00"/>
    <x v="0"/>
    <x v="2"/>
    <x v="0"/>
    <x v="16"/>
    <x v="1"/>
    <n v="1919"/>
    <x v="642"/>
    <x v="661"/>
    <n v="0.13907868681605004"/>
    <x v="2"/>
    <x v="5"/>
    <n v="2023"/>
    <x v="328"/>
    <n v="2878.5"/>
    <x v="1"/>
    <n v="8260.5399999999991"/>
    <x v="1"/>
    <x v="0"/>
    <x v="2"/>
  </r>
  <r>
    <s v="ORD1663"/>
    <d v="2023-04-21T00:00:00"/>
    <x v="2"/>
    <x v="4"/>
    <x v="3"/>
    <x v="14"/>
    <x v="8"/>
    <n v="477"/>
    <x v="643"/>
    <x v="662"/>
    <n v="0.11851153039832285"/>
    <x v="2"/>
    <x v="11"/>
    <n v="2023"/>
    <x v="604"/>
    <n v="143.10000000000002"/>
    <x v="1"/>
    <n v="420.47"/>
    <x v="2"/>
    <x v="1"/>
    <x v="2"/>
  </r>
  <r>
    <s v="ORD1664"/>
    <d v="2023-07-28T00:00:00"/>
    <x v="1"/>
    <x v="0"/>
    <x v="3"/>
    <x v="4"/>
    <x v="2"/>
    <n v="1649"/>
    <x v="644"/>
    <x v="663"/>
    <n v="0.22000404285425509"/>
    <x v="2"/>
    <x v="10"/>
    <n v="2023"/>
    <x v="605"/>
    <n v="2968.2000000000007"/>
    <x v="0"/>
    <n v="7717.28"/>
    <x v="1"/>
    <x v="0"/>
    <x v="2"/>
  </r>
  <r>
    <s v="ORD1665"/>
    <d v="2023-03-31T00:00:00"/>
    <x v="2"/>
    <x v="4"/>
    <x v="3"/>
    <x v="14"/>
    <x v="0"/>
    <n v="3958"/>
    <x v="645"/>
    <x v="664"/>
    <n v="8.8803688731682665E-2"/>
    <x v="0"/>
    <x v="4"/>
    <n v="2023"/>
    <x v="606"/>
    <n v="9499.2000000000007"/>
    <x v="0"/>
    <n v="28852.12"/>
    <x v="0"/>
    <x v="1"/>
    <x v="0"/>
  </r>
  <r>
    <s v="ORD1666"/>
    <d v="2023-08-27T00:00:00"/>
    <x v="3"/>
    <x v="1"/>
    <x v="1"/>
    <x v="5"/>
    <x v="2"/>
    <n v="4458"/>
    <x v="646"/>
    <x v="665"/>
    <n v="0.11761066247943772"/>
    <x v="0"/>
    <x v="9"/>
    <n v="2023"/>
    <x v="607"/>
    <n v="8024.4000000000015"/>
    <x v="0"/>
    <n v="23602.149999999998"/>
    <x v="1"/>
    <x v="0"/>
    <x v="0"/>
  </r>
  <r>
    <s v="ORD1667"/>
    <d v="2023-06-12T00:00:00"/>
    <x v="3"/>
    <x v="1"/>
    <x v="0"/>
    <x v="11"/>
    <x v="8"/>
    <n v="2662"/>
    <x v="647"/>
    <x v="666"/>
    <n v="0.13155897821187076"/>
    <x v="2"/>
    <x v="2"/>
    <n v="2023"/>
    <x v="608"/>
    <n v="798.60000000000014"/>
    <x v="1"/>
    <n v="2311.79"/>
    <x v="2"/>
    <x v="0"/>
    <x v="2"/>
  </r>
  <r>
    <s v="ORD1668"/>
    <d v="2023-01-26T00:00:00"/>
    <x v="0"/>
    <x v="1"/>
    <x v="1"/>
    <x v="2"/>
    <x v="8"/>
    <n v="606"/>
    <x v="561"/>
    <x v="667"/>
    <n v="0.17036303630363037"/>
    <x v="2"/>
    <x v="6"/>
    <n v="2023"/>
    <x v="247"/>
    <n v="181.8"/>
    <x v="1"/>
    <n v="502.76"/>
    <x v="2"/>
    <x v="0"/>
    <x v="2"/>
  </r>
  <r>
    <s v="ORD1669"/>
    <d v="2023-08-30T00:00:00"/>
    <x v="1"/>
    <x v="2"/>
    <x v="1"/>
    <x v="1"/>
    <x v="2"/>
    <n v="909"/>
    <x v="648"/>
    <x v="668"/>
    <n v="0.19120645397873118"/>
    <x v="2"/>
    <x v="9"/>
    <n v="2023"/>
    <x v="609"/>
    <n v="1636.2000000000003"/>
    <x v="0"/>
    <n v="4411.16"/>
    <x v="1"/>
    <x v="0"/>
    <x v="2"/>
  </r>
  <r>
    <s v="ORD1670"/>
    <d v="2023-01-19T00:00:00"/>
    <x v="0"/>
    <x v="0"/>
    <x v="3"/>
    <x v="12"/>
    <x v="5"/>
    <n v="4851"/>
    <x v="649"/>
    <x v="669"/>
    <n v="9.9780899372736112E-2"/>
    <x v="0"/>
    <x v="6"/>
    <n v="2023"/>
    <x v="610"/>
    <n v="10187.100000000002"/>
    <x v="0"/>
    <n v="30568.739999999998"/>
    <x v="0"/>
    <x v="0"/>
    <x v="0"/>
  </r>
  <r>
    <s v="ORD1671"/>
    <d v="2023-04-10T00:00:00"/>
    <x v="0"/>
    <x v="3"/>
    <x v="0"/>
    <x v="0"/>
    <x v="4"/>
    <n v="2666"/>
    <x v="650"/>
    <x v="670"/>
    <n v="0.14029382345586397"/>
    <x v="2"/>
    <x v="11"/>
    <n v="2023"/>
    <x v="611"/>
    <n v="2399.4000000000005"/>
    <x v="1"/>
    <n v="6875.93"/>
    <x v="2"/>
    <x v="0"/>
    <x v="2"/>
  </r>
  <r>
    <s v="ORD1672"/>
    <d v="2023-02-19T00:00:00"/>
    <x v="2"/>
    <x v="0"/>
    <x v="2"/>
    <x v="3"/>
    <x v="0"/>
    <n v="4440"/>
    <x v="651"/>
    <x v="671"/>
    <n v="0.23287415540540543"/>
    <x v="0"/>
    <x v="8"/>
    <n v="2023"/>
    <x v="612"/>
    <n v="10656"/>
    <x v="0"/>
    <n v="27248.309999999998"/>
    <x v="0"/>
    <x v="1"/>
    <x v="0"/>
  </r>
  <r>
    <s v="ORD1673"/>
    <d v="2023-08-27T00:00:00"/>
    <x v="1"/>
    <x v="2"/>
    <x v="2"/>
    <x v="3"/>
    <x v="2"/>
    <n v="1351"/>
    <x v="652"/>
    <x v="672"/>
    <n v="0.19188749074759437"/>
    <x v="2"/>
    <x v="9"/>
    <n v="2023"/>
    <x v="613"/>
    <n v="2431.8000000000002"/>
    <x v="0"/>
    <n v="6550.56"/>
    <x v="1"/>
    <x v="0"/>
    <x v="2"/>
  </r>
  <r>
    <s v="ORD1674"/>
    <d v="2023-12-18T00:00:00"/>
    <x v="2"/>
    <x v="5"/>
    <x v="2"/>
    <x v="13"/>
    <x v="6"/>
    <n v="4724"/>
    <x v="653"/>
    <x v="673"/>
    <n v="0.11741532599491955"/>
    <x v="1"/>
    <x v="7"/>
    <n v="2023"/>
    <x v="614"/>
    <n v="5668.8000000000011"/>
    <x v="1"/>
    <n v="16677.32"/>
    <x v="1"/>
    <x v="1"/>
    <x v="1"/>
  </r>
  <r>
    <s v="ORD1675"/>
    <d v="2023-06-20T00:00:00"/>
    <x v="0"/>
    <x v="4"/>
    <x v="0"/>
    <x v="16"/>
    <x v="2"/>
    <n v="4431"/>
    <x v="654"/>
    <x v="674"/>
    <n v="0.16541262318513503"/>
    <x v="0"/>
    <x v="2"/>
    <n v="2023"/>
    <x v="615"/>
    <n v="7975.8000000000029"/>
    <x v="0"/>
    <n v="22188.34"/>
    <x v="1"/>
    <x v="0"/>
    <x v="0"/>
  </r>
  <r>
    <s v="ORD1676"/>
    <d v="2023-12-30T00:00:00"/>
    <x v="0"/>
    <x v="3"/>
    <x v="0"/>
    <x v="9"/>
    <x v="7"/>
    <n v="4047"/>
    <x v="655"/>
    <x v="675"/>
    <n v="8.8535952557449962E-2"/>
    <x v="2"/>
    <x v="7"/>
    <n v="2023"/>
    <x v="616"/>
    <n v="2428.2000000000007"/>
    <x v="1"/>
    <n v="7377.39"/>
    <x v="2"/>
    <x v="0"/>
    <x v="2"/>
  </r>
  <r>
    <s v="ORD1677"/>
    <d v="2023-05-26T00:00:00"/>
    <x v="1"/>
    <x v="1"/>
    <x v="3"/>
    <x v="10"/>
    <x v="4"/>
    <n v="3045"/>
    <x v="656"/>
    <x v="676"/>
    <n v="0.20790804597701149"/>
    <x v="2"/>
    <x v="0"/>
    <n v="2023"/>
    <x v="617"/>
    <n v="2740.5"/>
    <x v="1"/>
    <n v="7235.76"/>
    <x v="2"/>
    <x v="0"/>
    <x v="2"/>
  </r>
  <r>
    <s v="ORD1678"/>
    <d v="2023-06-22T00:00:00"/>
    <x v="0"/>
    <x v="1"/>
    <x v="3"/>
    <x v="12"/>
    <x v="5"/>
    <n v="3881"/>
    <x v="657"/>
    <x v="677"/>
    <n v="0.22016012073471491"/>
    <x v="0"/>
    <x v="2"/>
    <n v="2023"/>
    <x v="618"/>
    <n v="8150.1000000000022"/>
    <x v="0"/>
    <n v="21185.91"/>
    <x v="0"/>
    <x v="0"/>
    <x v="0"/>
  </r>
  <r>
    <s v="ORD1679"/>
    <d v="2023-04-18T00:00:00"/>
    <x v="3"/>
    <x v="1"/>
    <x v="1"/>
    <x v="2"/>
    <x v="0"/>
    <n v="1857"/>
    <x v="52"/>
    <x v="678"/>
    <n v="0.12031435110393107"/>
    <x v="1"/>
    <x v="11"/>
    <n v="2023"/>
    <x v="619"/>
    <n v="4456.8000000000011"/>
    <x v="0"/>
    <n v="13068.61"/>
    <x v="0"/>
    <x v="0"/>
    <x v="1"/>
  </r>
  <r>
    <s v="ORD1680"/>
    <d v="2023-04-06T00:00:00"/>
    <x v="2"/>
    <x v="1"/>
    <x v="0"/>
    <x v="11"/>
    <x v="7"/>
    <n v="4054"/>
    <x v="658"/>
    <x v="679"/>
    <n v="0.16228293043907252"/>
    <x v="2"/>
    <x v="11"/>
    <n v="2023"/>
    <x v="620"/>
    <n v="2432.4000000000005"/>
    <x v="1"/>
    <n v="6792.21"/>
    <x v="2"/>
    <x v="1"/>
    <x v="2"/>
  </r>
  <r>
    <s v="ORD1681"/>
    <d v="2023-11-19T00:00:00"/>
    <x v="1"/>
    <x v="0"/>
    <x v="1"/>
    <x v="1"/>
    <x v="2"/>
    <n v="2871"/>
    <x v="659"/>
    <x v="680"/>
    <n v="0.23034018344363172"/>
    <x v="1"/>
    <x v="3"/>
    <n v="2023"/>
    <x v="621"/>
    <n v="5167.8000000000011"/>
    <x v="0"/>
    <n v="13258.16"/>
    <x v="1"/>
    <x v="0"/>
    <x v="1"/>
  </r>
  <r>
    <s v="ORD1682"/>
    <d v="2023-08-02T00:00:00"/>
    <x v="3"/>
    <x v="0"/>
    <x v="0"/>
    <x v="9"/>
    <x v="6"/>
    <n v="1675"/>
    <x v="660"/>
    <x v="681"/>
    <n v="0.11976268656716417"/>
    <x v="2"/>
    <x v="9"/>
    <n v="2023"/>
    <x v="622"/>
    <n v="2010"/>
    <x v="1"/>
    <n v="5897.59"/>
    <x v="1"/>
    <x v="0"/>
    <x v="2"/>
  </r>
  <r>
    <s v="ORD1683"/>
    <d v="2023-09-24T00:00:00"/>
    <x v="2"/>
    <x v="0"/>
    <x v="1"/>
    <x v="5"/>
    <x v="6"/>
    <n v="2397"/>
    <x v="661"/>
    <x v="682"/>
    <n v="0.21316020025031288"/>
    <x v="2"/>
    <x v="5"/>
    <n v="2023"/>
    <x v="623"/>
    <n v="2876.4000000000005"/>
    <x v="1"/>
    <n v="7544.22"/>
    <x v="1"/>
    <x v="1"/>
    <x v="2"/>
  </r>
  <r>
    <s v="ORD1684"/>
    <d v="2023-08-13T00:00:00"/>
    <x v="1"/>
    <x v="4"/>
    <x v="1"/>
    <x v="15"/>
    <x v="3"/>
    <n v="2323"/>
    <x v="662"/>
    <x v="683"/>
    <n v="0.19211603769072561"/>
    <x v="0"/>
    <x v="9"/>
    <n v="2023"/>
    <x v="624"/>
    <n v="6272.1"/>
    <x v="0"/>
    <n v="16890.43"/>
    <x v="0"/>
    <x v="0"/>
    <x v="0"/>
  </r>
  <r>
    <s v="ORD1685"/>
    <d v="2023-05-05T00:00:00"/>
    <x v="0"/>
    <x v="1"/>
    <x v="0"/>
    <x v="9"/>
    <x v="3"/>
    <n v="2014"/>
    <x v="663"/>
    <x v="684"/>
    <n v="9.1167935562175881E-2"/>
    <x v="1"/>
    <x v="0"/>
    <n v="2023"/>
    <x v="625"/>
    <n v="5437.8000000000011"/>
    <x v="0"/>
    <n v="16473.490000000002"/>
    <x v="0"/>
    <x v="0"/>
    <x v="1"/>
  </r>
  <r>
    <s v="ORD1686"/>
    <d v="2023-08-25T00:00:00"/>
    <x v="3"/>
    <x v="4"/>
    <x v="0"/>
    <x v="0"/>
    <x v="5"/>
    <n v="4325"/>
    <x v="664"/>
    <x v="685"/>
    <n v="0.21196928158546655"/>
    <x v="0"/>
    <x v="9"/>
    <n v="2023"/>
    <x v="626"/>
    <n v="9082.5"/>
    <x v="0"/>
    <n v="23857.63"/>
    <x v="0"/>
    <x v="0"/>
    <x v="0"/>
  </r>
  <r>
    <s v="ORD1687"/>
    <d v="2023-05-07T00:00:00"/>
    <x v="2"/>
    <x v="4"/>
    <x v="1"/>
    <x v="10"/>
    <x v="3"/>
    <n v="3765"/>
    <x v="665"/>
    <x v="686"/>
    <n v="0.14682779991146525"/>
    <x v="0"/>
    <x v="0"/>
    <n v="2023"/>
    <x v="627"/>
    <n v="10165.5"/>
    <x v="0"/>
    <n v="28909.74"/>
    <x v="0"/>
    <x v="1"/>
    <x v="0"/>
  </r>
  <r>
    <s v="ORD1688"/>
    <d v="2023-04-09T00:00:00"/>
    <x v="0"/>
    <x v="0"/>
    <x v="1"/>
    <x v="15"/>
    <x v="6"/>
    <n v="2295"/>
    <x v="666"/>
    <x v="687"/>
    <n v="0.10771350762527232"/>
    <x v="2"/>
    <x v="11"/>
    <n v="2023"/>
    <x v="628"/>
    <n v="2754"/>
    <x v="1"/>
    <n v="8191.1900000000005"/>
    <x v="1"/>
    <x v="0"/>
    <x v="2"/>
  </r>
  <r>
    <s v="ORD1689"/>
    <d v="2023-07-28T00:00:00"/>
    <x v="3"/>
    <x v="3"/>
    <x v="3"/>
    <x v="12"/>
    <x v="2"/>
    <n v="4980"/>
    <x v="667"/>
    <x v="688"/>
    <n v="0.13178246318607764"/>
    <x v="0"/>
    <x v="10"/>
    <n v="2023"/>
    <x v="629"/>
    <n v="8964"/>
    <x v="0"/>
    <n v="25942.34"/>
    <x v="1"/>
    <x v="0"/>
    <x v="0"/>
  </r>
  <r>
    <s v="ORD1690"/>
    <d v="2023-08-29T00:00:00"/>
    <x v="0"/>
    <x v="5"/>
    <x v="2"/>
    <x v="8"/>
    <x v="7"/>
    <n v="3266"/>
    <x v="668"/>
    <x v="689"/>
    <n v="8.6696264543784443E-2"/>
    <x v="2"/>
    <x v="9"/>
    <n v="2023"/>
    <x v="630"/>
    <n v="1959.6000000000004"/>
    <x v="1"/>
    <n v="5965.7"/>
    <x v="2"/>
    <x v="0"/>
    <x v="2"/>
  </r>
  <r>
    <s v="ORD1691"/>
    <d v="2023-10-31T00:00:00"/>
    <x v="1"/>
    <x v="2"/>
    <x v="0"/>
    <x v="10"/>
    <x v="2"/>
    <n v="4786"/>
    <x v="669"/>
    <x v="690"/>
    <n v="0.13209360635185957"/>
    <x v="0"/>
    <x v="1"/>
    <n v="2023"/>
    <x v="631"/>
    <n v="8614.8000000000029"/>
    <x v="0"/>
    <n v="24922.799999999999"/>
    <x v="1"/>
    <x v="0"/>
    <x v="0"/>
  </r>
  <r>
    <s v="ORD1692"/>
    <d v="2023-03-13T00:00:00"/>
    <x v="0"/>
    <x v="2"/>
    <x v="2"/>
    <x v="8"/>
    <x v="6"/>
    <n v="2530"/>
    <x v="670"/>
    <x v="691"/>
    <n v="0.17623221343873519"/>
    <x v="1"/>
    <x v="4"/>
    <n v="2023"/>
    <x v="632"/>
    <n v="3036"/>
    <x v="1"/>
    <n v="8336.5300000000007"/>
    <x v="1"/>
    <x v="0"/>
    <x v="1"/>
  </r>
  <r>
    <s v="ORD1693"/>
    <d v="2023-10-19T00:00:00"/>
    <x v="2"/>
    <x v="1"/>
    <x v="2"/>
    <x v="8"/>
    <x v="8"/>
    <n v="4548"/>
    <x v="671"/>
    <x v="692"/>
    <n v="0.13398416886543535"/>
    <x v="2"/>
    <x v="1"/>
    <n v="2023"/>
    <x v="633"/>
    <n v="1364.4"/>
    <x v="1"/>
    <n v="3938.6400000000003"/>
    <x v="2"/>
    <x v="1"/>
    <x v="2"/>
  </r>
  <r>
    <s v="ORD1694"/>
    <d v="2023-06-24T00:00:00"/>
    <x v="3"/>
    <x v="1"/>
    <x v="1"/>
    <x v="1"/>
    <x v="6"/>
    <n v="3043"/>
    <x v="672"/>
    <x v="693"/>
    <n v="8.8595136378573788E-2"/>
    <x v="1"/>
    <x v="2"/>
    <n v="2023"/>
    <x v="634"/>
    <n v="3651.6000000000004"/>
    <x v="1"/>
    <n v="11093.62"/>
    <x v="1"/>
    <x v="0"/>
    <x v="1"/>
  </r>
  <r>
    <s v="ORD1695"/>
    <d v="2023-10-12T00:00:00"/>
    <x v="0"/>
    <x v="2"/>
    <x v="1"/>
    <x v="15"/>
    <x v="5"/>
    <n v="3395"/>
    <x v="673"/>
    <x v="694"/>
    <n v="0.20904481380180936"/>
    <x v="0"/>
    <x v="1"/>
    <n v="2023"/>
    <x v="635"/>
    <n v="7129.5"/>
    <x v="0"/>
    <n v="18797.05"/>
    <x v="0"/>
    <x v="0"/>
    <x v="0"/>
  </r>
  <r>
    <s v="ORD1696"/>
    <d v="2023-03-05T00:00:00"/>
    <x v="2"/>
    <x v="0"/>
    <x v="0"/>
    <x v="11"/>
    <x v="6"/>
    <n v="4756"/>
    <x v="674"/>
    <x v="695"/>
    <n v="0.17723927670311188"/>
    <x v="1"/>
    <x v="4"/>
    <n v="2023"/>
    <x v="636"/>
    <n v="5707.2000000000007"/>
    <x v="1"/>
    <n v="15652.199999999999"/>
    <x v="1"/>
    <x v="1"/>
    <x v="1"/>
  </r>
  <r>
    <s v="ORD1697"/>
    <d v="2023-08-12T00:00:00"/>
    <x v="3"/>
    <x v="3"/>
    <x v="0"/>
    <x v="0"/>
    <x v="6"/>
    <n v="1387"/>
    <x v="675"/>
    <x v="696"/>
    <n v="0.14931146359048306"/>
    <x v="2"/>
    <x v="9"/>
    <n v="2023"/>
    <x v="637"/>
    <n v="1664.4"/>
    <x v="1"/>
    <n v="4719.62"/>
    <x v="1"/>
    <x v="0"/>
    <x v="2"/>
  </r>
  <r>
    <s v="ORD1698"/>
    <d v="2023-02-03T00:00:00"/>
    <x v="2"/>
    <x v="0"/>
    <x v="3"/>
    <x v="7"/>
    <x v="6"/>
    <n v="244"/>
    <x v="676"/>
    <x v="697"/>
    <n v="0.13737704918032789"/>
    <x v="2"/>
    <x v="8"/>
    <n v="2023"/>
    <x v="638"/>
    <n v="292.80000000000007"/>
    <x v="1"/>
    <n v="841.92"/>
    <x v="1"/>
    <x v="1"/>
    <x v="2"/>
  </r>
  <r>
    <s v="ORD1699"/>
    <d v="2023-11-25T00:00:00"/>
    <x v="0"/>
    <x v="0"/>
    <x v="1"/>
    <x v="2"/>
    <x v="6"/>
    <n v="2781"/>
    <x v="677"/>
    <x v="698"/>
    <n v="0.13734268248831355"/>
    <x v="1"/>
    <x v="3"/>
    <n v="2023"/>
    <x v="639"/>
    <n v="3337.2000000000007"/>
    <x v="1"/>
    <n v="9596.2000000000007"/>
    <x v="1"/>
    <x v="0"/>
    <x v="1"/>
  </r>
  <r>
    <s v="ORD1700"/>
    <d v="2023-01-09T00:00:00"/>
    <x v="3"/>
    <x v="2"/>
    <x v="0"/>
    <x v="11"/>
    <x v="2"/>
    <n v="3606"/>
    <x v="678"/>
    <x v="699"/>
    <n v="0.2204312257348863"/>
    <x v="0"/>
    <x v="6"/>
    <n v="2023"/>
    <x v="640"/>
    <n v="6490.8000000000011"/>
    <x v="0"/>
    <n v="16866.75"/>
    <x v="1"/>
    <x v="0"/>
    <x v="0"/>
  </r>
  <r>
    <s v="ORD1701"/>
    <d v="2023-03-16T00:00:00"/>
    <x v="2"/>
    <x v="3"/>
    <x v="1"/>
    <x v="2"/>
    <x v="1"/>
    <n v="1115"/>
    <x v="679"/>
    <x v="700"/>
    <n v="0.19158565022421523"/>
    <x v="2"/>
    <x v="4"/>
    <n v="2023"/>
    <x v="641"/>
    <n v="1672.5"/>
    <x v="1"/>
    <n v="4506.91"/>
    <x v="1"/>
    <x v="1"/>
    <x v="2"/>
  </r>
  <r>
    <s v="ORD1702"/>
    <d v="2023-03-09T00:00:00"/>
    <x v="0"/>
    <x v="3"/>
    <x v="2"/>
    <x v="8"/>
    <x v="7"/>
    <n v="4913"/>
    <x v="680"/>
    <x v="701"/>
    <n v="0.16578567066965194"/>
    <x v="2"/>
    <x v="4"/>
    <n v="2023"/>
    <x v="642"/>
    <n v="2947.8"/>
    <x v="1"/>
    <n v="8196.99"/>
    <x v="2"/>
    <x v="0"/>
    <x v="2"/>
  </r>
  <r>
    <s v="ORD1703"/>
    <d v="2023-12-05T00:00:00"/>
    <x v="0"/>
    <x v="1"/>
    <x v="1"/>
    <x v="15"/>
    <x v="4"/>
    <n v="2688"/>
    <x v="681"/>
    <x v="702"/>
    <n v="0.16620411706349206"/>
    <x v="2"/>
    <x v="7"/>
    <n v="2023"/>
    <x v="643"/>
    <n v="2419.2000000000007"/>
    <x v="1"/>
    <n v="6723.7300000000005"/>
    <x v="2"/>
    <x v="0"/>
    <x v="2"/>
  </r>
  <r>
    <s v="ORD1704"/>
    <d v="2023-11-12T00:00:00"/>
    <x v="3"/>
    <x v="4"/>
    <x v="2"/>
    <x v="6"/>
    <x v="6"/>
    <n v="1361"/>
    <x v="682"/>
    <x v="703"/>
    <n v="0.15267266715650257"/>
    <x v="2"/>
    <x v="3"/>
    <n v="2023"/>
    <x v="644"/>
    <n v="1633.2000000000003"/>
    <x v="1"/>
    <n v="4612.8499999999995"/>
    <x v="1"/>
    <x v="0"/>
    <x v="2"/>
  </r>
  <r>
    <s v="ORD1705"/>
    <d v="2023-03-29T00:00:00"/>
    <x v="2"/>
    <x v="0"/>
    <x v="2"/>
    <x v="3"/>
    <x v="5"/>
    <n v="444"/>
    <x v="683"/>
    <x v="704"/>
    <n v="0.15303732303732304"/>
    <x v="2"/>
    <x v="4"/>
    <n v="2023"/>
    <x v="645"/>
    <n v="932.40000000000055"/>
    <x v="0"/>
    <n v="2632.36"/>
    <x v="0"/>
    <x v="1"/>
    <x v="2"/>
  </r>
  <r>
    <s v="ORD1706"/>
    <d v="2023-11-02T00:00:00"/>
    <x v="3"/>
    <x v="4"/>
    <x v="0"/>
    <x v="9"/>
    <x v="6"/>
    <n v="3598"/>
    <x v="684"/>
    <x v="705"/>
    <n v="8.2754307948860475E-2"/>
    <x v="1"/>
    <x v="3"/>
    <n v="2023"/>
    <x v="646"/>
    <n v="4317.6000000000004"/>
    <x v="1"/>
    <n v="13201"/>
    <x v="1"/>
    <x v="0"/>
    <x v="1"/>
  </r>
  <r>
    <s v="ORD1707"/>
    <d v="2023-04-16T00:00:00"/>
    <x v="0"/>
    <x v="3"/>
    <x v="3"/>
    <x v="4"/>
    <x v="8"/>
    <n v="4854"/>
    <x v="685"/>
    <x v="706"/>
    <n v="0.1157540173053152"/>
    <x v="2"/>
    <x v="11"/>
    <n v="2023"/>
    <x v="647"/>
    <n v="1456.2000000000003"/>
    <x v="1"/>
    <n v="4292.13"/>
    <x v="2"/>
    <x v="0"/>
    <x v="2"/>
  </r>
  <r>
    <s v="ORD1708"/>
    <d v="2023-10-23T00:00:00"/>
    <x v="1"/>
    <x v="0"/>
    <x v="1"/>
    <x v="1"/>
    <x v="6"/>
    <n v="1331"/>
    <x v="686"/>
    <x v="707"/>
    <n v="9.0371900826446278E-2"/>
    <x v="2"/>
    <x v="1"/>
    <n v="2023"/>
    <x v="648"/>
    <n v="1597.2000000000003"/>
    <x v="1"/>
    <n v="4842.8599999999997"/>
    <x v="1"/>
    <x v="0"/>
    <x v="2"/>
  </r>
  <r>
    <s v="ORD1709"/>
    <d v="2023-10-10T00:00:00"/>
    <x v="2"/>
    <x v="3"/>
    <x v="0"/>
    <x v="9"/>
    <x v="4"/>
    <n v="211"/>
    <x v="687"/>
    <x v="708"/>
    <n v="0.10579778830963665"/>
    <x v="2"/>
    <x v="1"/>
    <n v="2023"/>
    <x v="649"/>
    <n v="189.90000000000003"/>
    <x v="1"/>
    <n v="566.03000000000009"/>
    <x v="2"/>
    <x v="1"/>
    <x v="2"/>
  </r>
  <r>
    <s v="ORD1710"/>
    <d v="2023-10-11T00:00:00"/>
    <x v="2"/>
    <x v="1"/>
    <x v="3"/>
    <x v="14"/>
    <x v="7"/>
    <n v="2277"/>
    <x v="688"/>
    <x v="709"/>
    <n v="0.14427755819060167"/>
    <x v="2"/>
    <x v="1"/>
    <n v="2023"/>
    <x v="650"/>
    <n v="1366.2000000000003"/>
    <x v="1"/>
    <n v="3896.9599999999996"/>
    <x v="2"/>
    <x v="1"/>
    <x v="2"/>
  </r>
  <r>
    <s v="ORD1711"/>
    <d v="2023-02-11T00:00:00"/>
    <x v="0"/>
    <x v="1"/>
    <x v="1"/>
    <x v="1"/>
    <x v="0"/>
    <n v="1044"/>
    <x v="689"/>
    <x v="710"/>
    <n v="0.19239343869731798"/>
    <x v="2"/>
    <x v="8"/>
    <n v="2023"/>
    <x v="651"/>
    <n v="2505.6000000000004"/>
    <x v="0"/>
    <n v="6745.13"/>
    <x v="0"/>
    <x v="0"/>
    <x v="2"/>
  </r>
  <r>
    <s v="ORD1712"/>
    <d v="2023-12-29T00:00:00"/>
    <x v="0"/>
    <x v="4"/>
    <x v="1"/>
    <x v="1"/>
    <x v="2"/>
    <n v="384"/>
    <x v="690"/>
    <x v="711"/>
    <n v="0.22440538194444443"/>
    <x v="2"/>
    <x v="7"/>
    <n v="2023"/>
    <x v="652"/>
    <n v="691.20000000000027"/>
    <x v="0"/>
    <n v="1786.9699999999998"/>
    <x v="1"/>
    <x v="0"/>
    <x v="2"/>
  </r>
  <r>
    <s v="ORD1713"/>
    <d v="2023-01-10T00:00:00"/>
    <x v="3"/>
    <x v="4"/>
    <x v="2"/>
    <x v="6"/>
    <x v="3"/>
    <n v="4883"/>
    <x v="691"/>
    <x v="712"/>
    <n v="8.4733428902996802E-2"/>
    <x v="0"/>
    <x v="6"/>
    <n v="2023"/>
    <x v="653"/>
    <n v="13184.100000000002"/>
    <x v="0"/>
    <n v="40223.22"/>
    <x v="0"/>
    <x v="0"/>
    <x v="0"/>
  </r>
  <r>
    <s v="ORD1714"/>
    <d v="2023-05-04T00:00:00"/>
    <x v="3"/>
    <x v="0"/>
    <x v="1"/>
    <x v="1"/>
    <x v="6"/>
    <n v="4355"/>
    <x v="692"/>
    <x v="713"/>
    <n v="0.21216762342135476"/>
    <x v="1"/>
    <x v="0"/>
    <n v="2023"/>
    <x v="654"/>
    <n v="5226"/>
    <x v="1"/>
    <n v="13724.04"/>
    <x v="1"/>
    <x v="0"/>
    <x v="1"/>
  </r>
  <r>
    <s v="ORD1715"/>
    <d v="2023-06-05T00:00:00"/>
    <x v="3"/>
    <x v="1"/>
    <x v="1"/>
    <x v="15"/>
    <x v="3"/>
    <n v="726"/>
    <x v="693"/>
    <x v="714"/>
    <n v="0.23136516681971228"/>
    <x v="2"/>
    <x v="2"/>
    <n v="2023"/>
    <x v="205"/>
    <n v="1960.1999999999998"/>
    <x v="0"/>
    <n v="5022.26"/>
    <x v="0"/>
    <x v="0"/>
    <x v="2"/>
  </r>
  <r>
    <s v="ORD1716"/>
    <d v="2023-12-23T00:00:00"/>
    <x v="1"/>
    <x v="3"/>
    <x v="0"/>
    <x v="0"/>
    <x v="1"/>
    <n v="4177"/>
    <x v="694"/>
    <x v="715"/>
    <n v="0.17293847258798181"/>
    <x v="0"/>
    <x v="7"/>
    <n v="2023"/>
    <x v="655"/>
    <n v="6265.5000000000018"/>
    <x v="1"/>
    <n v="17273.18"/>
    <x v="1"/>
    <x v="0"/>
    <x v="0"/>
  </r>
  <r>
    <s v="ORD1717"/>
    <d v="2023-01-22T00:00:00"/>
    <x v="1"/>
    <x v="1"/>
    <x v="2"/>
    <x v="6"/>
    <x v="2"/>
    <n v="4331"/>
    <x v="695"/>
    <x v="716"/>
    <n v="0.24854729469714462"/>
    <x v="0"/>
    <x v="6"/>
    <n v="2023"/>
    <x v="656"/>
    <n v="7795.8000000000029"/>
    <x v="0"/>
    <n v="19527.25"/>
    <x v="1"/>
    <x v="0"/>
    <x v="0"/>
  </r>
  <r>
    <s v="ORD1718"/>
    <d v="2023-06-13T00:00:00"/>
    <x v="3"/>
    <x v="3"/>
    <x v="2"/>
    <x v="3"/>
    <x v="3"/>
    <n v="1319"/>
    <x v="696"/>
    <x v="717"/>
    <n v="0.19498104624715693"/>
    <x v="1"/>
    <x v="2"/>
    <n v="2023"/>
    <x v="657"/>
    <n v="3561.3000000000011"/>
    <x v="0"/>
    <n v="9556.3799999999992"/>
    <x v="0"/>
    <x v="0"/>
    <x v="1"/>
  </r>
  <r>
    <s v="ORD1719"/>
    <d v="2023-07-06T00:00:00"/>
    <x v="2"/>
    <x v="2"/>
    <x v="1"/>
    <x v="15"/>
    <x v="5"/>
    <n v="679"/>
    <x v="697"/>
    <x v="718"/>
    <n v="0.2085777403745003"/>
    <x v="2"/>
    <x v="10"/>
    <n v="2023"/>
    <x v="658"/>
    <n v="1425.9000000000005"/>
    <x v="0"/>
    <n v="3761.63"/>
    <x v="0"/>
    <x v="1"/>
    <x v="2"/>
  </r>
  <r>
    <s v="ORD1720"/>
    <d v="2023-07-17T00:00:00"/>
    <x v="3"/>
    <x v="4"/>
    <x v="3"/>
    <x v="14"/>
    <x v="4"/>
    <n v="4014"/>
    <x v="698"/>
    <x v="719"/>
    <n v="8.2761169240989876E-2"/>
    <x v="1"/>
    <x v="10"/>
    <n v="2023"/>
    <x v="659"/>
    <n v="3612.6000000000004"/>
    <x v="1"/>
    <n v="11045.39"/>
    <x v="2"/>
    <x v="0"/>
    <x v="1"/>
  </r>
  <r>
    <s v="ORD1721"/>
    <d v="2023-02-13T00:00:00"/>
    <x v="2"/>
    <x v="4"/>
    <x v="3"/>
    <x v="4"/>
    <x v="5"/>
    <n v="3829"/>
    <x v="699"/>
    <x v="720"/>
    <n v="0.10287803604074171"/>
    <x v="0"/>
    <x v="8"/>
    <n v="2023"/>
    <x v="660"/>
    <n v="8040.9000000000015"/>
    <x v="0"/>
    <n v="24045.559999999998"/>
    <x v="0"/>
    <x v="1"/>
    <x v="0"/>
  </r>
  <r>
    <s v="ORD1722"/>
    <d v="2023-12-09T00:00:00"/>
    <x v="3"/>
    <x v="0"/>
    <x v="1"/>
    <x v="15"/>
    <x v="7"/>
    <n v="2356"/>
    <x v="700"/>
    <x v="721"/>
    <n v="0.2320246179966044"/>
    <x v="2"/>
    <x v="7"/>
    <n v="2023"/>
    <x v="516"/>
    <n v="1413.6000000000004"/>
    <x v="1"/>
    <n v="3618.7000000000003"/>
    <x v="2"/>
    <x v="0"/>
    <x v="2"/>
  </r>
  <r>
    <s v="ORD1723"/>
    <d v="2023-09-30T00:00:00"/>
    <x v="3"/>
    <x v="0"/>
    <x v="1"/>
    <x v="15"/>
    <x v="8"/>
    <n v="1468"/>
    <x v="701"/>
    <x v="722"/>
    <n v="0.20106267029972755"/>
    <x v="2"/>
    <x v="5"/>
    <n v="2023"/>
    <x v="661"/>
    <n v="440.40000000000009"/>
    <x v="1"/>
    <n v="1172.8399999999999"/>
    <x v="2"/>
    <x v="0"/>
    <x v="2"/>
  </r>
  <r>
    <s v="ORD1724"/>
    <d v="2023-07-31T00:00:00"/>
    <x v="0"/>
    <x v="1"/>
    <x v="1"/>
    <x v="2"/>
    <x v="5"/>
    <n v="1135"/>
    <x v="702"/>
    <x v="723"/>
    <n v="0.23204908747640027"/>
    <x v="2"/>
    <x v="10"/>
    <n v="2023"/>
    <x v="300"/>
    <n v="2383.5"/>
    <x v="0"/>
    <n v="6101.37"/>
    <x v="0"/>
    <x v="0"/>
    <x v="2"/>
  </r>
  <r>
    <s v="ORD1725"/>
    <d v="2023-10-05T00:00:00"/>
    <x v="1"/>
    <x v="1"/>
    <x v="3"/>
    <x v="10"/>
    <x v="2"/>
    <n v="1734"/>
    <x v="703"/>
    <x v="724"/>
    <n v="0.17330834294502115"/>
    <x v="1"/>
    <x v="1"/>
    <n v="2023"/>
    <x v="662"/>
    <n v="3121.2000000000007"/>
    <x v="0"/>
    <n v="8600.9"/>
    <x v="1"/>
    <x v="0"/>
    <x v="1"/>
  </r>
  <r>
    <s v="ORD1726"/>
    <d v="2023-12-09T00:00:00"/>
    <x v="3"/>
    <x v="0"/>
    <x v="3"/>
    <x v="14"/>
    <x v="3"/>
    <n v="1470"/>
    <x v="704"/>
    <x v="725"/>
    <n v="0.1616077097505669"/>
    <x v="1"/>
    <x v="7"/>
    <n v="2023"/>
    <x v="663"/>
    <n v="3969"/>
    <x v="0"/>
    <n v="11091.93"/>
    <x v="0"/>
    <x v="0"/>
    <x v="1"/>
  </r>
  <r>
    <s v="ORD1727"/>
    <d v="2023-02-23T00:00:00"/>
    <x v="1"/>
    <x v="0"/>
    <x v="0"/>
    <x v="16"/>
    <x v="2"/>
    <n v="1567"/>
    <x v="705"/>
    <x v="726"/>
    <n v="0.14880344607530313"/>
    <x v="2"/>
    <x v="8"/>
    <n v="2023"/>
    <x v="664"/>
    <n v="2820.6000000000004"/>
    <x v="0"/>
    <n v="8002.95"/>
    <x v="1"/>
    <x v="0"/>
    <x v="2"/>
  </r>
  <r>
    <s v="ORD1728"/>
    <d v="2023-04-21T00:00:00"/>
    <x v="2"/>
    <x v="4"/>
    <x v="2"/>
    <x v="6"/>
    <x v="4"/>
    <n v="2440"/>
    <x v="706"/>
    <x v="727"/>
    <n v="0.13440437158469945"/>
    <x v="2"/>
    <x v="11"/>
    <n v="2023"/>
    <x v="665"/>
    <n v="2196"/>
    <x v="1"/>
    <n v="6336.16"/>
    <x v="2"/>
    <x v="1"/>
    <x v="2"/>
  </r>
  <r>
    <s v="ORD1729"/>
    <d v="2023-06-10T00:00:00"/>
    <x v="0"/>
    <x v="2"/>
    <x v="1"/>
    <x v="5"/>
    <x v="6"/>
    <n v="4303"/>
    <x v="707"/>
    <x v="728"/>
    <n v="0.13359051824308624"/>
    <x v="1"/>
    <x v="2"/>
    <n v="2023"/>
    <x v="666"/>
    <n v="5163.6000000000004"/>
    <x v="1"/>
    <n v="14912.64"/>
    <x v="1"/>
    <x v="0"/>
    <x v="1"/>
  </r>
  <r>
    <s v="ORD1730"/>
    <d v="2023-06-16T00:00:00"/>
    <x v="3"/>
    <x v="0"/>
    <x v="0"/>
    <x v="9"/>
    <x v="6"/>
    <n v="1844"/>
    <x v="708"/>
    <x v="729"/>
    <n v="0.12364696312364425"/>
    <x v="2"/>
    <x v="2"/>
    <n v="2023"/>
    <x v="667"/>
    <n v="2212.8000000000002"/>
    <x v="1"/>
    <n v="6463.9800000000005"/>
    <x v="1"/>
    <x v="0"/>
    <x v="2"/>
  </r>
  <r>
    <s v="ORD1731"/>
    <d v="2023-07-07T00:00:00"/>
    <x v="2"/>
    <x v="2"/>
    <x v="1"/>
    <x v="15"/>
    <x v="2"/>
    <n v="370"/>
    <x v="709"/>
    <x v="730"/>
    <n v="0.11172972972972972"/>
    <x v="2"/>
    <x v="10"/>
    <n v="2023"/>
    <x v="668"/>
    <n v="666"/>
    <x v="0"/>
    <n v="1971.96"/>
    <x v="1"/>
    <x v="1"/>
    <x v="2"/>
  </r>
  <r>
    <s v="ORD1732"/>
    <d v="2023-07-19T00:00:00"/>
    <x v="1"/>
    <x v="3"/>
    <x v="2"/>
    <x v="13"/>
    <x v="1"/>
    <n v="4125"/>
    <x v="710"/>
    <x v="731"/>
    <n v="0.11953212121212121"/>
    <x v="0"/>
    <x v="10"/>
    <n v="2023"/>
    <x v="669"/>
    <n v="6187.5"/>
    <x v="1"/>
    <n v="18159.650000000001"/>
    <x v="1"/>
    <x v="0"/>
    <x v="0"/>
  </r>
  <r>
    <s v="ORD1733"/>
    <d v="2023-05-17T00:00:00"/>
    <x v="3"/>
    <x v="0"/>
    <x v="2"/>
    <x v="13"/>
    <x v="5"/>
    <n v="498"/>
    <x v="711"/>
    <x v="732"/>
    <n v="0.12723465289730351"/>
    <x v="2"/>
    <x v="0"/>
    <n v="2023"/>
    <x v="670"/>
    <n v="1045.8000000000002"/>
    <x v="0"/>
    <n v="3042.46"/>
    <x v="0"/>
    <x v="0"/>
    <x v="2"/>
  </r>
  <r>
    <s v="ORD1734"/>
    <d v="2023-09-24T00:00:00"/>
    <x v="1"/>
    <x v="3"/>
    <x v="2"/>
    <x v="13"/>
    <x v="4"/>
    <n v="4262"/>
    <x v="712"/>
    <x v="733"/>
    <n v="9.1338182386985753E-2"/>
    <x v="1"/>
    <x v="5"/>
    <n v="2023"/>
    <x v="671"/>
    <n v="3835.8000000000011"/>
    <x v="1"/>
    <n v="11618.15"/>
    <x v="2"/>
    <x v="0"/>
    <x v="1"/>
  </r>
  <r>
    <s v="ORD1735"/>
    <d v="2023-08-18T00:00:00"/>
    <x v="2"/>
    <x v="3"/>
    <x v="0"/>
    <x v="16"/>
    <x v="2"/>
    <n v="2857"/>
    <x v="713"/>
    <x v="734"/>
    <n v="0.16468206743670516"/>
    <x v="1"/>
    <x v="9"/>
    <n v="2023"/>
    <x v="672"/>
    <n v="5142.6000000000004"/>
    <x v="0"/>
    <n v="14319.02"/>
    <x v="1"/>
    <x v="1"/>
    <x v="1"/>
  </r>
  <r>
    <s v="ORD1736"/>
    <d v="2023-09-20T00:00:00"/>
    <x v="0"/>
    <x v="1"/>
    <x v="2"/>
    <x v="8"/>
    <x v="4"/>
    <n v="4623"/>
    <x v="714"/>
    <x v="735"/>
    <n v="0.17913187684764584"/>
    <x v="1"/>
    <x v="5"/>
    <n v="2023"/>
    <x v="673"/>
    <n v="4160.7000000000007"/>
    <x v="1"/>
    <n v="11384.619999999999"/>
    <x v="2"/>
    <x v="0"/>
    <x v="1"/>
  </r>
  <r>
    <s v="ORD1737"/>
    <d v="2023-02-15T00:00:00"/>
    <x v="2"/>
    <x v="4"/>
    <x v="2"/>
    <x v="8"/>
    <x v="2"/>
    <n v="3834"/>
    <x v="715"/>
    <x v="736"/>
    <n v="0.23492783863675881"/>
    <x v="0"/>
    <x v="8"/>
    <n v="2023"/>
    <x v="552"/>
    <n v="6901.2000000000007"/>
    <x v="0"/>
    <n v="17599.72"/>
    <x v="1"/>
    <x v="1"/>
    <x v="0"/>
  </r>
  <r>
    <s v="ORD1738"/>
    <d v="2023-04-28T00:00:00"/>
    <x v="3"/>
    <x v="0"/>
    <x v="3"/>
    <x v="12"/>
    <x v="2"/>
    <n v="3837"/>
    <x v="716"/>
    <x v="737"/>
    <n v="0.13633003214316741"/>
    <x v="0"/>
    <x v="11"/>
    <n v="2023"/>
    <x v="674"/>
    <n v="6906.6000000000022"/>
    <x v="0"/>
    <n v="19883.41"/>
    <x v="1"/>
    <x v="0"/>
    <x v="0"/>
  </r>
  <r>
    <s v="ORD1739"/>
    <d v="2023-12-14T00:00:00"/>
    <x v="1"/>
    <x v="4"/>
    <x v="2"/>
    <x v="8"/>
    <x v="5"/>
    <n v="565"/>
    <x v="717"/>
    <x v="738"/>
    <n v="0.13223008849557522"/>
    <x v="2"/>
    <x v="7"/>
    <n v="2023"/>
    <x v="675"/>
    <n v="1186.5"/>
    <x v="0"/>
    <n v="3432.03"/>
    <x v="0"/>
    <x v="0"/>
    <x v="2"/>
  </r>
  <r>
    <s v="ORD1740"/>
    <d v="2023-11-09T00:00:00"/>
    <x v="1"/>
    <x v="4"/>
    <x v="0"/>
    <x v="9"/>
    <x v="5"/>
    <n v="3769"/>
    <x v="718"/>
    <x v="739"/>
    <n v="0.17937232308683623"/>
    <x v="0"/>
    <x v="3"/>
    <n v="2023"/>
    <x v="676"/>
    <n v="7914.9000000000015"/>
    <x v="0"/>
    <n v="21650.62"/>
    <x v="0"/>
    <x v="0"/>
    <x v="0"/>
  </r>
  <r>
    <s v="ORD1741"/>
    <d v="2023-10-13T00:00:00"/>
    <x v="3"/>
    <x v="4"/>
    <x v="1"/>
    <x v="5"/>
    <x v="4"/>
    <n v="3029"/>
    <x v="719"/>
    <x v="740"/>
    <n v="0.10752723671178607"/>
    <x v="2"/>
    <x v="1"/>
    <n v="2023"/>
    <x v="677"/>
    <n v="2726.1000000000004"/>
    <x v="1"/>
    <n v="8109.9"/>
    <x v="2"/>
    <x v="0"/>
    <x v="2"/>
  </r>
  <r>
    <s v="ORD1742"/>
    <d v="2023-04-20T00:00:00"/>
    <x v="3"/>
    <x v="4"/>
    <x v="0"/>
    <x v="0"/>
    <x v="6"/>
    <n v="3364"/>
    <x v="720"/>
    <x v="741"/>
    <n v="0.22835166468489893"/>
    <x v="1"/>
    <x v="11"/>
    <n v="2023"/>
    <x v="678"/>
    <n v="4036.8000000000011"/>
    <x v="1"/>
    <n v="10383.300000000001"/>
    <x v="1"/>
    <x v="0"/>
    <x v="1"/>
  </r>
  <r>
    <s v="ORD1743"/>
    <d v="2023-11-16T00:00:00"/>
    <x v="0"/>
    <x v="4"/>
    <x v="0"/>
    <x v="11"/>
    <x v="1"/>
    <n v="443"/>
    <x v="721"/>
    <x v="742"/>
    <n v="0.14748081264108354"/>
    <x v="2"/>
    <x v="3"/>
    <n v="2023"/>
    <x v="679"/>
    <n v="664.50000000000023"/>
    <x v="1"/>
    <n v="1888.33"/>
    <x v="1"/>
    <x v="0"/>
    <x v="2"/>
  </r>
  <r>
    <s v="ORD1744"/>
    <d v="2023-06-18T00:00:00"/>
    <x v="1"/>
    <x v="3"/>
    <x v="1"/>
    <x v="15"/>
    <x v="2"/>
    <n v="2072"/>
    <x v="722"/>
    <x v="743"/>
    <n v="0.24227638352638353"/>
    <x v="1"/>
    <x v="2"/>
    <n v="2023"/>
    <x v="680"/>
    <n v="3729.6000000000004"/>
    <x v="0"/>
    <n v="9420.02"/>
    <x v="1"/>
    <x v="0"/>
    <x v="1"/>
  </r>
  <r>
    <s v="ORD1745"/>
    <d v="2023-07-07T00:00:00"/>
    <x v="1"/>
    <x v="2"/>
    <x v="3"/>
    <x v="4"/>
    <x v="7"/>
    <n v="872"/>
    <x v="723"/>
    <x v="744"/>
    <n v="0.10155963302752294"/>
    <x v="2"/>
    <x v="10"/>
    <n v="2023"/>
    <x v="681"/>
    <n v="523.20000000000005"/>
    <x v="1"/>
    <n v="1566.88"/>
    <x v="2"/>
    <x v="0"/>
    <x v="2"/>
  </r>
  <r>
    <s v="ORD1746"/>
    <d v="2023-03-12T00:00:00"/>
    <x v="1"/>
    <x v="3"/>
    <x v="3"/>
    <x v="14"/>
    <x v="2"/>
    <n v="929"/>
    <x v="387"/>
    <x v="745"/>
    <n v="0.1165357014711159"/>
    <x v="2"/>
    <x v="4"/>
    <n v="2023"/>
    <x v="369"/>
    <n v="1672.2000000000003"/>
    <x v="0"/>
    <n v="4924.43"/>
    <x v="1"/>
    <x v="0"/>
    <x v="2"/>
  </r>
  <r>
    <s v="ORD1747"/>
    <d v="2023-10-19T00:00:00"/>
    <x v="1"/>
    <x v="2"/>
    <x v="3"/>
    <x v="12"/>
    <x v="4"/>
    <n v="4036"/>
    <x v="724"/>
    <x v="746"/>
    <n v="0.12322431450280806"/>
    <x v="1"/>
    <x v="1"/>
    <n v="2023"/>
    <x v="682"/>
    <n v="3632.4000000000015"/>
    <x v="1"/>
    <n v="10616"/>
    <x v="2"/>
    <x v="0"/>
    <x v="1"/>
  </r>
  <r>
    <s v="ORD1748"/>
    <d v="2023-12-21T00:00:00"/>
    <x v="0"/>
    <x v="0"/>
    <x v="0"/>
    <x v="16"/>
    <x v="3"/>
    <n v="707"/>
    <x v="725"/>
    <x v="747"/>
    <n v="0.22939022473675938"/>
    <x v="2"/>
    <x v="7"/>
    <n v="2023"/>
    <x v="683"/>
    <n v="1908.9000000000005"/>
    <x v="0"/>
    <n v="4903.3900000000003"/>
    <x v="0"/>
    <x v="0"/>
    <x v="2"/>
  </r>
  <r>
    <s v="ORD1749"/>
    <d v="2023-10-31T00:00:00"/>
    <x v="1"/>
    <x v="3"/>
    <x v="0"/>
    <x v="16"/>
    <x v="6"/>
    <n v="4716"/>
    <x v="435"/>
    <x v="748"/>
    <n v="9.3704410517387621E-2"/>
    <x v="1"/>
    <x v="1"/>
    <n v="2023"/>
    <x v="684"/>
    <n v="5659.2000000000007"/>
    <x v="1"/>
    <n v="17096.36"/>
    <x v="1"/>
    <x v="0"/>
    <x v="1"/>
  </r>
  <r>
    <s v="ORD1750"/>
    <d v="2023-10-05T00:00:00"/>
    <x v="0"/>
    <x v="3"/>
    <x v="2"/>
    <x v="13"/>
    <x v="3"/>
    <n v="3915"/>
    <x v="726"/>
    <x v="749"/>
    <n v="0.11413111962537249"/>
    <x v="0"/>
    <x v="1"/>
    <n v="2023"/>
    <x v="685"/>
    <n v="10570.5"/>
    <x v="0"/>
    <n v="31213.59"/>
    <x v="0"/>
    <x v="0"/>
    <x v="0"/>
  </r>
  <r>
    <s v="ORD1751"/>
    <d v="2023-09-10T00:00:00"/>
    <x v="2"/>
    <x v="3"/>
    <x v="2"/>
    <x v="3"/>
    <x v="6"/>
    <n v="892"/>
    <x v="483"/>
    <x v="750"/>
    <n v="0.11318385650224215"/>
    <x v="2"/>
    <x v="5"/>
    <n v="2023"/>
    <x v="461"/>
    <n v="1070.4000000000001"/>
    <x v="1"/>
    <n v="3164.16"/>
    <x v="1"/>
    <x v="1"/>
    <x v="2"/>
  </r>
  <r>
    <s v="ORD1752"/>
    <d v="2023-06-01T00:00:00"/>
    <x v="1"/>
    <x v="0"/>
    <x v="1"/>
    <x v="15"/>
    <x v="2"/>
    <n v="4877"/>
    <x v="727"/>
    <x v="751"/>
    <n v="0.18256681019752583"/>
    <x v="0"/>
    <x v="2"/>
    <n v="2023"/>
    <x v="686"/>
    <n v="8778.6000000000022"/>
    <x v="0"/>
    <n v="23919.73"/>
    <x v="1"/>
    <x v="0"/>
    <x v="0"/>
  </r>
  <r>
    <s v="ORD1753"/>
    <d v="2023-01-12T00:00:00"/>
    <x v="1"/>
    <x v="0"/>
    <x v="3"/>
    <x v="7"/>
    <x v="1"/>
    <n v="2280"/>
    <x v="728"/>
    <x v="752"/>
    <n v="0.10535350877192982"/>
    <x v="1"/>
    <x v="6"/>
    <n v="2023"/>
    <x v="687"/>
    <n v="3420"/>
    <x v="1"/>
    <n v="10198.969999999999"/>
    <x v="1"/>
    <x v="0"/>
    <x v="1"/>
  </r>
  <r>
    <s v="ORD1754"/>
    <d v="2023-01-29T00:00:00"/>
    <x v="2"/>
    <x v="0"/>
    <x v="0"/>
    <x v="9"/>
    <x v="2"/>
    <n v="604"/>
    <x v="729"/>
    <x v="753"/>
    <n v="8.2193708609271526E-2"/>
    <x v="2"/>
    <x v="6"/>
    <n v="2023"/>
    <x v="688"/>
    <n v="1087.2000000000003"/>
    <x v="0"/>
    <n v="3326.13"/>
    <x v="1"/>
    <x v="1"/>
    <x v="2"/>
  </r>
  <r>
    <s v="ORD1755"/>
    <d v="2023-10-01T00:00:00"/>
    <x v="0"/>
    <x v="0"/>
    <x v="1"/>
    <x v="5"/>
    <x v="7"/>
    <n v="4156"/>
    <x v="730"/>
    <x v="754"/>
    <n v="9.9797882579403266E-2"/>
    <x v="2"/>
    <x v="1"/>
    <n v="2023"/>
    <x v="689"/>
    <n v="2493.6000000000004"/>
    <x v="1"/>
    <n v="7482.4800000000005"/>
    <x v="2"/>
    <x v="0"/>
    <x v="2"/>
  </r>
  <r>
    <s v="ORD1756"/>
    <d v="2023-04-05T00:00:00"/>
    <x v="1"/>
    <x v="0"/>
    <x v="1"/>
    <x v="1"/>
    <x v="2"/>
    <n v="1409"/>
    <x v="731"/>
    <x v="755"/>
    <n v="0.15523775727466291"/>
    <x v="2"/>
    <x v="11"/>
    <n v="2023"/>
    <x v="690"/>
    <n v="2536.2000000000007"/>
    <x v="0"/>
    <n v="7141.62"/>
    <x v="1"/>
    <x v="0"/>
    <x v="2"/>
  </r>
  <r>
    <s v="ORD1757"/>
    <d v="2023-04-03T00:00:00"/>
    <x v="3"/>
    <x v="3"/>
    <x v="2"/>
    <x v="13"/>
    <x v="7"/>
    <n v="3467"/>
    <x v="732"/>
    <x v="756"/>
    <n v="0.14002740121142199"/>
    <x v="2"/>
    <x v="11"/>
    <n v="2023"/>
    <x v="691"/>
    <n v="2080.2000000000007"/>
    <x v="1"/>
    <n v="5963.05"/>
    <x v="2"/>
    <x v="0"/>
    <x v="2"/>
  </r>
  <r>
    <s v="ORD1758"/>
    <d v="2023-07-04T00:00:00"/>
    <x v="2"/>
    <x v="0"/>
    <x v="2"/>
    <x v="13"/>
    <x v="2"/>
    <n v="1649"/>
    <x v="644"/>
    <x v="757"/>
    <n v="0.21334849403678996"/>
    <x v="2"/>
    <x v="10"/>
    <n v="2023"/>
    <x v="605"/>
    <n v="2968.2000000000007"/>
    <x v="0"/>
    <n v="7783.1299999999992"/>
    <x v="1"/>
    <x v="1"/>
    <x v="2"/>
  </r>
  <r>
    <s v="ORD1759"/>
    <d v="2023-06-28T00:00:00"/>
    <x v="0"/>
    <x v="4"/>
    <x v="2"/>
    <x v="13"/>
    <x v="5"/>
    <n v="1635"/>
    <x v="733"/>
    <x v="758"/>
    <n v="0.15057142857142858"/>
    <x v="1"/>
    <x v="2"/>
    <n v="2023"/>
    <x v="692"/>
    <n v="3433.5"/>
    <x v="0"/>
    <n v="9721.7099999999991"/>
    <x v="0"/>
    <x v="0"/>
    <x v="1"/>
  </r>
  <r>
    <s v="ORD1760"/>
    <d v="2023-02-22T00:00:00"/>
    <x v="3"/>
    <x v="0"/>
    <x v="3"/>
    <x v="7"/>
    <x v="2"/>
    <n v="2974"/>
    <x v="734"/>
    <x v="759"/>
    <n v="0.21391616229544944"/>
    <x v="1"/>
    <x v="8"/>
    <n v="2023"/>
    <x v="693"/>
    <n v="5353.2000000000007"/>
    <x v="0"/>
    <n v="14026.880000000001"/>
    <x v="1"/>
    <x v="0"/>
    <x v="1"/>
  </r>
  <r>
    <s v="ORD1761"/>
    <d v="2023-05-03T00:00:00"/>
    <x v="0"/>
    <x v="0"/>
    <x v="1"/>
    <x v="15"/>
    <x v="5"/>
    <n v="1089"/>
    <x v="735"/>
    <x v="760"/>
    <n v="9.3617998163452704E-2"/>
    <x v="2"/>
    <x v="0"/>
    <n v="2023"/>
    <x v="694"/>
    <n v="2286.9000000000005"/>
    <x v="0"/>
    <n v="6909.3499999999995"/>
    <x v="0"/>
    <x v="0"/>
    <x v="2"/>
  </r>
  <r>
    <s v="ORD1762"/>
    <d v="2023-10-21T00:00:00"/>
    <x v="2"/>
    <x v="1"/>
    <x v="0"/>
    <x v="11"/>
    <x v="4"/>
    <n v="3789"/>
    <x v="736"/>
    <x v="761"/>
    <n v="0.14546758159584763"/>
    <x v="1"/>
    <x v="1"/>
    <n v="2023"/>
    <x v="695"/>
    <n v="3410.1000000000004"/>
    <x v="1"/>
    <n v="9713.4700000000012"/>
    <x v="2"/>
    <x v="1"/>
    <x v="1"/>
  </r>
  <r>
    <s v="ORD1763"/>
    <d v="2023-06-24T00:00:00"/>
    <x v="3"/>
    <x v="0"/>
    <x v="0"/>
    <x v="16"/>
    <x v="0"/>
    <n v="4286"/>
    <x v="737"/>
    <x v="762"/>
    <n v="0.11300775781614558"/>
    <x v="0"/>
    <x v="2"/>
    <n v="2023"/>
    <x v="696"/>
    <n v="10286.400000000001"/>
    <x v="0"/>
    <n v="30413.19"/>
    <x v="0"/>
    <x v="0"/>
    <x v="0"/>
  </r>
  <r>
    <s v="ORD1764"/>
    <d v="2023-01-09T00:00:00"/>
    <x v="3"/>
    <x v="1"/>
    <x v="3"/>
    <x v="4"/>
    <x v="0"/>
    <n v="3287"/>
    <x v="738"/>
    <x v="763"/>
    <n v="0.17622299969577121"/>
    <x v="0"/>
    <x v="6"/>
    <n v="2023"/>
    <x v="697"/>
    <n v="7888.8000000000029"/>
    <x v="0"/>
    <n v="21662.04"/>
    <x v="0"/>
    <x v="0"/>
    <x v="0"/>
  </r>
  <r>
    <s v="ORD1765"/>
    <d v="2023-08-14T00:00:00"/>
    <x v="2"/>
    <x v="4"/>
    <x v="3"/>
    <x v="12"/>
    <x v="5"/>
    <n v="2262"/>
    <x v="739"/>
    <x v="764"/>
    <n v="0.21222811671087533"/>
    <x v="1"/>
    <x v="9"/>
    <n v="2023"/>
    <x v="10"/>
    <n v="4750.2000000000007"/>
    <x v="0"/>
    <n v="12473.580000000002"/>
    <x v="0"/>
    <x v="1"/>
    <x v="1"/>
  </r>
  <r>
    <s v="ORD1766"/>
    <d v="2023-04-20T00:00:00"/>
    <x v="3"/>
    <x v="4"/>
    <x v="3"/>
    <x v="14"/>
    <x v="8"/>
    <n v="2513"/>
    <x v="740"/>
    <x v="765"/>
    <n v="0.24081575805809788"/>
    <x v="2"/>
    <x v="11"/>
    <n v="2023"/>
    <x v="698"/>
    <n v="753.90000000000009"/>
    <x v="1"/>
    <n v="1907.8300000000002"/>
    <x v="2"/>
    <x v="0"/>
    <x v="2"/>
  </r>
  <r>
    <s v="ORD1767"/>
    <d v="2023-11-30T00:00:00"/>
    <x v="2"/>
    <x v="2"/>
    <x v="3"/>
    <x v="7"/>
    <x v="3"/>
    <n v="3736"/>
    <x v="741"/>
    <x v="766"/>
    <n v="0.21540239114917914"/>
    <x v="0"/>
    <x v="3"/>
    <n v="2023"/>
    <x v="699"/>
    <n v="10087.200000000001"/>
    <x v="0"/>
    <n v="26381.31"/>
    <x v="0"/>
    <x v="1"/>
    <x v="0"/>
  </r>
  <r>
    <s v="ORD1768"/>
    <d v="2023-07-09T00:00:00"/>
    <x v="2"/>
    <x v="0"/>
    <x v="3"/>
    <x v="4"/>
    <x v="2"/>
    <n v="1650"/>
    <x v="742"/>
    <x v="767"/>
    <n v="8.7985858585858584E-2"/>
    <x v="2"/>
    <x v="10"/>
    <n v="2023"/>
    <x v="700"/>
    <n v="2970"/>
    <x v="0"/>
    <n v="9028.94"/>
    <x v="1"/>
    <x v="1"/>
    <x v="2"/>
  </r>
  <r>
    <s v="ORD1769"/>
    <d v="2023-04-02T00:00:00"/>
    <x v="0"/>
    <x v="0"/>
    <x v="1"/>
    <x v="1"/>
    <x v="7"/>
    <n v="3715"/>
    <x v="743"/>
    <x v="768"/>
    <n v="0.10887886944818305"/>
    <x v="2"/>
    <x v="11"/>
    <n v="2023"/>
    <x v="701"/>
    <n v="2229"/>
    <x v="1"/>
    <n v="6621.03"/>
    <x v="2"/>
    <x v="0"/>
    <x v="2"/>
  </r>
  <r>
    <s v="ORD1770"/>
    <d v="2023-03-09T00:00:00"/>
    <x v="1"/>
    <x v="4"/>
    <x v="2"/>
    <x v="13"/>
    <x v="3"/>
    <n v="4763"/>
    <x v="744"/>
    <x v="769"/>
    <n v="0.17853523689551404"/>
    <x v="0"/>
    <x v="4"/>
    <n v="2023"/>
    <x v="702"/>
    <n v="12860.100000000002"/>
    <x v="0"/>
    <n v="35213.730000000003"/>
    <x v="0"/>
    <x v="0"/>
    <x v="0"/>
  </r>
  <r>
    <s v="ORD1771"/>
    <d v="2023-10-07T00:00:00"/>
    <x v="3"/>
    <x v="1"/>
    <x v="1"/>
    <x v="1"/>
    <x v="4"/>
    <n v="3169"/>
    <x v="745"/>
    <x v="770"/>
    <n v="0.18189123803513202"/>
    <x v="2"/>
    <x v="1"/>
    <n v="2023"/>
    <x v="703"/>
    <n v="2852.1000000000004"/>
    <x v="1"/>
    <n v="7777.7599999999993"/>
    <x v="2"/>
    <x v="0"/>
    <x v="2"/>
  </r>
  <r>
    <s v="ORD1772"/>
    <d v="2023-12-04T00:00:00"/>
    <x v="1"/>
    <x v="3"/>
    <x v="3"/>
    <x v="12"/>
    <x v="3"/>
    <n v="4443"/>
    <x v="746"/>
    <x v="771"/>
    <n v="0.11043539150223822"/>
    <x v="0"/>
    <x v="7"/>
    <n v="2023"/>
    <x v="704"/>
    <n v="11996.100000000002"/>
    <x v="0"/>
    <n v="35571.019999999997"/>
    <x v="0"/>
    <x v="0"/>
    <x v="0"/>
  </r>
  <r>
    <s v="ORD1773"/>
    <d v="2023-04-24T00:00:00"/>
    <x v="0"/>
    <x v="4"/>
    <x v="0"/>
    <x v="9"/>
    <x v="7"/>
    <n v="4470"/>
    <x v="747"/>
    <x v="772"/>
    <n v="0.23681431767337807"/>
    <x v="2"/>
    <x v="11"/>
    <n v="2023"/>
    <x v="705"/>
    <n v="2682"/>
    <x v="1"/>
    <n v="6822.8799999999992"/>
    <x v="2"/>
    <x v="0"/>
    <x v="2"/>
  </r>
  <r>
    <s v="ORD1774"/>
    <d v="2023-01-26T00:00:00"/>
    <x v="1"/>
    <x v="1"/>
    <x v="0"/>
    <x v="16"/>
    <x v="4"/>
    <n v="4330"/>
    <x v="225"/>
    <x v="773"/>
    <n v="0.13523710546574289"/>
    <x v="1"/>
    <x v="6"/>
    <n v="2023"/>
    <x v="220"/>
    <n v="3897"/>
    <x v="1"/>
    <n v="11233.27"/>
    <x v="2"/>
    <x v="0"/>
    <x v="1"/>
  </r>
  <r>
    <s v="ORD1775"/>
    <d v="2023-08-02T00:00:00"/>
    <x v="0"/>
    <x v="0"/>
    <x v="2"/>
    <x v="3"/>
    <x v="3"/>
    <n v="4858"/>
    <x v="748"/>
    <x v="774"/>
    <n v="0.20574607748959331"/>
    <x v="0"/>
    <x v="9"/>
    <n v="2023"/>
    <x v="706"/>
    <n v="13116.600000000002"/>
    <x v="0"/>
    <n v="34726.370000000003"/>
    <x v="0"/>
    <x v="0"/>
    <x v="0"/>
  </r>
  <r>
    <s v="ORD1776"/>
    <d v="2023-07-06T00:00:00"/>
    <x v="2"/>
    <x v="0"/>
    <x v="1"/>
    <x v="1"/>
    <x v="5"/>
    <n v="4003"/>
    <x v="749"/>
    <x v="775"/>
    <n v="0.15140180578851575"/>
    <x v="0"/>
    <x v="10"/>
    <n v="2023"/>
    <x v="707"/>
    <n v="8406.2999999999993"/>
    <x v="0"/>
    <n v="23778.57"/>
    <x v="0"/>
    <x v="1"/>
    <x v="0"/>
  </r>
  <r>
    <s v="ORD1777"/>
    <d v="2023-02-06T00:00:00"/>
    <x v="1"/>
    <x v="0"/>
    <x v="2"/>
    <x v="13"/>
    <x v="6"/>
    <n v="2500"/>
    <x v="750"/>
    <x v="776"/>
    <n v="0.11080799999999999"/>
    <x v="2"/>
    <x v="8"/>
    <n v="2023"/>
    <x v="708"/>
    <n v="3000"/>
    <x v="1"/>
    <n v="8891.92"/>
    <x v="1"/>
    <x v="0"/>
    <x v="2"/>
  </r>
  <r>
    <s v="ORD1778"/>
    <d v="2023-11-29T00:00:00"/>
    <x v="1"/>
    <x v="2"/>
    <x v="1"/>
    <x v="15"/>
    <x v="4"/>
    <n v="1391"/>
    <x v="751"/>
    <x v="777"/>
    <n v="0.17325904624970045"/>
    <x v="2"/>
    <x v="3"/>
    <n v="2023"/>
    <x v="709"/>
    <n v="1251.9000000000001"/>
    <x v="1"/>
    <n v="3449.99"/>
    <x v="2"/>
    <x v="0"/>
    <x v="2"/>
  </r>
  <r>
    <s v="ORD1779"/>
    <d v="2023-11-24T00:00:00"/>
    <x v="3"/>
    <x v="1"/>
    <x v="1"/>
    <x v="2"/>
    <x v="4"/>
    <n v="4739"/>
    <x v="752"/>
    <x v="778"/>
    <n v="0.24899416191882956"/>
    <x v="1"/>
    <x v="3"/>
    <n v="2023"/>
    <x v="710"/>
    <n v="4265.1000000000004"/>
    <x v="1"/>
    <n v="10677.05"/>
    <x v="2"/>
    <x v="0"/>
    <x v="1"/>
  </r>
  <r>
    <s v="ORD1780"/>
    <d v="2023-05-31T00:00:00"/>
    <x v="0"/>
    <x v="0"/>
    <x v="1"/>
    <x v="1"/>
    <x v="1"/>
    <n v="3760"/>
    <x v="753"/>
    <x v="779"/>
    <n v="0.11541382978723405"/>
    <x v="1"/>
    <x v="0"/>
    <n v="2023"/>
    <x v="711"/>
    <n v="5640"/>
    <x v="1"/>
    <n v="16630.22"/>
    <x v="1"/>
    <x v="0"/>
    <x v="1"/>
  </r>
  <r>
    <s v="ORD1781"/>
    <d v="2023-11-09T00:00:00"/>
    <x v="0"/>
    <x v="0"/>
    <x v="0"/>
    <x v="16"/>
    <x v="7"/>
    <n v="3734"/>
    <x v="754"/>
    <x v="780"/>
    <n v="0.10744777718264595"/>
    <x v="2"/>
    <x v="3"/>
    <n v="2023"/>
    <x v="712"/>
    <n v="2240.4000000000005"/>
    <x v="1"/>
    <n v="6665.58"/>
    <x v="2"/>
    <x v="0"/>
    <x v="2"/>
  </r>
  <r>
    <s v="ORD1782"/>
    <d v="2023-06-17T00:00:00"/>
    <x v="0"/>
    <x v="3"/>
    <x v="3"/>
    <x v="14"/>
    <x v="7"/>
    <n v="3359"/>
    <x v="755"/>
    <x v="781"/>
    <n v="0.20618636498958023"/>
    <x v="2"/>
    <x v="2"/>
    <n v="2023"/>
    <x v="713"/>
    <n v="2015.4000000000005"/>
    <x v="1"/>
    <n v="5332.84"/>
    <x v="2"/>
    <x v="0"/>
    <x v="2"/>
  </r>
  <r>
    <s v="ORD1783"/>
    <d v="2023-05-17T00:00:00"/>
    <x v="2"/>
    <x v="1"/>
    <x v="0"/>
    <x v="11"/>
    <x v="6"/>
    <n v="2594"/>
    <x v="756"/>
    <x v="782"/>
    <n v="0.12439764841942945"/>
    <x v="1"/>
    <x v="0"/>
    <n v="2023"/>
    <x v="714"/>
    <n v="3112.8"/>
    <x v="1"/>
    <n v="9085.25"/>
    <x v="1"/>
    <x v="1"/>
    <x v="1"/>
  </r>
  <r>
    <s v="ORD1784"/>
    <d v="2023-03-18T00:00:00"/>
    <x v="2"/>
    <x v="2"/>
    <x v="3"/>
    <x v="4"/>
    <x v="1"/>
    <n v="4591"/>
    <x v="757"/>
    <x v="783"/>
    <n v="0.18371814419516444"/>
    <x v="0"/>
    <x v="4"/>
    <n v="2023"/>
    <x v="556"/>
    <n v="6886.5"/>
    <x v="1"/>
    <n v="18737.75"/>
    <x v="1"/>
    <x v="1"/>
    <x v="0"/>
  </r>
  <r>
    <s v="ORD1785"/>
    <d v="2023-01-25T00:00:00"/>
    <x v="1"/>
    <x v="3"/>
    <x v="3"/>
    <x v="7"/>
    <x v="1"/>
    <n v="1827"/>
    <x v="656"/>
    <x v="784"/>
    <n v="0.18188067870826491"/>
    <x v="2"/>
    <x v="6"/>
    <n v="2023"/>
    <x v="715"/>
    <n v="2740.5000000000009"/>
    <x v="1"/>
    <n v="7473.5199999999995"/>
    <x v="1"/>
    <x v="0"/>
    <x v="2"/>
  </r>
  <r>
    <s v="ORD1786"/>
    <d v="2023-03-16T00:00:00"/>
    <x v="1"/>
    <x v="3"/>
    <x v="3"/>
    <x v="7"/>
    <x v="3"/>
    <n v="2797"/>
    <x v="758"/>
    <x v="785"/>
    <n v="9.5522583720653087E-2"/>
    <x v="0"/>
    <x v="4"/>
    <n v="2023"/>
    <x v="716"/>
    <n v="7551.9000000000015"/>
    <x v="0"/>
    <n v="22768.41"/>
    <x v="0"/>
    <x v="0"/>
    <x v="0"/>
  </r>
  <r>
    <s v="ORD1787"/>
    <d v="2023-01-19T00:00:00"/>
    <x v="1"/>
    <x v="4"/>
    <x v="2"/>
    <x v="13"/>
    <x v="5"/>
    <n v="1578"/>
    <x v="759"/>
    <x v="786"/>
    <n v="9.0353068984247692E-2"/>
    <x v="1"/>
    <x v="6"/>
    <n v="2023"/>
    <x v="717"/>
    <n v="3313.8000000000011"/>
    <x v="0"/>
    <n v="10047.960000000001"/>
    <x v="0"/>
    <x v="0"/>
    <x v="1"/>
  </r>
  <r>
    <s v="ORD1788"/>
    <d v="2023-06-02T00:00:00"/>
    <x v="2"/>
    <x v="4"/>
    <x v="2"/>
    <x v="8"/>
    <x v="0"/>
    <n v="1258"/>
    <x v="760"/>
    <x v="787"/>
    <n v="0.23241752782193961"/>
    <x v="1"/>
    <x v="2"/>
    <n v="2023"/>
    <x v="234"/>
    <n v="3019.2000000000007"/>
    <x v="0"/>
    <n v="7724.95"/>
    <x v="0"/>
    <x v="1"/>
    <x v="1"/>
  </r>
  <r>
    <s v="ORD1789"/>
    <d v="2023-08-09T00:00:00"/>
    <x v="0"/>
    <x v="0"/>
    <x v="2"/>
    <x v="6"/>
    <x v="7"/>
    <n v="4640"/>
    <x v="761"/>
    <x v="788"/>
    <n v="0.13373275862068965"/>
    <x v="2"/>
    <x v="9"/>
    <n v="2023"/>
    <x v="718"/>
    <n v="2784"/>
    <x v="1"/>
    <n v="8038.96"/>
    <x v="2"/>
    <x v="0"/>
    <x v="2"/>
  </r>
  <r>
    <s v="ORD1790"/>
    <d v="2023-12-02T00:00:00"/>
    <x v="3"/>
    <x v="3"/>
    <x v="3"/>
    <x v="14"/>
    <x v="2"/>
    <n v="3088"/>
    <x v="762"/>
    <x v="789"/>
    <n v="0.177260902417962"/>
    <x v="1"/>
    <x v="7"/>
    <n v="2023"/>
    <x v="5"/>
    <n v="5558.4000000000015"/>
    <x v="0"/>
    <n v="15243.710000000001"/>
    <x v="1"/>
    <x v="0"/>
    <x v="1"/>
  </r>
  <r>
    <s v="ORD1791"/>
    <d v="2023-12-18T00:00:00"/>
    <x v="2"/>
    <x v="0"/>
    <x v="1"/>
    <x v="5"/>
    <x v="2"/>
    <n v="2268"/>
    <x v="763"/>
    <x v="790"/>
    <n v="0.15250514403292181"/>
    <x v="1"/>
    <x v="7"/>
    <n v="2023"/>
    <x v="719"/>
    <n v="4082.4000000000015"/>
    <x v="0"/>
    <n v="11532.71"/>
    <x v="1"/>
    <x v="1"/>
    <x v="1"/>
  </r>
  <r>
    <s v="ORD1792"/>
    <d v="2023-09-01T00:00:00"/>
    <x v="2"/>
    <x v="4"/>
    <x v="0"/>
    <x v="16"/>
    <x v="3"/>
    <n v="473"/>
    <x v="764"/>
    <x v="791"/>
    <n v="0.12815832746065306"/>
    <x v="2"/>
    <x v="5"/>
    <n v="2023"/>
    <x v="720"/>
    <n v="1277.1000000000004"/>
    <x v="0"/>
    <n v="3711.43"/>
    <x v="0"/>
    <x v="1"/>
    <x v="2"/>
  </r>
  <r>
    <s v="ORD1793"/>
    <d v="2023-04-19T00:00:00"/>
    <x v="2"/>
    <x v="3"/>
    <x v="0"/>
    <x v="16"/>
    <x v="6"/>
    <n v="4486"/>
    <x v="765"/>
    <x v="792"/>
    <n v="0.22679168524297816"/>
    <x v="1"/>
    <x v="11"/>
    <n v="2023"/>
    <x v="721"/>
    <n v="5383.2000000000007"/>
    <x v="1"/>
    <n v="13874.45"/>
    <x v="1"/>
    <x v="1"/>
    <x v="1"/>
  </r>
  <r>
    <s v="ORD1794"/>
    <d v="2023-05-26T00:00:00"/>
    <x v="0"/>
    <x v="3"/>
    <x v="2"/>
    <x v="8"/>
    <x v="4"/>
    <n v="3532"/>
    <x v="766"/>
    <x v="606"/>
    <n v="0.17598055870139676"/>
    <x v="1"/>
    <x v="0"/>
    <n v="2023"/>
    <x v="722"/>
    <n v="3178.8000000000011"/>
    <x v="1"/>
    <n v="8731.31"/>
    <x v="2"/>
    <x v="0"/>
    <x v="1"/>
  </r>
  <r>
    <s v="ORD1795"/>
    <d v="2023-01-08T00:00:00"/>
    <x v="0"/>
    <x v="4"/>
    <x v="3"/>
    <x v="12"/>
    <x v="6"/>
    <n v="3460"/>
    <x v="767"/>
    <x v="793"/>
    <n v="0.12882731213872833"/>
    <x v="1"/>
    <x v="6"/>
    <n v="2023"/>
    <x v="723"/>
    <n v="4152"/>
    <x v="1"/>
    <n v="12057.03"/>
    <x v="1"/>
    <x v="0"/>
    <x v="1"/>
  </r>
  <r>
    <s v="ORD1796"/>
    <d v="2023-06-13T00:00:00"/>
    <x v="3"/>
    <x v="1"/>
    <x v="1"/>
    <x v="5"/>
    <x v="4"/>
    <n v="2732"/>
    <x v="768"/>
    <x v="794"/>
    <n v="0.1034809663250366"/>
    <x v="2"/>
    <x v="2"/>
    <n v="2023"/>
    <x v="724"/>
    <n v="2458.8000000000002"/>
    <x v="1"/>
    <n v="7347.8700000000008"/>
    <x v="2"/>
    <x v="0"/>
    <x v="2"/>
  </r>
  <r>
    <s v="ORD1797"/>
    <d v="2023-05-10T00:00:00"/>
    <x v="1"/>
    <x v="2"/>
    <x v="2"/>
    <x v="8"/>
    <x v="0"/>
    <n v="272"/>
    <x v="769"/>
    <x v="795"/>
    <n v="0.20920036764705885"/>
    <x v="2"/>
    <x v="0"/>
    <n v="2023"/>
    <x v="263"/>
    <n v="652.80000000000018"/>
    <x v="0"/>
    <n v="1720.78"/>
    <x v="0"/>
    <x v="0"/>
    <x v="2"/>
  </r>
  <r>
    <s v="ORD1798"/>
    <d v="2023-05-31T00:00:00"/>
    <x v="2"/>
    <x v="3"/>
    <x v="0"/>
    <x v="16"/>
    <x v="0"/>
    <n v="2055"/>
    <x v="770"/>
    <x v="796"/>
    <n v="0.18975243309002435"/>
    <x v="1"/>
    <x v="0"/>
    <n v="2023"/>
    <x v="308"/>
    <n v="4932"/>
    <x v="0"/>
    <n v="13320.47"/>
    <x v="0"/>
    <x v="1"/>
    <x v="1"/>
  </r>
  <r>
    <s v="ORD1799"/>
    <d v="2023-10-03T00:00:00"/>
    <x v="3"/>
    <x v="4"/>
    <x v="0"/>
    <x v="9"/>
    <x v="5"/>
    <n v="934"/>
    <x v="771"/>
    <x v="797"/>
    <n v="0.19758182930559803"/>
    <x v="2"/>
    <x v="1"/>
    <n v="2023"/>
    <x v="725"/>
    <n v="1961.4000000000005"/>
    <x v="0"/>
    <n v="5246.21"/>
    <x v="0"/>
    <x v="0"/>
    <x v="2"/>
  </r>
  <r>
    <s v="ORD1800"/>
    <d v="2023-08-08T00:00:00"/>
    <x v="1"/>
    <x v="0"/>
    <x v="3"/>
    <x v="7"/>
    <x v="3"/>
    <n v="3284"/>
    <x v="772"/>
    <x v="798"/>
    <n v="0.15279131140885099"/>
    <x v="0"/>
    <x v="9"/>
    <n v="2023"/>
    <x v="287"/>
    <n v="8866.8000000000029"/>
    <x v="0"/>
    <n v="25040.1"/>
    <x v="0"/>
    <x v="0"/>
    <x v="0"/>
  </r>
  <r>
    <s v="ORD1801"/>
    <d v="2023-11-21T00:00:00"/>
    <x v="0"/>
    <x v="0"/>
    <x v="1"/>
    <x v="15"/>
    <x v="7"/>
    <n v="3133"/>
    <x v="773"/>
    <x v="799"/>
    <n v="0.13325566549632939"/>
    <x v="2"/>
    <x v="3"/>
    <n v="2023"/>
    <x v="726"/>
    <n v="1879.8000000000002"/>
    <x v="1"/>
    <n v="5431.02"/>
    <x v="2"/>
    <x v="0"/>
    <x v="2"/>
  </r>
  <r>
    <s v="ORD1802"/>
    <d v="2023-08-05T00:00:00"/>
    <x v="3"/>
    <x v="0"/>
    <x v="2"/>
    <x v="10"/>
    <x v="0"/>
    <n v="3632"/>
    <x v="774"/>
    <x v="800"/>
    <n v="0.14293949614537446"/>
    <x v="0"/>
    <x v="9"/>
    <n v="2023"/>
    <x v="727"/>
    <n v="8716.8000000000029"/>
    <x v="0"/>
    <n v="24902.75"/>
    <x v="0"/>
    <x v="0"/>
    <x v="0"/>
  </r>
  <r>
    <s v="ORD1803"/>
    <d v="2023-01-30T00:00:00"/>
    <x v="0"/>
    <x v="4"/>
    <x v="0"/>
    <x v="11"/>
    <x v="8"/>
    <n v="3117"/>
    <x v="775"/>
    <x v="801"/>
    <n v="0.18906641000962465"/>
    <x v="2"/>
    <x v="6"/>
    <n v="2023"/>
    <x v="728"/>
    <n v="935.10000000000036"/>
    <x v="1"/>
    <n v="2527.6799999999998"/>
    <x v="2"/>
    <x v="0"/>
    <x v="2"/>
  </r>
  <r>
    <s v="ORD1804"/>
    <d v="2023-07-29T00:00:00"/>
    <x v="3"/>
    <x v="2"/>
    <x v="3"/>
    <x v="14"/>
    <x v="2"/>
    <n v="4527"/>
    <x v="776"/>
    <x v="802"/>
    <n v="0.21810654590972683"/>
    <x v="0"/>
    <x v="10"/>
    <n v="2023"/>
    <x v="729"/>
    <n v="8148.6000000000022"/>
    <x v="0"/>
    <n v="21237.789999999997"/>
    <x v="1"/>
    <x v="0"/>
    <x v="0"/>
  </r>
  <r>
    <s v="ORD1805"/>
    <d v="2023-01-07T00:00:00"/>
    <x v="0"/>
    <x v="3"/>
    <x v="0"/>
    <x v="11"/>
    <x v="8"/>
    <n v="3974"/>
    <x v="777"/>
    <x v="803"/>
    <n v="0.23745596376446904"/>
    <x v="2"/>
    <x v="6"/>
    <n v="2023"/>
    <x v="730"/>
    <n v="1192.2000000000003"/>
    <x v="1"/>
    <n v="3030.35"/>
    <x v="2"/>
    <x v="0"/>
    <x v="2"/>
  </r>
  <r>
    <s v="ORD1806"/>
    <d v="2023-08-03T00:00:00"/>
    <x v="1"/>
    <x v="1"/>
    <x v="1"/>
    <x v="1"/>
    <x v="3"/>
    <n v="4813"/>
    <x v="778"/>
    <x v="804"/>
    <n v="0.19735484913544335"/>
    <x v="0"/>
    <x v="9"/>
    <n v="2023"/>
    <x v="88"/>
    <n v="12995.100000000002"/>
    <x v="0"/>
    <n v="34768.18"/>
    <x v="0"/>
    <x v="0"/>
    <x v="0"/>
  </r>
  <r>
    <s v="ORD1807"/>
    <d v="2023-04-25T00:00:00"/>
    <x v="1"/>
    <x v="3"/>
    <x v="1"/>
    <x v="5"/>
    <x v="5"/>
    <n v="2578"/>
    <x v="779"/>
    <x v="805"/>
    <n v="0.16679707414385458"/>
    <x v="1"/>
    <x v="11"/>
    <n v="2023"/>
    <x v="731"/>
    <n v="5413.8000000000011"/>
    <x v="0"/>
    <n v="15035.98"/>
    <x v="0"/>
    <x v="0"/>
    <x v="1"/>
  </r>
  <r>
    <s v="ORD1808"/>
    <d v="2023-07-03T00:00:00"/>
    <x v="0"/>
    <x v="0"/>
    <x v="2"/>
    <x v="13"/>
    <x v="2"/>
    <n v="887"/>
    <x v="780"/>
    <x v="806"/>
    <n v="0.13590003757985719"/>
    <x v="2"/>
    <x v="10"/>
    <n v="2023"/>
    <x v="732"/>
    <n v="1596.6000000000004"/>
    <x v="0"/>
    <n v="4598.7400000000007"/>
    <x v="1"/>
    <x v="0"/>
    <x v="2"/>
  </r>
  <r>
    <s v="ORD1809"/>
    <d v="2023-02-28T00:00:00"/>
    <x v="0"/>
    <x v="4"/>
    <x v="2"/>
    <x v="13"/>
    <x v="6"/>
    <n v="3383"/>
    <x v="781"/>
    <x v="807"/>
    <n v="0.1331961276973101"/>
    <x v="1"/>
    <x v="8"/>
    <n v="2023"/>
    <x v="733"/>
    <n v="4059.6000000000004"/>
    <x v="1"/>
    <n v="11729.589999999998"/>
    <x v="1"/>
    <x v="0"/>
    <x v="1"/>
  </r>
  <r>
    <s v="ORD1810"/>
    <d v="2023-02-04T00:00:00"/>
    <x v="0"/>
    <x v="0"/>
    <x v="3"/>
    <x v="12"/>
    <x v="0"/>
    <n v="1535"/>
    <x v="782"/>
    <x v="808"/>
    <n v="0.18996254071661237"/>
    <x v="1"/>
    <x v="8"/>
    <n v="2023"/>
    <x v="734"/>
    <n v="3684"/>
    <x v="0"/>
    <n v="9947.26"/>
    <x v="0"/>
    <x v="0"/>
    <x v="1"/>
  </r>
  <r>
    <s v="ORD1811"/>
    <d v="2023-08-18T00:00:00"/>
    <x v="0"/>
    <x v="2"/>
    <x v="1"/>
    <x v="5"/>
    <x v="0"/>
    <n v="2530"/>
    <x v="783"/>
    <x v="809"/>
    <n v="0.24311017786561265"/>
    <x v="0"/>
    <x v="9"/>
    <n v="2023"/>
    <x v="632"/>
    <n v="6072"/>
    <x v="0"/>
    <n v="15319.45"/>
    <x v="0"/>
    <x v="0"/>
    <x v="0"/>
  </r>
  <r>
    <s v="ORD1812"/>
    <d v="2023-06-14T00:00:00"/>
    <x v="2"/>
    <x v="0"/>
    <x v="0"/>
    <x v="9"/>
    <x v="1"/>
    <n v="889"/>
    <x v="784"/>
    <x v="810"/>
    <n v="0.14830371203599552"/>
    <x v="2"/>
    <x v="2"/>
    <n v="2023"/>
    <x v="329"/>
    <n v="1333.5"/>
    <x v="1"/>
    <n v="3785.7899999999995"/>
    <x v="1"/>
    <x v="1"/>
    <x v="2"/>
  </r>
  <r>
    <s v="ORD1813"/>
    <d v="2023-08-12T00:00:00"/>
    <x v="0"/>
    <x v="2"/>
    <x v="0"/>
    <x v="9"/>
    <x v="4"/>
    <n v="3703"/>
    <x v="785"/>
    <x v="811"/>
    <n v="0.22088036726978127"/>
    <x v="1"/>
    <x v="9"/>
    <n v="2023"/>
    <x v="735"/>
    <n v="3332.7000000000007"/>
    <x v="1"/>
    <n v="8655.24"/>
    <x v="2"/>
    <x v="0"/>
    <x v="1"/>
  </r>
  <r>
    <s v="ORD1814"/>
    <d v="2023-09-10T00:00:00"/>
    <x v="2"/>
    <x v="4"/>
    <x v="0"/>
    <x v="11"/>
    <x v="4"/>
    <n v="315"/>
    <x v="786"/>
    <x v="812"/>
    <n v="0.15969312169312169"/>
    <x v="2"/>
    <x v="5"/>
    <n v="2023"/>
    <x v="736"/>
    <n v="283.5"/>
    <x v="1"/>
    <n v="794.09"/>
    <x v="2"/>
    <x v="1"/>
    <x v="2"/>
  </r>
  <r>
    <s v="ORD1815"/>
    <d v="2023-12-01T00:00:00"/>
    <x v="0"/>
    <x v="0"/>
    <x v="2"/>
    <x v="3"/>
    <x v="6"/>
    <n v="1273"/>
    <x v="787"/>
    <x v="813"/>
    <n v="0.13207187745483109"/>
    <x v="2"/>
    <x v="7"/>
    <n v="2023"/>
    <x v="737"/>
    <n v="1527.6000000000004"/>
    <x v="1"/>
    <n v="4419.49"/>
    <x v="1"/>
    <x v="0"/>
    <x v="2"/>
  </r>
  <r>
    <s v="ORD1816"/>
    <d v="2023-07-09T00:00:00"/>
    <x v="0"/>
    <x v="1"/>
    <x v="0"/>
    <x v="11"/>
    <x v="6"/>
    <n v="2494"/>
    <x v="788"/>
    <x v="814"/>
    <n v="0.12599538893344026"/>
    <x v="2"/>
    <x v="10"/>
    <n v="2023"/>
    <x v="521"/>
    <n v="2992.8"/>
    <x v="1"/>
    <n v="8719.07"/>
    <x v="1"/>
    <x v="0"/>
    <x v="2"/>
  </r>
  <r>
    <s v="ORD1817"/>
    <d v="2023-09-13T00:00:00"/>
    <x v="1"/>
    <x v="2"/>
    <x v="3"/>
    <x v="7"/>
    <x v="0"/>
    <n v="551"/>
    <x v="424"/>
    <x v="815"/>
    <n v="0.17904718693284938"/>
    <x v="2"/>
    <x v="5"/>
    <n v="2023"/>
    <x v="738"/>
    <n v="1322.4"/>
    <x v="0"/>
    <n v="3618.7599999999998"/>
    <x v="0"/>
    <x v="0"/>
    <x v="2"/>
  </r>
  <r>
    <s v="ORD1818"/>
    <d v="2023-08-24T00:00:00"/>
    <x v="1"/>
    <x v="4"/>
    <x v="3"/>
    <x v="12"/>
    <x v="8"/>
    <n v="745"/>
    <x v="789"/>
    <x v="816"/>
    <n v="0.14275167785234899"/>
    <x v="2"/>
    <x v="9"/>
    <n v="2023"/>
    <x v="739"/>
    <n v="223.5"/>
    <x v="1"/>
    <n v="638.65"/>
    <x v="2"/>
    <x v="0"/>
    <x v="2"/>
  </r>
  <r>
    <s v="ORD1819"/>
    <d v="2023-07-11T00:00:00"/>
    <x v="2"/>
    <x v="4"/>
    <x v="3"/>
    <x v="7"/>
    <x v="7"/>
    <n v="2749"/>
    <x v="790"/>
    <x v="817"/>
    <n v="0.15864132411786105"/>
    <x v="2"/>
    <x v="10"/>
    <n v="2023"/>
    <x v="740"/>
    <n v="1649.4"/>
    <x v="1"/>
    <n v="4625.79"/>
    <x v="2"/>
    <x v="1"/>
    <x v="2"/>
  </r>
  <r>
    <s v="ORD1820"/>
    <d v="2023-12-06T00:00:00"/>
    <x v="2"/>
    <x v="1"/>
    <x v="1"/>
    <x v="2"/>
    <x v="0"/>
    <n v="3839"/>
    <x v="791"/>
    <x v="818"/>
    <n v="0.17011070591299815"/>
    <x v="0"/>
    <x v="7"/>
    <n v="2023"/>
    <x v="741"/>
    <n v="9213.6000000000022"/>
    <x v="0"/>
    <n v="25487.56"/>
    <x v="0"/>
    <x v="1"/>
    <x v="0"/>
  </r>
  <r>
    <s v="ORD1821"/>
    <d v="2023-05-02T00:00:00"/>
    <x v="3"/>
    <x v="4"/>
    <x v="3"/>
    <x v="7"/>
    <x v="4"/>
    <n v="3756"/>
    <x v="792"/>
    <x v="819"/>
    <n v="0.21944266950656727"/>
    <x v="1"/>
    <x v="0"/>
    <n v="2023"/>
    <x v="742"/>
    <n v="3380.4000000000005"/>
    <x v="1"/>
    <n v="8795.3200000000015"/>
    <x v="2"/>
    <x v="0"/>
    <x v="1"/>
  </r>
  <r>
    <s v="ORD1822"/>
    <d v="2023-12-16T00:00:00"/>
    <x v="1"/>
    <x v="4"/>
    <x v="0"/>
    <x v="9"/>
    <x v="5"/>
    <n v="4425"/>
    <x v="793"/>
    <x v="820"/>
    <n v="0.23824019370460048"/>
    <x v="0"/>
    <x v="7"/>
    <n v="2023"/>
    <x v="743"/>
    <n v="9292.5"/>
    <x v="0"/>
    <n v="23595.51"/>
    <x v="0"/>
    <x v="0"/>
    <x v="0"/>
  </r>
  <r>
    <s v="ORD1823"/>
    <d v="2023-11-03T00:00:00"/>
    <x v="2"/>
    <x v="1"/>
    <x v="0"/>
    <x v="9"/>
    <x v="1"/>
    <n v="3931"/>
    <x v="794"/>
    <x v="821"/>
    <n v="8.027931823963369E-2"/>
    <x v="1"/>
    <x v="3"/>
    <n v="2023"/>
    <x v="482"/>
    <n v="5896.5"/>
    <x v="1"/>
    <n v="18077.109999999997"/>
    <x v="1"/>
    <x v="1"/>
    <x v="1"/>
  </r>
  <r>
    <s v="ORD1824"/>
    <d v="2023-09-22T00:00:00"/>
    <x v="0"/>
    <x v="2"/>
    <x v="2"/>
    <x v="8"/>
    <x v="1"/>
    <n v="1649"/>
    <x v="795"/>
    <x v="822"/>
    <n v="0.11733778047301395"/>
    <x v="2"/>
    <x v="5"/>
    <n v="2023"/>
    <x v="605"/>
    <n v="2473.5"/>
    <x v="1"/>
    <n v="7277.55"/>
    <x v="1"/>
    <x v="0"/>
    <x v="2"/>
  </r>
  <r>
    <s v="ORD1825"/>
    <d v="2023-09-08T00:00:00"/>
    <x v="1"/>
    <x v="4"/>
    <x v="1"/>
    <x v="1"/>
    <x v="2"/>
    <n v="2921"/>
    <x v="796"/>
    <x v="823"/>
    <n v="0.10852847198448019"/>
    <x v="1"/>
    <x v="5"/>
    <n v="2023"/>
    <x v="744"/>
    <n v="5257.8000000000011"/>
    <x v="0"/>
    <n v="15623.93"/>
    <x v="1"/>
    <x v="0"/>
    <x v="1"/>
  </r>
  <r>
    <s v="ORD1826"/>
    <d v="2023-09-17T00:00:00"/>
    <x v="2"/>
    <x v="3"/>
    <x v="1"/>
    <x v="15"/>
    <x v="8"/>
    <n v="712"/>
    <x v="797"/>
    <x v="824"/>
    <n v="0.10025280898876404"/>
    <x v="2"/>
    <x v="5"/>
    <n v="2023"/>
    <x v="745"/>
    <n v="213.60000000000002"/>
    <x v="1"/>
    <n v="640.62"/>
    <x v="2"/>
    <x v="1"/>
    <x v="2"/>
  </r>
  <r>
    <s v="ORD1827"/>
    <d v="2023-08-16T00:00:00"/>
    <x v="3"/>
    <x v="3"/>
    <x v="0"/>
    <x v="16"/>
    <x v="8"/>
    <n v="2531"/>
    <x v="798"/>
    <x v="825"/>
    <n v="0.11986566574476491"/>
    <x v="2"/>
    <x v="9"/>
    <n v="2023"/>
    <x v="357"/>
    <n v="759.30000000000018"/>
    <x v="1"/>
    <n v="2227.62"/>
    <x v="2"/>
    <x v="0"/>
    <x v="2"/>
  </r>
  <r>
    <s v="ORD1828"/>
    <d v="2023-01-18T00:00:00"/>
    <x v="1"/>
    <x v="1"/>
    <x v="0"/>
    <x v="11"/>
    <x v="0"/>
    <n v="1279"/>
    <x v="799"/>
    <x v="826"/>
    <n v="0.18619331508991402"/>
    <x v="1"/>
    <x v="6"/>
    <n v="2023"/>
    <x v="746"/>
    <n v="3069.6000000000004"/>
    <x v="0"/>
    <n v="8326.8700000000008"/>
    <x v="0"/>
    <x v="0"/>
    <x v="1"/>
  </r>
  <r>
    <s v="ORD1829"/>
    <d v="2023-03-20T00:00:00"/>
    <x v="1"/>
    <x v="0"/>
    <x v="3"/>
    <x v="12"/>
    <x v="5"/>
    <n v="4484"/>
    <x v="800"/>
    <x v="827"/>
    <n v="0.16651204281891166"/>
    <x v="0"/>
    <x v="4"/>
    <n v="2023"/>
    <x v="747"/>
    <n v="9416.4000000000015"/>
    <x v="0"/>
    <n v="26161.52"/>
    <x v="0"/>
    <x v="0"/>
    <x v="0"/>
  </r>
  <r>
    <s v="ORD1830"/>
    <d v="2023-03-12T00:00:00"/>
    <x v="3"/>
    <x v="3"/>
    <x v="1"/>
    <x v="2"/>
    <x v="7"/>
    <n v="1025"/>
    <x v="801"/>
    <x v="828"/>
    <n v="8.6409756097560964E-2"/>
    <x v="2"/>
    <x v="4"/>
    <n v="2023"/>
    <x v="748"/>
    <n v="615"/>
    <x v="1"/>
    <n v="1872.8600000000001"/>
    <x v="2"/>
    <x v="0"/>
    <x v="2"/>
  </r>
  <r>
    <s v="ORD1831"/>
    <d v="2023-03-09T00:00:00"/>
    <x v="1"/>
    <x v="4"/>
    <x v="1"/>
    <x v="15"/>
    <x v="0"/>
    <n v="4765"/>
    <x v="802"/>
    <x v="829"/>
    <n v="0.21302492130115425"/>
    <x v="0"/>
    <x v="4"/>
    <n v="2023"/>
    <x v="36"/>
    <n v="11436"/>
    <x v="0"/>
    <n v="29999.49"/>
    <x v="0"/>
    <x v="0"/>
    <x v="0"/>
  </r>
  <r>
    <s v="ORD1832"/>
    <d v="2023-09-08T00:00:00"/>
    <x v="0"/>
    <x v="2"/>
    <x v="2"/>
    <x v="6"/>
    <x v="1"/>
    <n v="2721"/>
    <x v="803"/>
    <x v="830"/>
    <n v="0.13874825431826535"/>
    <x v="1"/>
    <x v="5"/>
    <n v="2023"/>
    <x v="749"/>
    <n v="4081.5"/>
    <x v="1"/>
    <n v="11717.33"/>
    <x v="1"/>
    <x v="0"/>
    <x v="1"/>
  </r>
  <r>
    <s v="ORD1833"/>
    <d v="2023-01-20T00:00:00"/>
    <x v="3"/>
    <x v="0"/>
    <x v="1"/>
    <x v="15"/>
    <x v="0"/>
    <n v="2938"/>
    <x v="804"/>
    <x v="831"/>
    <n v="8.3106705241660986E-2"/>
    <x v="0"/>
    <x v="6"/>
    <n v="2023"/>
    <x v="750"/>
    <n v="7051.2000000000007"/>
    <x v="0"/>
    <n v="21550.66"/>
    <x v="0"/>
    <x v="0"/>
    <x v="0"/>
  </r>
  <r>
    <s v="ORD1834"/>
    <d v="2023-03-24T00:00:00"/>
    <x v="1"/>
    <x v="4"/>
    <x v="1"/>
    <x v="1"/>
    <x v="8"/>
    <n v="440"/>
    <x v="805"/>
    <x v="832"/>
    <n v="0.10329545454545455"/>
    <x v="2"/>
    <x v="4"/>
    <n v="2023"/>
    <x v="751"/>
    <n v="132"/>
    <x v="1"/>
    <n v="394.55"/>
    <x v="2"/>
    <x v="0"/>
    <x v="2"/>
  </r>
  <r>
    <s v="ORD1835"/>
    <d v="2023-01-22T00:00:00"/>
    <x v="0"/>
    <x v="2"/>
    <x v="0"/>
    <x v="0"/>
    <x v="4"/>
    <n v="4869"/>
    <x v="806"/>
    <x v="833"/>
    <n v="0.14406722804135003"/>
    <x v="1"/>
    <x v="6"/>
    <n v="2023"/>
    <x v="752"/>
    <n v="4382.1000000000004"/>
    <x v="1"/>
    <n v="12502.61"/>
    <x v="2"/>
    <x v="0"/>
    <x v="1"/>
  </r>
  <r>
    <s v="ORD1836"/>
    <d v="2023-01-31T00:00:00"/>
    <x v="1"/>
    <x v="3"/>
    <x v="1"/>
    <x v="5"/>
    <x v="4"/>
    <n v="2801"/>
    <x v="807"/>
    <x v="834"/>
    <n v="9.8156610734261573E-2"/>
    <x v="2"/>
    <x v="6"/>
    <n v="2023"/>
    <x v="262"/>
    <n v="2520.9000000000005"/>
    <x v="1"/>
    <n v="7578.1900000000005"/>
    <x v="2"/>
    <x v="0"/>
    <x v="2"/>
  </r>
  <r>
    <s v="ORD1837"/>
    <d v="2023-07-26T00:00:00"/>
    <x v="1"/>
    <x v="0"/>
    <x v="0"/>
    <x v="11"/>
    <x v="8"/>
    <n v="1517"/>
    <x v="808"/>
    <x v="835"/>
    <n v="0.13446934739617666"/>
    <x v="2"/>
    <x v="10"/>
    <n v="2023"/>
    <x v="753"/>
    <n v="455.10000000000014"/>
    <x v="1"/>
    <n v="1313.01"/>
    <x v="2"/>
    <x v="0"/>
    <x v="2"/>
  </r>
  <r>
    <s v="ORD1838"/>
    <d v="2023-11-04T00:00:00"/>
    <x v="2"/>
    <x v="1"/>
    <x v="2"/>
    <x v="13"/>
    <x v="4"/>
    <n v="1705"/>
    <x v="809"/>
    <x v="836"/>
    <n v="0.23460215053763442"/>
    <x v="2"/>
    <x v="3"/>
    <n v="2023"/>
    <x v="754"/>
    <n v="1534.5"/>
    <x v="1"/>
    <n v="3915.0099999999998"/>
    <x v="2"/>
    <x v="1"/>
    <x v="2"/>
  </r>
  <r>
    <s v="ORD1839"/>
    <d v="2023-10-04T00:00:00"/>
    <x v="2"/>
    <x v="2"/>
    <x v="1"/>
    <x v="5"/>
    <x v="8"/>
    <n v="378"/>
    <x v="810"/>
    <x v="837"/>
    <n v="0.16100529100529101"/>
    <x v="2"/>
    <x v="1"/>
    <n v="2023"/>
    <x v="755"/>
    <n v="113.40000000000003"/>
    <x v="1"/>
    <n v="317.14"/>
    <x v="2"/>
    <x v="1"/>
    <x v="2"/>
  </r>
  <r>
    <s v="ORD1840"/>
    <d v="2023-04-10T00:00:00"/>
    <x v="1"/>
    <x v="0"/>
    <x v="0"/>
    <x v="9"/>
    <x v="2"/>
    <n v="3095"/>
    <x v="811"/>
    <x v="838"/>
    <n v="9.9645126548196017E-2"/>
    <x v="1"/>
    <x v="11"/>
    <n v="2023"/>
    <x v="756"/>
    <n v="5571"/>
    <x v="0"/>
    <n v="16719.59"/>
    <x v="1"/>
    <x v="0"/>
    <x v="1"/>
  </r>
  <r>
    <s v="ORD1841"/>
    <d v="2023-11-23T00:00:00"/>
    <x v="3"/>
    <x v="3"/>
    <x v="3"/>
    <x v="12"/>
    <x v="5"/>
    <n v="3662"/>
    <x v="812"/>
    <x v="839"/>
    <n v="0.11386751970039791"/>
    <x v="0"/>
    <x v="3"/>
    <n v="2023"/>
    <x v="145"/>
    <n v="7690.2000000000044"/>
    <x v="0"/>
    <n v="22715.119999999999"/>
    <x v="0"/>
    <x v="0"/>
    <x v="0"/>
  </r>
  <r>
    <s v="ORD1842"/>
    <d v="2023-01-02T00:00:00"/>
    <x v="1"/>
    <x v="3"/>
    <x v="1"/>
    <x v="5"/>
    <x v="6"/>
    <n v="526"/>
    <x v="813"/>
    <x v="840"/>
    <n v="0.18067965779467679"/>
    <x v="2"/>
    <x v="6"/>
    <n v="2023"/>
    <x v="757"/>
    <n v="631.20000000000005"/>
    <x v="1"/>
    <n v="1723.8500000000001"/>
    <x v="1"/>
    <x v="0"/>
    <x v="2"/>
  </r>
  <r>
    <s v="ORD1843"/>
    <d v="2023-10-15T00:00:00"/>
    <x v="2"/>
    <x v="2"/>
    <x v="3"/>
    <x v="12"/>
    <x v="1"/>
    <n v="2899"/>
    <x v="814"/>
    <x v="841"/>
    <n v="0.21539496378061401"/>
    <x v="1"/>
    <x v="1"/>
    <n v="2023"/>
    <x v="758"/>
    <n v="4348.5"/>
    <x v="1"/>
    <n v="11372.849999999999"/>
    <x v="1"/>
    <x v="1"/>
    <x v="1"/>
  </r>
  <r>
    <s v="ORD1844"/>
    <d v="2023-02-14T00:00:00"/>
    <x v="2"/>
    <x v="3"/>
    <x v="3"/>
    <x v="7"/>
    <x v="1"/>
    <n v="3329"/>
    <x v="815"/>
    <x v="842"/>
    <n v="9.4865725443075991E-2"/>
    <x v="1"/>
    <x v="8"/>
    <n v="2023"/>
    <x v="759"/>
    <n v="4993.5000000000018"/>
    <x v="1"/>
    <n v="15065.96"/>
    <x v="1"/>
    <x v="1"/>
    <x v="1"/>
  </r>
  <r>
    <s v="ORD1845"/>
    <d v="2023-07-11T00:00:00"/>
    <x v="0"/>
    <x v="4"/>
    <x v="3"/>
    <x v="4"/>
    <x v="8"/>
    <n v="747"/>
    <x v="816"/>
    <x v="843"/>
    <n v="0.11044176706827309"/>
    <x v="2"/>
    <x v="10"/>
    <n v="2023"/>
    <x v="760"/>
    <n v="224.10000000000002"/>
    <x v="1"/>
    <n v="664.5"/>
    <x v="2"/>
    <x v="0"/>
    <x v="2"/>
  </r>
  <r>
    <s v="ORD1846"/>
    <d v="2023-12-02T00:00:00"/>
    <x v="0"/>
    <x v="1"/>
    <x v="3"/>
    <x v="12"/>
    <x v="7"/>
    <n v="1790"/>
    <x v="817"/>
    <x v="844"/>
    <n v="0.22095530726256982"/>
    <x v="2"/>
    <x v="7"/>
    <n v="2023"/>
    <x v="761"/>
    <n v="1074"/>
    <x v="1"/>
    <n v="2788.98"/>
    <x v="2"/>
    <x v="0"/>
    <x v="2"/>
  </r>
  <r>
    <s v="ORD1847"/>
    <d v="2023-06-18T00:00:00"/>
    <x v="2"/>
    <x v="0"/>
    <x v="1"/>
    <x v="15"/>
    <x v="4"/>
    <n v="2660"/>
    <x v="818"/>
    <x v="845"/>
    <n v="0.10482330827067669"/>
    <x v="2"/>
    <x v="2"/>
    <n v="2023"/>
    <x v="762"/>
    <n v="2394.0000000000009"/>
    <x v="1"/>
    <n v="7143.51"/>
    <x v="2"/>
    <x v="1"/>
    <x v="2"/>
  </r>
  <r>
    <s v="ORD1848"/>
    <d v="2023-01-01T00:00:00"/>
    <x v="2"/>
    <x v="2"/>
    <x v="1"/>
    <x v="1"/>
    <x v="7"/>
    <n v="3314"/>
    <x v="819"/>
    <x v="846"/>
    <n v="9.173657211828605E-2"/>
    <x v="2"/>
    <x v="6"/>
    <n v="2023"/>
    <x v="763"/>
    <n v="1988.4000000000005"/>
    <x v="1"/>
    <n v="6019.97"/>
    <x v="2"/>
    <x v="1"/>
    <x v="2"/>
  </r>
  <r>
    <s v="ORD1849"/>
    <d v="2023-08-14T00:00:00"/>
    <x v="1"/>
    <x v="2"/>
    <x v="2"/>
    <x v="6"/>
    <x v="5"/>
    <n v="3281"/>
    <x v="820"/>
    <x v="847"/>
    <n v="0.1052462228414682"/>
    <x v="0"/>
    <x v="9"/>
    <n v="2023"/>
    <x v="764"/>
    <n v="6890.1000000000022"/>
    <x v="0"/>
    <n v="20549.809999999998"/>
    <x v="0"/>
    <x v="0"/>
    <x v="0"/>
  </r>
  <r>
    <s v="ORD1850"/>
    <d v="2023-07-10T00:00:00"/>
    <x v="0"/>
    <x v="3"/>
    <x v="3"/>
    <x v="7"/>
    <x v="8"/>
    <n v="3368"/>
    <x v="821"/>
    <x v="848"/>
    <n v="0.11343824228028504"/>
    <x v="2"/>
    <x v="10"/>
    <n v="2023"/>
    <x v="765"/>
    <n v="1010.4000000000001"/>
    <x v="1"/>
    <n v="2985.9399999999996"/>
    <x v="2"/>
    <x v="0"/>
    <x v="2"/>
  </r>
  <r>
    <s v="ORD1851"/>
    <d v="2023-01-15T00:00:00"/>
    <x v="1"/>
    <x v="0"/>
    <x v="0"/>
    <x v="0"/>
    <x v="0"/>
    <n v="919"/>
    <x v="822"/>
    <x v="849"/>
    <n v="0.19833378672470078"/>
    <x v="2"/>
    <x v="6"/>
    <n v="2023"/>
    <x v="766"/>
    <n v="2205.6000000000004"/>
    <x v="0"/>
    <n v="5893.8499999999995"/>
    <x v="0"/>
    <x v="0"/>
    <x v="2"/>
  </r>
  <r>
    <s v="ORD1852"/>
    <d v="2023-10-19T00:00:00"/>
    <x v="1"/>
    <x v="1"/>
    <x v="2"/>
    <x v="8"/>
    <x v="7"/>
    <n v="1665"/>
    <x v="823"/>
    <x v="850"/>
    <n v="0.11062762762762762"/>
    <x v="2"/>
    <x v="1"/>
    <n v="2023"/>
    <x v="767"/>
    <n v="999"/>
    <x v="1"/>
    <n v="2961.6099999999997"/>
    <x v="2"/>
    <x v="0"/>
    <x v="2"/>
  </r>
  <r>
    <s v="ORD1853"/>
    <d v="2023-07-22T00:00:00"/>
    <x v="1"/>
    <x v="4"/>
    <x v="0"/>
    <x v="9"/>
    <x v="5"/>
    <n v="2694"/>
    <x v="824"/>
    <x v="851"/>
    <n v="0.17788365680347865"/>
    <x v="1"/>
    <x v="10"/>
    <n v="2023"/>
    <x v="768"/>
    <n v="5657.4"/>
    <x v="0"/>
    <n v="15503.47"/>
    <x v="0"/>
    <x v="0"/>
    <x v="1"/>
  </r>
  <r>
    <s v="ORD1854"/>
    <d v="2023-12-10T00:00:00"/>
    <x v="3"/>
    <x v="4"/>
    <x v="3"/>
    <x v="14"/>
    <x v="1"/>
    <n v="3437"/>
    <x v="825"/>
    <x v="852"/>
    <n v="0.11436543497235961"/>
    <x v="1"/>
    <x v="7"/>
    <n v="2023"/>
    <x v="769"/>
    <n v="5155.5000000000018"/>
    <x v="1"/>
    <n v="15219.63"/>
    <x v="1"/>
    <x v="0"/>
    <x v="1"/>
  </r>
  <r>
    <s v="ORD1855"/>
    <d v="2023-11-14T00:00:00"/>
    <x v="3"/>
    <x v="4"/>
    <x v="3"/>
    <x v="14"/>
    <x v="1"/>
    <n v="3401"/>
    <x v="826"/>
    <x v="853"/>
    <n v="0.14753601881799469"/>
    <x v="1"/>
    <x v="3"/>
    <n v="2023"/>
    <x v="770"/>
    <n v="5101.5"/>
    <x v="1"/>
    <n v="14496.15"/>
    <x v="1"/>
    <x v="0"/>
    <x v="1"/>
  </r>
  <r>
    <s v="ORD1856"/>
    <d v="2023-04-04T00:00:00"/>
    <x v="3"/>
    <x v="3"/>
    <x v="2"/>
    <x v="8"/>
    <x v="8"/>
    <n v="4412"/>
    <x v="827"/>
    <x v="854"/>
    <n v="0.17696962828649138"/>
    <x v="2"/>
    <x v="11"/>
    <n v="2023"/>
    <x v="135"/>
    <n v="1323.6000000000004"/>
    <x v="1"/>
    <n v="3631.2099999999996"/>
    <x v="2"/>
    <x v="0"/>
    <x v="2"/>
  </r>
  <r>
    <s v="ORD1857"/>
    <d v="2023-03-15T00:00:00"/>
    <x v="2"/>
    <x v="4"/>
    <x v="0"/>
    <x v="9"/>
    <x v="1"/>
    <n v="4990"/>
    <x v="828"/>
    <x v="855"/>
    <n v="0.12800240480961922"/>
    <x v="0"/>
    <x v="4"/>
    <n v="2023"/>
    <x v="771"/>
    <n v="7485"/>
    <x v="1"/>
    <n v="21756.34"/>
    <x v="1"/>
    <x v="1"/>
    <x v="0"/>
  </r>
  <r>
    <s v="ORD1858"/>
    <d v="2023-01-17T00:00:00"/>
    <x v="2"/>
    <x v="4"/>
    <x v="1"/>
    <x v="2"/>
    <x v="6"/>
    <n v="2348"/>
    <x v="597"/>
    <x v="856"/>
    <n v="0.18189310051107324"/>
    <x v="2"/>
    <x v="6"/>
    <n v="2023"/>
    <x v="293"/>
    <n v="2817.6000000000004"/>
    <x v="1"/>
    <n v="7683.6600000000008"/>
    <x v="1"/>
    <x v="1"/>
    <x v="2"/>
  </r>
  <r>
    <s v="ORD1859"/>
    <d v="2023-09-22T00:00:00"/>
    <x v="2"/>
    <x v="5"/>
    <x v="3"/>
    <x v="4"/>
    <x v="6"/>
    <n v="4854"/>
    <x v="829"/>
    <x v="857"/>
    <n v="0.22975226617222907"/>
    <x v="1"/>
    <x v="5"/>
    <n v="2023"/>
    <x v="647"/>
    <n v="5824.8000000000011"/>
    <x v="1"/>
    <n v="14955.13"/>
    <x v="1"/>
    <x v="1"/>
    <x v="1"/>
  </r>
  <r>
    <s v="ORD1860"/>
    <d v="2023-01-26T00:00:00"/>
    <x v="2"/>
    <x v="3"/>
    <x v="0"/>
    <x v="0"/>
    <x v="1"/>
    <n v="2494"/>
    <x v="830"/>
    <x v="858"/>
    <n v="0.20646351242983157"/>
    <x v="1"/>
    <x v="6"/>
    <n v="2023"/>
    <x v="521"/>
    <n v="3741"/>
    <x v="1"/>
    <n v="9895.4000000000015"/>
    <x v="1"/>
    <x v="1"/>
    <x v="1"/>
  </r>
  <r>
    <s v="ORD1861"/>
    <d v="2023-10-25T00:00:00"/>
    <x v="0"/>
    <x v="4"/>
    <x v="1"/>
    <x v="2"/>
    <x v="8"/>
    <n v="1916"/>
    <x v="831"/>
    <x v="859"/>
    <n v="0.11235908141962422"/>
    <x v="2"/>
    <x v="1"/>
    <n v="2023"/>
    <x v="189"/>
    <n v="574.80000000000018"/>
    <x v="1"/>
    <n v="1700.72"/>
    <x v="2"/>
    <x v="0"/>
    <x v="2"/>
  </r>
  <r>
    <s v="ORD1862"/>
    <d v="2023-12-29T00:00:00"/>
    <x v="2"/>
    <x v="3"/>
    <x v="2"/>
    <x v="8"/>
    <x v="8"/>
    <n v="3967"/>
    <x v="832"/>
    <x v="860"/>
    <n v="0.13811444416435592"/>
    <x v="2"/>
    <x v="7"/>
    <n v="2023"/>
    <x v="772"/>
    <n v="1190.1000000000004"/>
    <x v="1"/>
    <n v="3419.1"/>
    <x v="2"/>
    <x v="1"/>
    <x v="2"/>
  </r>
  <r>
    <s v="ORD1863"/>
    <d v="2023-10-29T00:00:00"/>
    <x v="3"/>
    <x v="1"/>
    <x v="0"/>
    <x v="0"/>
    <x v="6"/>
    <n v="3901"/>
    <x v="833"/>
    <x v="861"/>
    <n v="0.18594591130479365"/>
    <x v="1"/>
    <x v="1"/>
    <n v="2023"/>
    <x v="773"/>
    <n v="4681.2000000000007"/>
    <x v="1"/>
    <n v="12702.5"/>
    <x v="1"/>
    <x v="0"/>
    <x v="1"/>
  </r>
  <r>
    <s v="ORD1864"/>
    <d v="2023-07-19T00:00:00"/>
    <x v="2"/>
    <x v="2"/>
    <x v="1"/>
    <x v="2"/>
    <x v="8"/>
    <n v="2711"/>
    <x v="834"/>
    <x v="862"/>
    <n v="0.14586868314275175"/>
    <x v="2"/>
    <x v="10"/>
    <n v="2023"/>
    <x v="27"/>
    <n v="813.30000000000018"/>
    <x v="1"/>
    <n v="2315.5499999999997"/>
    <x v="2"/>
    <x v="1"/>
    <x v="2"/>
  </r>
  <r>
    <s v="ORD1865"/>
    <d v="2023-10-26T00:00:00"/>
    <x v="1"/>
    <x v="3"/>
    <x v="1"/>
    <x v="1"/>
    <x v="6"/>
    <n v="3342"/>
    <x v="835"/>
    <x v="863"/>
    <n v="0.20739302812687013"/>
    <x v="1"/>
    <x v="1"/>
    <n v="2023"/>
    <x v="774"/>
    <n v="4010.4000000000015"/>
    <x v="1"/>
    <n v="10595.57"/>
    <x v="1"/>
    <x v="0"/>
    <x v="1"/>
  </r>
  <r>
    <s v="ORD1866"/>
    <d v="2023-07-31T00:00:00"/>
    <x v="0"/>
    <x v="0"/>
    <x v="1"/>
    <x v="15"/>
    <x v="8"/>
    <n v="4833"/>
    <x v="836"/>
    <x v="864"/>
    <n v="8.4566521829091662E-2"/>
    <x v="2"/>
    <x v="10"/>
    <n v="2023"/>
    <x v="775"/>
    <n v="1449.9"/>
    <x v="1"/>
    <n v="4424.29"/>
    <x v="2"/>
    <x v="0"/>
    <x v="2"/>
  </r>
  <r>
    <s v="ORD1867"/>
    <d v="2023-02-18T00:00:00"/>
    <x v="3"/>
    <x v="3"/>
    <x v="2"/>
    <x v="3"/>
    <x v="7"/>
    <n v="597"/>
    <x v="837"/>
    <x v="865"/>
    <n v="0.21695142378559465"/>
    <x v="2"/>
    <x v="8"/>
    <n v="2023"/>
    <x v="776"/>
    <n v="358.20000000000005"/>
    <x v="1"/>
    <n v="934.96"/>
    <x v="2"/>
    <x v="0"/>
    <x v="2"/>
  </r>
  <r>
    <s v="ORD1868"/>
    <d v="2023-10-09T00:00:00"/>
    <x v="2"/>
    <x v="2"/>
    <x v="2"/>
    <x v="8"/>
    <x v="0"/>
    <n v="3141"/>
    <x v="838"/>
    <x v="866"/>
    <n v="0.1559435689270933"/>
    <x v="0"/>
    <x v="1"/>
    <n v="2023"/>
    <x v="777"/>
    <n v="7538.4000000000015"/>
    <x v="0"/>
    <n v="21209.45"/>
    <x v="0"/>
    <x v="1"/>
    <x v="0"/>
  </r>
  <r>
    <s v="ORD1869"/>
    <d v="2023-03-28T00:00:00"/>
    <x v="0"/>
    <x v="1"/>
    <x v="2"/>
    <x v="3"/>
    <x v="0"/>
    <n v="1801"/>
    <x v="839"/>
    <x v="867"/>
    <n v="8.3754858411993344E-2"/>
    <x v="1"/>
    <x v="4"/>
    <n v="2023"/>
    <x v="778"/>
    <n v="4322.4000000000015"/>
    <x v="0"/>
    <n v="13201.26"/>
    <x v="0"/>
    <x v="0"/>
    <x v="1"/>
  </r>
  <r>
    <s v="ORD1870"/>
    <d v="2023-07-02T00:00:00"/>
    <x v="3"/>
    <x v="3"/>
    <x v="0"/>
    <x v="9"/>
    <x v="7"/>
    <n v="1499"/>
    <x v="840"/>
    <x v="868"/>
    <n v="0.20377918612408272"/>
    <x v="2"/>
    <x v="10"/>
    <n v="2023"/>
    <x v="779"/>
    <n v="899.40000000000009"/>
    <x v="1"/>
    <n v="2387.0699999999997"/>
    <x v="2"/>
    <x v="0"/>
    <x v="2"/>
  </r>
  <r>
    <s v="ORD1871"/>
    <d v="2023-08-26T00:00:00"/>
    <x v="1"/>
    <x v="1"/>
    <x v="2"/>
    <x v="3"/>
    <x v="4"/>
    <n v="2921"/>
    <x v="841"/>
    <x v="869"/>
    <n v="0.23924340979116737"/>
    <x v="2"/>
    <x v="9"/>
    <n v="2023"/>
    <x v="744"/>
    <n v="2628.9000000000005"/>
    <x v="1"/>
    <n v="6666.5100000000011"/>
    <x v="2"/>
    <x v="0"/>
    <x v="2"/>
  </r>
  <r>
    <s v="ORD1872"/>
    <d v="2023-05-03T00:00:00"/>
    <x v="1"/>
    <x v="1"/>
    <x v="2"/>
    <x v="3"/>
    <x v="2"/>
    <n v="3289"/>
    <x v="547"/>
    <x v="870"/>
    <n v="0.13573325225499139"/>
    <x v="1"/>
    <x v="0"/>
    <n v="2023"/>
    <x v="519"/>
    <n v="5920.2000000000007"/>
    <x v="0"/>
    <n v="17055.439999999999"/>
    <x v="1"/>
    <x v="0"/>
    <x v="1"/>
  </r>
  <r>
    <s v="ORD1873"/>
    <d v="2023-09-19T00:00:00"/>
    <x v="3"/>
    <x v="0"/>
    <x v="0"/>
    <x v="0"/>
    <x v="5"/>
    <n v="4775"/>
    <x v="842"/>
    <x v="871"/>
    <n v="0.22527299925205685"/>
    <x v="0"/>
    <x v="5"/>
    <n v="2023"/>
    <x v="780"/>
    <n v="10027.5"/>
    <x v="0"/>
    <n v="25895.25"/>
    <x v="0"/>
    <x v="0"/>
    <x v="0"/>
  </r>
  <r>
    <s v="ORD1874"/>
    <d v="2023-03-10T00:00:00"/>
    <x v="0"/>
    <x v="0"/>
    <x v="3"/>
    <x v="4"/>
    <x v="1"/>
    <n v="1015"/>
    <x v="843"/>
    <x v="872"/>
    <n v="0.14053596059113302"/>
    <x v="2"/>
    <x v="4"/>
    <n v="2023"/>
    <x v="781"/>
    <n v="1522.5"/>
    <x v="1"/>
    <n v="4361.78"/>
    <x v="1"/>
    <x v="0"/>
    <x v="2"/>
  </r>
  <r>
    <s v="ORD1875"/>
    <d v="2023-09-28T00:00:00"/>
    <x v="0"/>
    <x v="1"/>
    <x v="1"/>
    <x v="5"/>
    <x v="5"/>
    <n v="1916"/>
    <x v="844"/>
    <x v="873"/>
    <n v="0.17100879809126157"/>
    <x v="1"/>
    <x v="5"/>
    <n v="2023"/>
    <x v="189"/>
    <n v="4023.6000000000022"/>
    <x v="0"/>
    <n v="11118.43"/>
    <x v="0"/>
    <x v="0"/>
    <x v="1"/>
  </r>
  <r>
    <s v="ORD1876"/>
    <d v="2023-11-24T00:00:00"/>
    <x v="1"/>
    <x v="1"/>
    <x v="1"/>
    <x v="5"/>
    <x v="1"/>
    <n v="1372"/>
    <x v="845"/>
    <x v="874"/>
    <n v="0.22220991253644312"/>
    <x v="2"/>
    <x v="3"/>
    <n v="2023"/>
    <x v="782"/>
    <n v="2058"/>
    <x v="1"/>
    <n v="5335.6399999999994"/>
    <x v="1"/>
    <x v="0"/>
    <x v="2"/>
  </r>
  <r>
    <s v="ORD1877"/>
    <d v="2023-12-30T00:00:00"/>
    <x v="0"/>
    <x v="3"/>
    <x v="0"/>
    <x v="16"/>
    <x v="5"/>
    <n v="3025"/>
    <x v="846"/>
    <x v="875"/>
    <n v="0.23812798110979927"/>
    <x v="0"/>
    <x v="7"/>
    <n v="2023"/>
    <x v="783"/>
    <n v="6352.5"/>
    <x v="0"/>
    <n v="16132.640000000001"/>
    <x v="0"/>
    <x v="0"/>
    <x v="0"/>
  </r>
  <r>
    <s v="ORD1878"/>
    <d v="2023-09-14T00:00:00"/>
    <x v="3"/>
    <x v="2"/>
    <x v="3"/>
    <x v="7"/>
    <x v="8"/>
    <n v="1162"/>
    <x v="847"/>
    <x v="876"/>
    <n v="0.13147160068846817"/>
    <x v="2"/>
    <x v="5"/>
    <n v="2023"/>
    <x v="298"/>
    <n v="348.6"/>
    <x v="1"/>
    <n v="1009.2299999999999"/>
    <x v="2"/>
    <x v="0"/>
    <x v="2"/>
  </r>
  <r>
    <s v="ORD1879"/>
    <d v="2023-12-04T00:00:00"/>
    <x v="2"/>
    <x v="0"/>
    <x v="1"/>
    <x v="5"/>
    <x v="7"/>
    <n v="4509"/>
    <x v="848"/>
    <x v="877"/>
    <n v="0.23272011532490575"/>
    <x v="2"/>
    <x v="7"/>
    <n v="2023"/>
    <x v="784"/>
    <n v="2705.4000000000005"/>
    <x v="1"/>
    <n v="6919.33"/>
    <x v="2"/>
    <x v="1"/>
    <x v="2"/>
  </r>
  <r>
    <s v="ORD1880"/>
    <d v="2023-05-05T00:00:00"/>
    <x v="0"/>
    <x v="0"/>
    <x v="1"/>
    <x v="1"/>
    <x v="8"/>
    <n v="529"/>
    <x v="849"/>
    <x v="878"/>
    <n v="0.18058601134215502"/>
    <x v="2"/>
    <x v="0"/>
    <n v="2023"/>
    <x v="785"/>
    <n v="158.70000000000005"/>
    <x v="1"/>
    <n v="433.46999999999997"/>
    <x v="2"/>
    <x v="0"/>
    <x v="2"/>
  </r>
  <r>
    <s v="ORD1881"/>
    <d v="2023-05-04T00:00:00"/>
    <x v="2"/>
    <x v="2"/>
    <x v="0"/>
    <x v="9"/>
    <x v="3"/>
    <n v="2767"/>
    <x v="850"/>
    <x v="879"/>
    <n v="0.12753804762478416"/>
    <x v="0"/>
    <x v="0"/>
    <n v="2023"/>
    <x v="786"/>
    <n v="7470.9000000000015"/>
    <x v="0"/>
    <n v="21726.920000000002"/>
    <x v="0"/>
    <x v="1"/>
    <x v="0"/>
  </r>
  <r>
    <s v="ORD1882"/>
    <d v="2023-12-28T00:00:00"/>
    <x v="3"/>
    <x v="1"/>
    <x v="1"/>
    <x v="5"/>
    <x v="6"/>
    <n v="1335"/>
    <x v="851"/>
    <x v="880"/>
    <n v="0.11158239700374532"/>
    <x v="2"/>
    <x v="7"/>
    <n v="2023"/>
    <x v="787"/>
    <n v="1602.0000000000005"/>
    <x v="1"/>
    <n v="4744.1500000000005"/>
    <x v="1"/>
    <x v="0"/>
    <x v="2"/>
  </r>
  <r>
    <s v="ORD1883"/>
    <d v="2023-11-02T00:00:00"/>
    <x v="1"/>
    <x v="2"/>
    <x v="1"/>
    <x v="1"/>
    <x v="2"/>
    <n v="1053"/>
    <x v="852"/>
    <x v="881"/>
    <n v="0.174889205444761"/>
    <x v="2"/>
    <x v="3"/>
    <n v="2023"/>
    <x v="788"/>
    <n v="1895.4000000000005"/>
    <x v="0"/>
    <n v="5213.0499999999993"/>
    <x v="1"/>
    <x v="0"/>
    <x v="2"/>
  </r>
  <r>
    <s v="ORD1884"/>
    <d v="2023-09-03T00:00:00"/>
    <x v="2"/>
    <x v="2"/>
    <x v="2"/>
    <x v="13"/>
    <x v="5"/>
    <n v="4705"/>
    <x v="853"/>
    <x v="882"/>
    <n v="0.20531258539547595"/>
    <x v="0"/>
    <x v="5"/>
    <n v="2023"/>
    <x v="789"/>
    <n v="9880.5"/>
    <x v="0"/>
    <n v="26173.03"/>
    <x v="0"/>
    <x v="1"/>
    <x v="0"/>
  </r>
  <r>
    <s v="ORD1885"/>
    <d v="2023-05-25T00:00:00"/>
    <x v="0"/>
    <x v="5"/>
    <x v="1"/>
    <x v="1"/>
    <x v="5"/>
    <n v="1669"/>
    <x v="854"/>
    <x v="883"/>
    <n v="8.2040571770949242E-2"/>
    <x v="1"/>
    <x v="0"/>
    <n v="2023"/>
    <x v="790"/>
    <n v="3504.9000000000005"/>
    <x v="0"/>
    <n v="10724.52"/>
    <x v="0"/>
    <x v="0"/>
    <x v="1"/>
  </r>
  <r>
    <s v="ORD1886"/>
    <d v="2023-02-08T00:00:00"/>
    <x v="3"/>
    <x v="4"/>
    <x v="1"/>
    <x v="1"/>
    <x v="4"/>
    <n v="269"/>
    <x v="855"/>
    <x v="884"/>
    <n v="0.18441140024783145"/>
    <x v="2"/>
    <x v="8"/>
    <n v="2023"/>
    <x v="791"/>
    <n v="242.10000000000002"/>
    <x v="1"/>
    <n v="658.18000000000006"/>
    <x v="2"/>
    <x v="0"/>
    <x v="2"/>
  </r>
  <r>
    <s v="ORD1887"/>
    <d v="2023-12-18T00:00:00"/>
    <x v="3"/>
    <x v="3"/>
    <x v="0"/>
    <x v="11"/>
    <x v="0"/>
    <n v="2979"/>
    <x v="856"/>
    <x v="885"/>
    <n v="9.8047163477677071E-2"/>
    <x v="0"/>
    <x v="7"/>
    <n v="2023"/>
    <x v="792"/>
    <n v="7149.6000000000022"/>
    <x v="0"/>
    <n v="21495.34"/>
    <x v="0"/>
    <x v="0"/>
    <x v="0"/>
  </r>
  <r>
    <s v="ORD1888"/>
    <d v="2023-10-06T00:00:00"/>
    <x v="1"/>
    <x v="4"/>
    <x v="0"/>
    <x v="11"/>
    <x v="3"/>
    <n v="4065"/>
    <x v="857"/>
    <x v="886"/>
    <n v="0.15926308596419297"/>
    <x v="0"/>
    <x v="1"/>
    <n v="2023"/>
    <x v="793"/>
    <n v="10975.5"/>
    <x v="0"/>
    <n v="30758.359999999997"/>
    <x v="0"/>
    <x v="0"/>
    <x v="0"/>
  </r>
  <r>
    <s v="ORD1889"/>
    <d v="2023-08-20T00:00:00"/>
    <x v="2"/>
    <x v="1"/>
    <x v="2"/>
    <x v="3"/>
    <x v="5"/>
    <n v="4772"/>
    <x v="858"/>
    <x v="887"/>
    <n v="0.20224284516824334"/>
    <x v="0"/>
    <x v="9"/>
    <n v="2023"/>
    <x v="794"/>
    <n v="10021.200000000004"/>
    <x v="0"/>
    <n v="26648.28"/>
    <x v="0"/>
    <x v="1"/>
    <x v="0"/>
  </r>
  <r>
    <s v="ORD1890"/>
    <d v="2023-10-18T00:00:00"/>
    <x v="0"/>
    <x v="3"/>
    <x v="1"/>
    <x v="2"/>
    <x v="8"/>
    <n v="2476"/>
    <x v="859"/>
    <x v="888"/>
    <n v="8.6785137318255254E-2"/>
    <x v="2"/>
    <x v="1"/>
    <n v="2023"/>
    <x v="795"/>
    <n v="742.80000000000018"/>
    <x v="1"/>
    <n v="2261.12"/>
    <x v="2"/>
    <x v="0"/>
    <x v="2"/>
  </r>
  <r>
    <s v="ORD1891"/>
    <d v="2023-03-13T00:00:00"/>
    <x v="2"/>
    <x v="2"/>
    <x v="3"/>
    <x v="7"/>
    <x v="7"/>
    <n v="2869"/>
    <x v="860"/>
    <x v="889"/>
    <n v="0.13953293830602997"/>
    <x v="2"/>
    <x v="4"/>
    <n v="2023"/>
    <x v="796"/>
    <n v="1721.4"/>
    <x v="1"/>
    <n v="4937.3599999999997"/>
    <x v="2"/>
    <x v="1"/>
    <x v="2"/>
  </r>
  <r>
    <s v="ORD1892"/>
    <d v="2023-07-13T00:00:00"/>
    <x v="1"/>
    <x v="3"/>
    <x v="3"/>
    <x v="7"/>
    <x v="5"/>
    <n v="635"/>
    <x v="784"/>
    <x v="890"/>
    <n v="0.24885489313835774"/>
    <x v="2"/>
    <x v="10"/>
    <n v="2023"/>
    <x v="797"/>
    <n v="1333.5"/>
    <x v="0"/>
    <n v="3338.8399999999997"/>
    <x v="0"/>
    <x v="0"/>
    <x v="2"/>
  </r>
  <r>
    <s v="ORD1893"/>
    <d v="2023-08-17T00:00:00"/>
    <x v="1"/>
    <x v="0"/>
    <x v="2"/>
    <x v="8"/>
    <x v="0"/>
    <n v="3313"/>
    <x v="861"/>
    <x v="891"/>
    <n v="0.18723098400241472"/>
    <x v="0"/>
    <x v="9"/>
    <n v="2023"/>
    <x v="798"/>
    <n v="7951.2000000000007"/>
    <x v="0"/>
    <n v="21541.63"/>
    <x v="0"/>
    <x v="0"/>
    <x v="0"/>
  </r>
  <r>
    <s v="ORD1894"/>
    <d v="2023-02-03T00:00:00"/>
    <x v="2"/>
    <x v="4"/>
    <x v="1"/>
    <x v="15"/>
    <x v="2"/>
    <n v="3080"/>
    <x v="862"/>
    <x v="892"/>
    <n v="9.6258658008658002E-2"/>
    <x v="1"/>
    <x v="8"/>
    <n v="2023"/>
    <x v="799"/>
    <n v="5544"/>
    <x v="0"/>
    <n v="16701.14"/>
    <x v="1"/>
    <x v="1"/>
    <x v="1"/>
  </r>
  <r>
    <s v="ORD1895"/>
    <d v="2023-07-01T00:00:00"/>
    <x v="2"/>
    <x v="0"/>
    <x v="2"/>
    <x v="6"/>
    <x v="3"/>
    <n v="204"/>
    <x v="863"/>
    <x v="893"/>
    <n v="0.10797930283224401"/>
    <x v="2"/>
    <x v="10"/>
    <n v="2023"/>
    <x v="800"/>
    <n v="550.80000000000018"/>
    <x v="0"/>
    <n v="1637.75"/>
    <x v="0"/>
    <x v="1"/>
    <x v="2"/>
  </r>
  <r>
    <s v="ORD1896"/>
    <d v="2023-09-12T00:00:00"/>
    <x v="3"/>
    <x v="3"/>
    <x v="3"/>
    <x v="4"/>
    <x v="0"/>
    <n v="3138"/>
    <x v="864"/>
    <x v="894"/>
    <n v="9.7402405991077121E-2"/>
    <x v="0"/>
    <x v="5"/>
    <n v="2023"/>
    <x v="801"/>
    <n v="7531.2000000000007"/>
    <x v="0"/>
    <n v="22658.81"/>
    <x v="0"/>
    <x v="0"/>
    <x v="0"/>
  </r>
  <r>
    <s v="ORD1897"/>
    <d v="2023-09-15T00:00:00"/>
    <x v="0"/>
    <x v="1"/>
    <x v="0"/>
    <x v="0"/>
    <x v="7"/>
    <n v="2836"/>
    <x v="865"/>
    <x v="895"/>
    <n v="0.22631346967559945"/>
    <x v="2"/>
    <x v="5"/>
    <n v="2023"/>
    <x v="802"/>
    <n v="1701.6000000000004"/>
    <x v="1"/>
    <n v="4388.3499999999995"/>
    <x v="2"/>
    <x v="0"/>
    <x v="2"/>
  </r>
  <r>
    <s v="ORD1898"/>
    <d v="2023-02-01T00:00:00"/>
    <x v="0"/>
    <x v="1"/>
    <x v="0"/>
    <x v="11"/>
    <x v="0"/>
    <n v="453"/>
    <x v="729"/>
    <x v="896"/>
    <n v="0.21027869757174392"/>
    <x v="2"/>
    <x v="8"/>
    <n v="2023"/>
    <x v="803"/>
    <n v="1087.2000000000003"/>
    <x v="0"/>
    <n v="2861.9500000000003"/>
    <x v="0"/>
    <x v="0"/>
    <x v="2"/>
  </r>
  <r>
    <s v="ORD1899"/>
    <d v="2023-06-27T00:00:00"/>
    <x v="0"/>
    <x v="3"/>
    <x v="3"/>
    <x v="12"/>
    <x v="6"/>
    <n v="3092"/>
    <x v="866"/>
    <x v="897"/>
    <n v="0.12616348641655886"/>
    <x v="1"/>
    <x v="2"/>
    <n v="2023"/>
    <x v="804"/>
    <n v="3710.4000000000015"/>
    <x v="1"/>
    <n v="10807.61"/>
    <x v="1"/>
    <x v="0"/>
    <x v="1"/>
  </r>
  <r>
    <s v="ORD1900"/>
    <d v="2023-09-12T00:00:00"/>
    <x v="0"/>
    <x v="2"/>
    <x v="2"/>
    <x v="13"/>
    <x v="5"/>
    <n v="3171"/>
    <x v="867"/>
    <x v="898"/>
    <n v="0.19498761093841513"/>
    <x v="0"/>
    <x v="5"/>
    <n v="2023"/>
    <x v="805"/>
    <n v="6659.1000000000022"/>
    <x v="0"/>
    <n v="17868.86"/>
    <x v="0"/>
    <x v="0"/>
    <x v="0"/>
  </r>
  <r>
    <s v="ORD1901"/>
    <d v="2023-05-31T00:00:00"/>
    <x v="2"/>
    <x v="1"/>
    <x v="3"/>
    <x v="7"/>
    <x v="8"/>
    <n v="4321"/>
    <x v="868"/>
    <x v="899"/>
    <n v="0.24051608423975931"/>
    <x v="2"/>
    <x v="0"/>
    <n v="2023"/>
    <x v="806"/>
    <n v="1296.3000000000002"/>
    <x v="1"/>
    <n v="3281.73"/>
    <x v="2"/>
    <x v="1"/>
    <x v="2"/>
  </r>
  <r>
    <s v="ORD1902"/>
    <d v="2023-05-31T00:00:00"/>
    <x v="0"/>
    <x v="1"/>
    <x v="2"/>
    <x v="8"/>
    <x v="8"/>
    <n v="4514"/>
    <x v="869"/>
    <x v="900"/>
    <n v="0.22403633141338058"/>
    <x v="2"/>
    <x v="0"/>
    <n v="2023"/>
    <x v="491"/>
    <n v="1354.2000000000003"/>
    <x v="1"/>
    <n v="3502.7"/>
    <x v="2"/>
    <x v="0"/>
    <x v="2"/>
  </r>
  <r>
    <s v="ORD1903"/>
    <d v="2023-12-19T00:00:00"/>
    <x v="3"/>
    <x v="4"/>
    <x v="0"/>
    <x v="0"/>
    <x v="0"/>
    <n v="4652"/>
    <x v="870"/>
    <x v="901"/>
    <n v="0.13130750214961306"/>
    <x v="0"/>
    <x v="7"/>
    <n v="2023"/>
    <x v="807"/>
    <n v="11164.800000000003"/>
    <x v="0"/>
    <n v="32329.26"/>
    <x v="0"/>
    <x v="0"/>
    <x v="0"/>
  </r>
  <r>
    <s v="ORD1904"/>
    <d v="2023-11-08T00:00:00"/>
    <x v="0"/>
    <x v="1"/>
    <x v="2"/>
    <x v="8"/>
    <x v="2"/>
    <n v="3003"/>
    <x v="871"/>
    <x v="902"/>
    <n v="0.14595515595515596"/>
    <x v="1"/>
    <x v="3"/>
    <n v="2023"/>
    <x v="808"/>
    <n v="5405.4000000000015"/>
    <x v="0"/>
    <n v="15388.18"/>
    <x v="1"/>
    <x v="0"/>
    <x v="1"/>
  </r>
  <r>
    <s v="ORD1905"/>
    <d v="2023-12-31T00:00:00"/>
    <x v="3"/>
    <x v="3"/>
    <x v="1"/>
    <x v="2"/>
    <x v="7"/>
    <n v="2068"/>
    <x v="872"/>
    <x v="903"/>
    <n v="0.15569632495164412"/>
    <x v="2"/>
    <x v="7"/>
    <n v="2023"/>
    <x v="266"/>
    <n v="1240.8000000000002"/>
    <x v="1"/>
    <n v="3492.04"/>
    <x v="2"/>
    <x v="0"/>
    <x v="2"/>
  </r>
  <r>
    <s v="ORD1906"/>
    <d v="2023-03-12T00:00:00"/>
    <x v="3"/>
    <x v="5"/>
    <x v="1"/>
    <x v="15"/>
    <x v="2"/>
    <n v="3083"/>
    <x v="873"/>
    <x v="904"/>
    <n v="0.18684560493026273"/>
    <x v="1"/>
    <x v="4"/>
    <n v="2023"/>
    <x v="809"/>
    <n v="5549.4000000000015"/>
    <x v="0"/>
    <n v="15041.730000000001"/>
    <x v="1"/>
    <x v="0"/>
    <x v="1"/>
  </r>
  <r>
    <s v="ORD1907"/>
    <d v="2023-05-23T00:00:00"/>
    <x v="1"/>
    <x v="1"/>
    <x v="2"/>
    <x v="8"/>
    <x v="4"/>
    <n v="3857"/>
    <x v="874"/>
    <x v="905"/>
    <n v="8.5516377149770978E-2"/>
    <x v="1"/>
    <x v="0"/>
    <n v="2023"/>
    <x v="437"/>
    <n v="3471.3000000000011"/>
    <x v="1"/>
    <n v="10581.49"/>
    <x v="2"/>
    <x v="0"/>
    <x v="1"/>
  </r>
  <r>
    <s v="ORD1908"/>
    <d v="2023-01-04T00:00:00"/>
    <x v="0"/>
    <x v="3"/>
    <x v="3"/>
    <x v="4"/>
    <x v="2"/>
    <n v="4602"/>
    <x v="875"/>
    <x v="906"/>
    <n v="0.11459293060987975"/>
    <x v="0"/>
    <x v="6"/>
    <n v="2023"/>
    <x v="339"/>
    <n v="8283.6000000000022"/>
    <x v="0"/>
    <n v="24447.86"/>
    <x v="1"/>
    <x v="0"/>
    <x v="0"/>
  </r>
  <r>
    <s v="ORD1909"/>
    <d v="2023-04-11T00:00:00"/>
    <x v="0"/>
    <x v="4"/>
    <x v="2"/>
    <x v="3"/>
    <x v="6"/>
    <n v="4510"/>
    <x v="876"/>
    <x v="907"/>
    <n v="0.14412416851441243"/>
    <x v="1"/>
    <x v="11"/>
    <n v="2023"/>
    <x v="810"/>
    <n v="5412"/>
    <x v="1"/>
    <n v="15440"/>
    <x v="1"/>
    <x v="0"/>
    <x v="1"/>
  </r>
  <r>
    <s v="ORD1910"/>
    <d v="2023-05-01T00:00:00"/>
    <x v="0"/>
    <x v="3"/>
    <x v="3"/>
    <x v="12"/>
    <x v="7"/>
    <n v="4202"/>
    <x v="877"/>
    <x v="908"/>
    <n v="0.17223702998572107"/>
    <x v="2"/>
    <x v="0"/>
    <n v="2023"/>
    <x v="811"/>
    <n v="2521.2000000000007"/>
    <x v="1"/>
    <n v="6956.5199999999995"/>
    <x v="2"/>
    <x v="0"/>
    <x v="2"/>
  </r>
  <r>
    <s v="ORD1911"/>
    <d v="2023-01-28T00:00:00"/>
    <x v="1"/>
    <x v="2"/>
    <x v="3"/>
    <x v="7"/>
    <x v="6"/>
    <n v="4724"/>
    <x v="653"/>
    <x v="909"/>
    <n v="0.12123253598645216"/>
    <x v="1"/>
    <x v="6"/>
    <n v="2023"/>
    <x v="614"/>
    <n v="5668.8000000000011"/>
    <x v="1"/>
    <n v="16605.190000000002"/>
    <x v="1"/>
    <x v="0"/>
    <x v="1"/>
  </r>
  <r>
    <s v="ORD1912"/>
    <d v="2023-12-18T00:00:00"/>
    <x v="1"/>
    <x v="4"/>
    <x v="2"/>
    <x v="8"/>
    <x v="7"/>
    <n v="2993"/>
    <x v="878"/>
    <x v="910"/>
    <n v="0.14278984296692282"/>
    <x v="2"/>
    <x v="7"/>
    <n v="2023"/>
    <x v="812"/>
    <n v="1795.8000000000002"/>
    <x v="1"/>
    <n v="5131.26"/>
    <x v="2"/>
    <x v="0"/>
    <x v="2"/>
  </r>
  <r>
    <s v="ORD1913"/>
    <d v="2023-03-31T00:00:00"/>
    <x v="2"/>
    <x v="2"/>
    <x v="2"/>
    <x v="13"/>
    <x v="0"/>
    <n v="3957"/>
    <x v="532"/>
    <x v="911"/>
    <n v="0.23033832448824867"/>
    <x v="0"/>
    <x v="4"/>
    <n v="2023"/>
    <x v="504"/>
    <n v="9496.8000000000029"/>
    <x v="0"/>
    <n v="24364.41"/>
    <x v="0"/>
    <x v="1"/>
    <x v="0"/>
  </r>
  <r>
    <s v="ORD1914"/>
    <d v="2023-02-18T00:00:00"/>
    <x v="3"/>
    <x v="0"/>
    <x v="3"/>
    <x v="4"/>
    <x v="3"/>
    <n v="1035"/>
    <x v="879"/>
    <x v="912"/>
    <n v="0.16578851315083198"/>
    <x v="2"/>
    <x v="8"/>
    <n v="2023"/>
    <x v="813"/>
    <n v="2794.5"/>
    <x v="0"/>
    <n v="7770.68"/>
    <x v="0"/>
    <x v="0"/>
    <x v="2"/>
  </r>
  <r>
    <s v="ORD1915"/>
    <d v="2023-03-21T00:00:00"/>
    <x v="2"/>
    <x v="1"/>
    <x v="0"/>
    <x v="11"/>
    <x v="5"/>
    <n v="3999"/>
    <x v="880"/>
    <x v="913"/>
    <n v="0.1593691279962848"/>
    <x v="0"/>
    <x v="4"/>
    <n v="2023"/>
    <x v="814"/>
    <n v="8397.9000000000015"/>
    <x v="0"/>
    <n v="23531.78"/>
    <x v="0"/>
    <x v="1"/>
    <x v="0"/>
  </r>
  <r>
    <s v="ORD1916"/>
    <d v="2023-07-14T00:00:00"/>
    <x v="1"/>
    <x v="4"/>
    <x v="0"/>
    <x v="16"/>
    <x v="6"/>
    <n v="4773"/>
    <x v="881"/>
    <x v="914"/>
    <n v="0.14562853551225646"/>
    <x v="1"/>
    <x v="10"/>
    <n v="2023"/>
    <x v="815"/>
    <n v="5727.6"/>
    <x v="1"/>
    <n v="16311.66"/>
    <x v="1"/>
    <x v="0"/>
    <x v="1"/>
  </r>
  <r>
    <s v="ORD1917"/>
    <d v="2023-11-01T00:00:00"/>
    <x v="3"/>
    <x v="1"/>
    <x v="1"/>
    <x v="2"/>
    <x v="3"/>
    <n v="953"/>
    <x v="882"/>
    <x v="915"/>
    <n v="0.16169523143290193"/>
    <x v="2"/>
    <x v="3"/>
    <n v="2023"/>
    <x v="816"/>
    <n v="2573.1000000000004"/>
    <x v="0"/>
    <n v="7190.14"/>
    <x v="0"/>
    <x v="0"/>
    <x v="2"/>
  </r>
  <r>
    <s v="ORD1918"/>
    <d v="2023-07-26T00:00:00"/>
    <x v="0"/>
    <x v="2"/>
    <x v="2"/>
    <x v="3"/>
    <x v="5"/>
    <n v="3517"/>
    <x v="883"/>
    <x v="916"/>
    <n v="0.17480726268329339"/>
    <x v="0"/>
    <x v="10"/>
    <n v="2023"/>
    <x v="817"/>
    <n v="7385.7000000000044"/>
    <x v="0"/>
    <n v="20315.420000000002"/>
    <x v="0"/>
    <x v="0"/>
    <x v="0"/>
  </r>
  <r>
    <s v="ORD1919"/>
    <d v="2023-02-06T00:00:00"/>
    <x v="2"/>
    <x v="0"/>
    <x v="2"/>
    <x v="8"/>
    <x v="1"/>
    <n v="2198"/>
    <x v="884"/>
    <x v="917"/>
    <n v="0.16546769790718835"/>
    <x v="1"/>
    <x v="8"/>
    <n v="2023"/>
    <x v="818"/>
    <n v="3297"/>
    <x v="1"/>
    <n v="9171.51"/>
    <x v="1"/>
    <x v="1"/>
    <x v="1"/>
  </r>
  <r>
    <s v="ORD1920"/>
    <d v="2023-11-04T00:00:00"/>
    <x v="0"/>
    <x v="1"/>
    <x v="1"/>
    <x v="5"/>
    <x v="7"/>
    <n v="4357"/>
    <x v="885"/>
    <x v="918"/>
    <n v="0.16724236860224925"/>
    <x v="2"/>
    <x v="3"/>
    <n v="2023"/>
    <x v="819"/>
    <n v="2614.2000000000007"/>
    <x v="1"/>
    <n v="7256.65"/>
    <x v="2"/>
    <x v="0"/>
    <x v="2"/>
  </r>
  <r>
    <s v="ORD1921"/>
    <d v="2023-07-13T00:00:00"/>
    <x v="2"/>
    <x v="3"/>
    <x v="2"/>
    <x v="13"/>
    <x v="3"/>
    <n v="779"/>
    <x v="886"/>
    <x v="919"/>
    <n v="0.14389530737412637"/>
    <x v="2"/>
    <x v="10"/>
    <n v="2023"/>
    <x v="820"/>
    <n v="2103.3000000000002"/>
    <x v="0"/>
    <n v="6002.15"/>
    <x v="0"/>
    <x v="1"/>
    <x v="2"/>
  </r>
  <r>
    <s v="ORD1922"/>
    <d v="2023-01-10T00:00:00"/>
    <x v="1"/>
    <x v="0"/>
    <x v="2"/>
    <x v="6"/>
    <x v="3"/>
    <n v="4244"/>
    <x v="887"/>
    <x v="920"/>
    <n v="8.8921876636296998E-2"/>
    <x v="0"/>
    <x v="6"/>
    <n v="2023"/>
    <x v="821"/>
    <n v="11458.800000000003"/>
    <x v="0"/>
    <n v="34799.54"/>
    <x v="0"/>
    <x v="0"/>
    <x v="0"/>
  </r>
  <r>
    <s v="ORD1923"/>
    <d v="2023-08-19T00:00:00"/>
    <x v="1"/>
    <x v="1"/>
    <x v="2"/>
    <x v="3"/>
    <x v="4"/>
    <n v="1416"/>
    <x v="888"/>
    <x v="921"/>
    <n v="0.20247881355932204"/>
    <x v="2"/>
    <x v="9"/>
    <n v="2023"/>
    <x v="822"/>
    <n v="1274.4000000000001"/>
    <x v="1"/>
    <n v="3387.87"/>
    <x v="2"/>
    <x v="0"/>
    <x v="2"/>
  </r>
  <r>
    <s v="ORD1924"/>
    <d v="2023-07-04T00:00:00"/>
    <x v="1"/>
    <x v="2"/>
    <x v="1"/>
    <x v="5"/>
    <x v="8"/>
    <n v="1368"/>
    <x v="617"/>
    <x v="922"/>
    <n v="0.21165935672514621"/>
    <x v="2"/>
    <x v="10"/>
    <n v="2023"/>
    <x v="823"/>
    <n v="410.40000000000009"/>
    <x v="1"/>
    <n v="1078.45"/>
    <x v="2"/>
    <x v="0"/>
    <x v="2"/>
  </r>
  <r>
    <s v="ORD1925"/>
    <d v="2023-06-10T00:00:00"/>
    <x v="2"/>
    <x v="4"/>
    <x v="3"/>
    <x v="14"/>
    <x v="2"/>
    <n v="2394"/>
    <x v="889"/>
    <x v="923"/>
    <n v="0.21319548872180452"/>
    <x v="1"/>
    <x v="2"/>
    <n v="2023"/>
    <x v="405"/>
    <n v="4309.2000000000007"/>
    <x v="0"/>
    <n v="11301.66"/>
    <x v="1"/>
    <x v="1"/>
    <x v="1"/>
  </r>
  <r>
    <s v="ORD1926"/>
    <d v="2023-09-23T00:00:00"/>
    <x v="0"/>
    <x v="4"/>
    <x v="1"/>
    <x v="5"/>
    <x v="8"/>
    <n v="4075"/>
    <x v="890"/>
    <x v="924"/>
    <n v="0.16108711656441715"/>
    <x v="2"/>
    <x v="5"/>
    <n v="2023"/>
    <x v="555"/>
    <n v="1222.5"/>
    <x v="1"/>
    <n v="3418.5699999999997"/>
    <x v="2"/>
    <x v="0"/>
    <x v="2"/>
  </r>
  <r>
    <s v="ORD1927"/>
    <d v="2023-11-08T00:00:00"/>
    <x v="1"/>
    <x v="2"/>
    <x v="3"/>
    <x v="4"/>
    <x v="1"/>
    <n v="291"/>
    <x v="891"/>
    <x v="925"/>
    <n v="0.23757388316151204"/>
    <x v="2"/>
    <x v="3"/>
    <n v="2023"/>
    <x v="824"/>
    <n v="436.5"/>
    <x v="1"/>
    <n v="1109.33"/>
    <x v="1"/>
    <x v="0"/>
    <x v="2"/>
  </r>
  <r>
    <s v="ORD1928"/>
    <d v="2023-04-30T00:00:00"/>
    <x v="2"/>
    <x v="3"/>
    <x v="2"/>
    <x v="6"/>
    <x v="2"/>
    <n v="4320"/>
    <x v="892"/>
    <x v="926"/>
    <n v="0.24300810185185187"/>
    <x v="0"/>
    <x v="11"/>
    <n v="2023"/>
    <x v="163"/>
    <n v="7776"/>
    <x v="0"/>
    <n v="19621.23"/>
    <x v="1"/>
    <x v="1"/>
    <x v="0"/>
  </r>
  <r>
    <s v="ORD1929"/>
    <d v="2023-07-12T00:00:00"/>
    <x v="2"/>
    <x v="0"/>
    <x v="0"/>
    <x v="11"/>
    <x v="3"/>
    <n v="4314"/>
    <x v="893"/>
    <x v="927"/>
    <n v="0.14884458867769021"/>
    <x v="0"/>
    <x v="10"/>
    <n v="2023"/>
    <x v="413"/>
    <n v="11647.800000000003"/>
    <x v="0"/>
    <n v="33046.959999999999"/>
    <x v="0"/>
    <x v="1"/>
    <x v="0"/>
  </r>
  <r>
    <s v="ORD1930"/>
    <d v="2023-05-07T00:00:00"/>
    <x v="2"/>
    <x v="1"/>
    <x v="1"/>
    <x v="5"/>
    <x v="4"/>
    <n v="751"/>
    <x v="894"/>
    <x v="928"/>
    <n v="0.10626719928983577"/>
    <x v="2"/>
    <x v="0"/>
    <n v="2023"/>
    <x v="825"/>
    <n v="675.90000000000009"/>
    <x v="1"/>
    <n v="2013.5800000000002"/>
    <x v="2"/>
    <x v="1"/>
    <x v="2"/>
  </r>
  <r>
    <s v="ORD1931"/>
    <d v="2023-07-03T00:00:00"/>
    <x v="0"/>
    <x v="0"/>
    <x v="0"/>
    <x v="0"/>
    <x v="6"/>
    <n v="2931"/>
    <x v="895"/>
    <x v="929"/>
    <n v="9.4784203343568754E-2"/>
    <x v="1"/>
    <x v="10"/>
    <n v="2023"/>
    <x v="826"/>
    <n v="3517.2000000000007"/>
    <x v="1"/>
    <n v="10612.75"/>
    <x v="1"/>
    <x v="0"/>
    <x v="1"/>
  </r>
  <r>
    <s v="ORD1932"/>
    <d v="2023-11-18T00:00:00"/>
    <x v="0"/>
    <x v="0"/>
    <x v="3"/>
    <x v="12"/>
    <x v="8"/>
    <n v="2448"/>
    <x v="896"/>
    <x v="930"/>
    <n v="8.1049836601307185E-2"/>
    <x v="2"/>
    <x v="3"/>
    <n v="2023"/>
    <x v="827"/>
    <n v="734.40000000000009"/>
    <x v="1"/>
    <n v="2249.59"/>
    <x v="2"/>
    <x v="0"/>
    <x v="2"/>
  </r>
  <r>
    <s v="ORD1933"/>
    <d v="2023-11-11T00:00:00"/>
    <x v="3"/>
    <x v="4"/>
    <x v="2"/>
    <x v="13"/>
    <x v="2"/>
    <n v="902"/>
    <x v="897"/>
    <x v="931"/>
    <n v="0.18373244641537326"/>
    <x v="2"/>
    <x v="3"/>
    <n v="2023"/>
    <x v="828"/>
    <n v="1623.6000000000004"/>
    <x v="0"/>
    <n v="4417.6400000000003"/>
    <x v="1"/>
    <x v="0"/>
    <x v="2"/>
  </r>
  <r>
    <s v="ORD1934"/>
    <d v="2023-01-19T00:00:00"/>
    <x v="2"/>
    <x v="1"/>
    <x v="3"/>
    <x v="4"/>
    <x v="7"/>
    <n v="774"/>
    <x v="898"/>
    <x v="932"/>
    <n v="0.197015503875969"/>
    <x v="2"/>
    <x v="6"/>
    <n v="2023"/>
    <x v="238"/>
    <n v="464.40000000000009"/>
    <x v="1"/>
    <n v="1243.02"/>
    <x v="2"/>
    <x v="1"/>
    <x v="2"/>
  </r>
  <r>
    <s v="ORD1935"/>
    <d v="2023-03-22T00:00:00"/>
    <x v="0"/>
    <x v="2"/>
    <x v="0"/>
    <x v="11"/>
    <x v="1"/>
    <n v="957"/>
    <x v="899"/>
    <x v="933"/>
    <n v="0.17149843260188088"/>
    <x v="2"/>
    <x v="4"/>
    <n v="2023"/>
    <x v="829"/>
    <n v="1435.5"/>
    <x v="1"/>
    <n v="3964.3799999999997"/>
    <x v="1"/>
    <x v="0"/>
    <x v="2"/>
  </r>
  <r>
    <s v="ORD1936"/>
    <d v="2023-07-23T00:00:00"/>
    <x v="3"/>
    <x v="1"/>
    <x v="2"/>
    <x v="8"/>
    <x v="6"/>
    <n v="4192"/>
    <x v="900"/>
    <x v="934"/>
    <n v="0.22506381202290077"/>
    <x v="1"/>
    <x v="10"/>
    <n v="2023"/>
    <x v="830"/>
    <n v="5030.4000000000015"/>
    <x v="1"/>
    <n v="12994.130000000001"/>
    <x v="1"/>
    <x v="0"/>
    <x v="1"/>
  </r>
  <r>
    <s v="ORD1937"/>
    <d v="2023-05-26T00:00:00"/>
    <x v="1"/>
    <x v="4"/>
    <x v="3"/>
    <x v="14"/>
    <x v="4"/>
    <n v="1887"/>
    <x v="901"/>
    <x v="935"/>
    <n v="0.19814520402755698"/>
    <x v="2"/>
    <x v="0"/>
    <n v="2023"/>
    <x v="59"/>
    <n v="1698.3000000000002"/>
    <x v="1"/>
    <n v="4539.3"/>
    <x v="2"/>
    <x v="0"/>
    <x v="2"/>
  </r>
  <r>
    <s v="ORD1938"/>
    <d v="2023-07-22T00:00:00"/>
    <x v="0"/>
    <x v="4"/>
    <x v="0"/>
    <x v="0"/>
    <x v="7"/>
    <n v="728"/>
    <x v="151"/>
    <x v="936"/>
    <n v="0.22481456043956044"/>
    <x v="2"/>
    <x v="10"/>
    <n v="2023"/>
    <x v="831"/>
    <n v="436.80000000000007"/>
    <x v="1"/>
    <n v="1128.67"/>
    <x v="2"/>
    <x v="0"/>
    <x v="2"/>
  </r>
  <r>
    <s v="ORD1939"/>
    <d v="2023-08-02T00:00:00"/>
    <x v="0"/>
    <x v="0"/>
    <x v="3"/>
    <x v="4"/>
    <x v="3"/>
    <n v="2147"/>
    <x v="902"/>
    <x v="937"/>
    <n v="0.16230916524349223"/>
    <x v="1"/>
    <x v="9"/>
    <n v="2023"/>
    <x v="832"/>
    <n v="5796.9000000000015"/>
    <x v="0"/>
    <n v="16186.699999999999"/>
    <x v="0"/>
    <x v="0"/>
    <x v="1"/>
  </r>
  <r>
    <s v="ORD1940"/>
    <d v="2023-04-19T00:00:00"/>
    <x v="2"/>
    <x v="3"/>
    <x v="3"/>
    <x v="14"/>
    <x v="6"/>
    <n v="3592"/>
    <x v="903"/>
    <x v="938"/>
    <n v="0.11187569599109132"/>
    <x v="1"/>
    <x v="11"/>
    <n v="2023"/>
    <x v="833"/>
    <n v="4310.4000000000015"/>
    <x v="1"/>
    <n v="12760.57"/>
    <x v="1"/>
    <x v="1"/>
    <x v="1"/>
  </r>
  <r>
    <s v="ORD1941"/>
    <d v="2023-01-27T00:00:00"/>
    <x v="3"/>
    <x v="3"/>
    <x v="0"/>
    <x v="16"/>
    <x v="5"/>
    <n v="3139"/>
    <x v="904"/>
    <x v="939"/>
    <n v="0.1671865471260183"/>
    <x v="0"/>
    <x v="6"/>
    <n v="2023"/>
    <x v="834"/>
    <n v="6591.9000000000015"/>
    <x v="0"/>
    <n v="18299.41"/>
    <x v="0"/>
    <x v="0"/>
    <x v="0"/>
  </r>
  <r>
    <s v="ORD1942"/>
    <d v="2023-03-13T00:00:00"/>
    <x v="1"/>
    <x v="3"/>
    <x v="0"/>
    <x v="16"/>
    <x v="8"/>
    <n v="1188"/>
    <x v="905"/>
    <x v="940"/>
    <n v="0.12150673400673401"/>
    <x v="2"/>
    <x v="4"/>
    <n v="2023"/>
    <x v="200"/>
    <n v="356.40000000000009"/>
    <x v="1"/>
    <n v="1043.6500000000001"/>
    <x v="2"/>
    <x v="0"/>
    <x v="2"/>
  </r>
  <r>
    <s v="ORD1943"/>
    <d v="2023-07-19T00:00:00"/>
    <x v="0"/>
    <x v="0"/>
    <x v="0"/>
    <x v="0"/>
    <x v="7"/>
    <n v="2640"/>
    <x v="906"/>
    <x v="941"/>
    <n v="0.22739962121212123"/>
    <x v="2"/>
    <x v="10"/>
    <n v="2023"/>
    <x v="835"/>
    <n v="1584.0000000000005"/>
    <x v="1"/>
    <n v="4079.33"/>
    <x v="2"/>
    <x v="0"/>
    <x v="2"/>
  </r>
  <r>
    <s v="ORD1944"/>
    <d v="2023-06-16T00:00:00"/>
    <x v="3"/>
    <x v="4"/>
    <x v="0"/>
    <x v="11"/>
    <x v="1"/>
    <n v="4003"/>
    <x v="907"/>
    <x v="942"/>
    <n v="0.1973210092430677"/>
    <x v="0"/>
    <x v="2"/>
    <n v="2023"/>
    <x v="707"/>
    <n v="6004.5"/>
    <x v="1"/>
    <n v="16065.619999999999"/>
    <x v="1"/>
    <x v="0"/>
    <x v="0"/>
  </r>
  <r>
    <s v="ORD1945"/>
    <d v="2023-10-06T00:00:00"/>
    <x v="3"/>
    <x v="2"/>
    <x v="2"/>
    <x v="3"/>
    <x v="7"/>
    <n v="2965"/>
    <x v="908"/>
    <x v="943"/>
    <n v="0.19692074198988196"/>
    <x v="2"/>
    <x v="1"/>
    <n v="2023"/>
    <x v="836"/>
    <n v="1779"/>
    <x v="1"/>
    <n v="4762.26"/>
    <x v="2"/>
    <x v="0"/>
    <x v="2"/>
  </r>
  <r>
    <s v="ORD1946"/>
    <d v="2023-08-05T00:00:00"/>
    <x v="2"/>
    <x v="4"/>
    <x v="3"/>
    <x v="7"/>
    <x v="5"/>
    <n v="4363"/>
    <x v="909"/>
    <x v="944"/>
    <n v="0.21969778330768475"/>
    <x v="0"/>
    <x v="9"/>
    <n v="2023"/>
    <x v="396"/>
    <n v="9162.2999999999993"/>
    <x v="0"/>
    <n v="23831.21"/>
    <x v="0"/>
    <x v="1"/>
    <x v="0"/>
  </r>
  <r>
    <s v="ORD1947"/>
    <d v="2023-12-25T00:00:00"/>
    <x v="1"/>
    <x v="3"/>
    <x v="0"/>
    <x v="0"/>
    <x v="1"/>
    <n v="4473"/>
    <x v="910"/>
    <x v="945"/>
    <n v="8.1155376704672474E-2"/>
    <x v="0"/>
    <x v="7"/>
    <n v="2023"/>
    <x v="837"/>
    <n v="6709.5"/>
    <x v="1"/>
    <n v="20549.960000000003"/>
    <x v="1"/>
    <x v="0"/>
    <x v="0"/>
  </r>
  <r>
    <s v="ORD1948"/>
    <d v="2023-09-09T00:00:00"/>
    <x v="0"/>
    <x v="3"/>
    <x v="1"/>
    <x v="15"/>
    <x v="8"/>
    <n v="2574"/>
    <x v="911"/>
    <x v="946"/>
    <n v="0.19581973581973583"/>
    <x v="2"/>
    <x v="5"/>
    <n v="2023"/>
    <x v="838"/>
    <n v="772.2"/>
    <x v="1"/>
    <n v="2069.96"/>
    <x v="2"/>
    <x v="0"/>
    <x v="2"/>
  </r>
  <r>
    <s v="ORD1949"/>
    <d v="2023-02-13T00:00:00"/>
    <x v="0"/>
    <x v="3"/>
    <x v="1"/>
    <x v="2"/>
    <x v="2"/>
    <n v="4340"/>
    <x v="912"/>
    <x v="947"/>
    <n v="0.2057288786482335"/>
    <x v="0"/>
    <x v="8"/>
    <n v="2023"/>
    <x v="839"/>
    <n v="7812"/>
    <x v="0"/>
    <n v="20682.82"/>
    <x v="1"/>
    <x v="0"/>
    <x v="0"/>
  </r>
  <r>
    <s v="ORD1950"/>
    <d v="2023-02-20T00:00:00"/>
    <x v="0"/>
    <x v="1"/>
    <x v="3"/>
    <x v="7"/>
    <x v="4"/>
    <n v="2461"/>
    <x v="913"/>
    <x v="948"/>
    <n v="0.19511445211973452"/>
    <x v="2"/>
    <x v="8"/>
    <n v="2023"/>
    <x v="840"/>
    <n v="2214.9000000000005"/>
    <x v="1"/>
    <n v="5942.47"/>
    <x v="2"/>
    <x v="0"/>
    <x v="2"/>
  </r>
  <r>
    <s v="ORD1951"/>
    <d v="2023-01-04T00:00:00"/>
    <x v="1"/>
    <x v="4"/>
    <x v="2"/>
    <x v="8"/>
    <x v="8"/>
    <n v="1492"/>
    <x v="914"/>
    <x v="949"/>
    <n v="0.17261394101876676"/>
    <x v="2"/>
    <x v="6"/>
    <n v="2023"/>
    <x v="841"/>
    <n v="447.60000000000014"/>
    <x v="1"/>
    <n v="1234.4599999999998"/>
    <x v="2"/>
    <x v="0"/>
    <x v="2"/>
  </r>
  <r>
    <s v="ORD1952"/>
    <d v="2023-08-07T00:00:00"/>
    <x v="2"/>
    <x v="0"/>
    <x v="2"/>
    <x v="6"/>
    <x v="4"/>
    <n v="524"/>
    <x v="915"/>
    <x v="950"/>
    <n v="0.20281170483460559"/>
    <x v="2"/>
    <x v="9"/>
    <n v="2023"/>
    <x v="842"/>
    <n v="471.60000000000014"/>
    <x v="1"/>
    <n v="1253.1799999999998"/>
    <x v="2"/>
    <x v="1"/>
    <x v="2"/>
  </r>
  <r>
    <s v="ORD1953"/>
    <d v="2023-09-16T00:00:00"/>
    <x v="3"/>
    <x v="4"/>
    <x v="3"/>
    <x v="14"/>
    <x v="2"/>
    <n v="3787"/>
    <x v="916"/>
    <x v="951"/>
    <n v="0.22816961535076138"/>
    <x v="0"/>
    <x v="5"/>
    <n v="2023"/>
    <x v="172"/>
    <n v="6816.6000000000022"/>
    <x v="0"/>
    <n v="17537.53"/>
    <x v="1"/>
    <x v="0"/>
    <x v="0"/>
  </r>
  <r>
    <s v="ORD1954"/>
    <d v="2023-10-23T00:00:00"/>
    <x v="2"/>
    <x v="2"/>
    <x v="3"/>
    <x v="14"/>
    <x v="2"/>
    <n v="1702"/>
    <x v="917"/>
    <x v="952"/>
    <n v="0.12552487269878573"/>
    <x v="1"/>
    <x v="1"/>
    <n v="2023"/>
    <x v="843"/>
    <n v="3063.6000000000004"/>
    <x v="0"/>
    <n v="8930.14"/>
    <x v="1"/>
    <x v="1"/>
    <x v="1"/>
  </r>
  <r>
    <s v="ORD1955"/>
    <d v="2023-12-03T00:00:00"/>
    <x v="2"/>
    <x v="3"/>
    <x v="1"/>
    <x v="2"/>
    <x v="2"/>
    <n v="1967"/>
    <x v="918"/>
    <x v="953"/>
    <n v="0.1195085578715472"/>
    <x v="1"/>
    <x v="7"/>
    <n v="2023"/>
    <x v="844"/>
    <n v="3540.6000000000004"/>
    <x v="0"/>
    <n v="10391.56"/>
    <x v="1"/>
    <x v="1"/>
    <x v="1"/>
  </r>
  <r>
    <s v="ORD1956"/>
    <d v="2023-06-20T00:00:00"/>
    <x v="0"/>
    <x v="3"/>
    <x v="3"/>
    <x v="12"/>
    <x v="6"/>
    <n v="265"/>
    <x v="919"/>
    <x v="954"/>
    <n v="0.13599056603773585"/>
    <x v="2"/>
    <x v="2"/>
    <n v="2023"/>
    <x v="845"/>
    <n v="318"/>
    <x v="1"/>
    <n v="915.85"/>
    <x v="1"/>
    <x v="0"/>
    <x v="2"/>
  </r>
  <r>
    <s v="ORD1957"/>
    <d v="2023-08-04T00:00:00"/>
    <x v="2"/>
    <x v="2"/>
    <x v="1"/>
    <x v="15"/>
    <x v="5"/>
    <n v="1034"/>
    <x v="92"/>
    <x v="955"/>
    <n v="0.12996546007184306"/>
    <x v="2"/>
    <x v="9"/>
    <n v="2023"/>
    <x v="846"/>
    <n v="2171.4000000000005"/>
    <x v="0"/>
    <n v="6297.3099999999995"/>
    <x v="0"/>
    <x v="1"/>
    <x v="2"/>
  </r>
  <r>
    <s v="ORD1958"/>
    <d v="2023-01-13T00:00:00"/>
    <x v="3"/>
    <x v="3"/>
    <x v="0"/>
    <x v="16"/>
    <x v="3"/>
    <n v="2940"/>
    <x v="920"/>
    <x v="956"/>
    <n v="0.17672713529856388"/>
    <x v="0"/>
    <x v="6"/>
    <n v="2023"/>
    <x v="847"/>
    <n v="7938"/>
    <x v="0"/>
    <n v="21783.8"/>
    <x v="0"/>
    <x v="0"/>
    <x v="0"/>
  </r>
  <r>
    <s v="ORD1959"/>
    <d v="2023-06-22T00:00:00"/>
    <x v="0"/>
    <x v="0"/>
    <x v="3"/>
    <x v="12"/>
    <x v="0"/>
    <n v="4157"/>
    <x v="921"/>
    <x v="957"/>
    <n v="0.17660572528265575"/>
    <x v="0"/>
    <x v="2"/>
    <n v="2023"/>
    <x v="848"/>
    <n v="9976.8000000000029"/>
    <x v="0"/>
    <n v="27382.800000000003"/>
    <x v="0"/>
    <x v="0"/>
    <x v="0"/>
  </r>
  <r>
    <s v="ORD1960"/>
    <d v="2023-12-28T00:00:00"/>
    <x v="3"/>
    <x v="3"/>
    <x v="2"/>
    <x v="8"/>
    <x v="5"/>
    <n v="2364"/>
    <x v="922"/>
    <x v="958"/>
    <n v="0.17678208846990573"/>
    <x v="1"/>
    <x v="7"/>
    <n v="2023"/>
    <x v="849"/>
    <n v="4964.3999999999996"/>
    <x v="0"/>
    <n v="13622.61"/>
    <x v="0"/>
    <x v="0"/>
    <x v="1"/>
  </r>
  <r>
    <s v="ORD1961"/>
    <d v="2023-10-24T00:00:00"/>
    <x v="0"/>
    <x v="2"/>
    <x v="0"/>
    <x v="0"/>
    <x v="5"/>
    <n v="4276"/>
    <x v="923"/>
    <x v="959"/>
    <n v="0.13273987705465723"/>
    <x v="0"/>
    <x v="1"/>
    <n v="2023"/>
    <x v="850"/>
    <n v="8979.6000000000022"/>
    <x v="0"/>
    <n v="25958.829999999998"/>
    <x v="0"/>
    <x v="0"/>
    <x v="0"/>
  </r>
  <r>
    <s v="ORD1962"/>
    <d v="2023-02-14T00:00:00"/>
    <x v="0"/>
    <x v="1"/>
    <x v="3"/>
    <x v="7"/>
    <x v="7"/>
    <n v="2958"/>
    <x v="924"/>
    <x v="960"/>
    <n v="0.13065246788370521"/>
    <x v="2"/>
    <x v="8"/>
    <n v="2023"/>
    <x v="851"/>
    <n v="1774.8000000000002"/>
    <x v="1"/>
    <n v="5143.0600000000004"/>
    <x v="2"/>
    <x v="0"/>
    <x v="2"/>
  </r>
  <r>
    <s v="ORD1963"/>
    <d v="2023-08-02T00:00:00"/>
    <x v="3"/>
    <x v="4"/>
    <x v="0"/>
    <x v="16"/>
    <x v="2"/>
    <n v="1389"/>
    <x v="925"/>
    <x v="961"/>
    <n v="0.21735301175905927"/>
    <x v="2"/>
    <x v="9"/>
    <n v="2023"/>
    <x v="852"/>
    <n v="2500.2000000000007"/>
    <x v="0"/>
    <n v="6522.58"/>
    <x v="1"/>
    <x v="0"/>
    <x v="2"/>
  </r>
  <r>
    <s v="ORD1964"/>
    <d v="2023-02-18T00:00:00"/>
    <x v="3"/>
    <x v="4"/>
    <x v="0"/>
    <x v="0"/>
    <x v="8"/>
    <n v="4132"/>
    <x v="926"/>
    <x v="962"/>
    <n v="0.16492255566311714"/>
    <x v="2"/>
    <x v="8"/>
    <n v="2023"/>
    <x v="853"/>
    <n v="1239.6000000000004"/>
    <x v="1"/>
    <n v="3450.5400000000004"/>
    <x v="2"/>
    <x v="0"/>
    <x v="2"/>
  </r>
  <r>
    <s v="ORD1965"/>
    <d v="2023-10-20T00:00:00"/>
    <x v="1"/>
    <x v="0"/>
    <x v="1"/>
    <x v="2"/>
    <x v="1"/>
    <n v="3246"/>
    <x v="927"/>
    <x v="963"/>
    <n v="0.22003696857670979"/>
    <x v="1"/>
    <x v="1"/>
    <n v="2023"/>
    <x v="543"/>
    <n v="4869"/>
    <x v="1"/>
    <n v="12658.8"/>
    <x v="1"/>
    <x v="0"/>
    <x v="1"/>
  </r>
  <r>
    <s v="ORD1966"/>
    <d v="2023-11-06T00:00:00"/>
    <x v="1"/>
    <x v="0"/>
    <x v="0"/>
    <x v="0"/>
    <x v="7"/>
    <n v="286"/>
    <x v="928"/>
    <x v="964"/>
    <n v="0.10776223776223777"/>
    <x v="2"/>
    <x v="3"/>
    <n v="2023"/>
    <x v="854"/>
    <n v="171.60000000000002"/>
    <x v="1"/>
    <n v="510.35999999999996"/>
    <x v="2"/>
    <x v="0"/>
    <x v="2"/>
  </r>
  <r>
    <s v="ORD1967"/>
    <d v="2023-11-11T00:00:00"/>
    <x v="2"/>
    <x v="2"/>
    <x v="1"/>
    <x v="1"/>
    <x v="7"/>
    <n v="2597"/>
    <x v="929"/>
    <x v="965"/>
    <n v="0.19337889872930303"/>
    <x v="2"/>
    <x v="3"/>
    <n v="2023"/>
    <x v="855"/>
    <n v="1558.2000000000003"/>
    <x v="1"/>
    <n v="4189.59"/>
    <x v="2"/>
    <x v="1"/>
    <x v="2"/>
  </r>
  <r>
    <s v="ORD1968"/>
    <d v="2023-05-08T00:00:00"/>
    <x v="0"/>
    <x v="3"/>
    <x v="3"/>
    <x v="4"/>
    <x v="6"/>
    <n v="4133"/>
    <x v="930"/>
    <x v="966"/>
    <n v="9.9107790950883137E-2"/>
    <x v="1"/>
    <x v="0"/>
    <n v="2023"/>
    <x v="856"/>
    <n v="4959.6000000000004"/>
    <x v="1"/>
    <n v="14893.55"/>
    <x v="1"/>
    <x v="0"/>
    <x v="1"/>
  </r>
  <r>
    <s v="ORD1969"/>
    <d v="2023-08-14T00:00:00"/>
    <x v="2"/>
    <x v="3"/>
    <x v="0"/>
    <x v="9"/>
    <x v="2"/>
    <n v="2700"/>
    <x v="931"/>
    <x v="967"/>
    <n v="0.24030679012345676"/>
    <x v="1"/>
    <x v="9"/>
    <n v="2023"/>
    <x v="857"/>
    <n v="4860.0000000000018"/>
    <x v="0"/>
    <n v="12307.03"/>
    <x v="1"/>
    <x v="1"/>
    <x v="1"/>
  </r>
  <r>
    <s v="ORD1970"/>
    <d v="2023-07-01T00:00:00"/>
    <x v="2"/>
    <x v="3"/>
    <x v="2"/>
    <x v="13"/>
    <x v="4"/>
    <n v="2128"/>
    <x v="932"/>
    <x v="968"/>
    <n v="0.23849937343358396"/>
    <x v="2"/>
    <x v="10"/>
    <n v="2023"/>
    <x v="858"/>
    <n v="1915.2000000000007"/>
    <x v="1"/>
    <n v="4861.42"/>
    <x v="2"/>
    <x v="1"/>
    <x v="2"/>
  </r>
  <r>
    <s v="ORD1971"/>
    <d v="2023-04-07T00:00:00"/>
    <x v="1"/>
    <x v="3"/>
    <x v="0"/>
    <x v="16"/>
    <x v="6"/>
    <n v="4324"/>
    <x v="933"/>
    <x v="969"/>
    <n v="0.23821403792784457"/>
    <x v="1"/>
    <x v="11"/>
    <n v="2023"/>
    <x v="859"/>
    <n v="5188.8000000000011"/>
    <x v="1"/>
    <n v="13175.85"/>
    <x v="1"/>
    <x v="0"/>
    <x v="1"/>
  </r>
  <r>
    <s v="ORD1972"/>
    <d v="2023-04-12T00:00:00"/>
    <x v="1"/>
    <x v="3"/>
    <x v="0"/>
    <x v="16"/>
    <x v="8"/>
    <n v="2268"/>
    <x v="934"/>
    <x v="970"/>
    <n v="0.14934303350970016"/>
    <x v="2"/>
    <x v="11"/>
    <n v="2023"/>
    <x v="719"/>
    <n v="680.40000000000009"/>
    <x v="1"/>
    <n v="1929.2900000000002"/>
    <x v="2"/>
    <x v="0"/>
    <x v="2"/>
  </r>
  <r>
    <s v="ORD1973"/>
    <d v="2023-04-09T00:00:00"/>
    <x v="0"/>
    <x v="2"/>
    <x v="0"/>
    <x v="0"/>
    <x v="7"/>
    <n v="2370"/>
    <x v="935"/>
    <x v="971"/>
    <n v="0.19004852320675106"/>
    <x v="2"/>
    <x v="11"/>
    <n v="2023"/>
    <x v="860"/>
    <n v="1422"/>
    <x v="1"/>
    <n v="3839.17"/>
    <x v="2"/>
    <x v="0"/>
    <x v="2"/>
  </r>
  <r>
    <s v="ORD1974"/>
    <d v="2023-02-20T00:00:00"/>
    <x v="1"/>
    <x v="3"/>
    <x v="0"/>
    <x v="9"/>
    <x v="3"/>
    <n v="795"/>
    <x v="936"/>
    <x v="972"/>
    <n v="8.6791055206149548E-2"/>
    <x v="2"/>
    <x v="8"/>
    <n v="2023"/>
    <x v="861"/>
    <n v="2146.5"/>
    <x v="0"/>
    <n v="6534.01"/>
    <x v="0"/>
    <x v="0"/>
    <x v="2"/>
  </r>
  <r>
    <s v="ORD1975"/>
    <d v="2023-07-07T00:00:00"/>
    <x v="1"/>
    <x v="1"/>
    <x v="1"/>
    <x v="1"/>
    <x v="1"/>
    <n v="3024"/>
    <x v="937"/>
    <x v="973"/>
    <n v="0.15257208994708993"/>
    <x v="1"/>
    <x v="10"/>
    <n v="2023"/>
    <x v="862"/>
    <n v="4536.0000000000018"/>
    <x v="1"/>
    <n v="12813.11"/>
    <x v="1"/>
    <x v="0"/>
    <x v="1"/>
  </r>
  <r>
    <s v="ORD1976"/>
    <d v="2023-11-22T00:00:00"/>
    <x v="3"/>
    <x v="4"/>
    <x v="0"/>
    <x v="11"/>
    <x v="7"/>
    <n v="701"/>
    <x v="938"/>
    <x v="974"/>
    <n v="0.23835235378031386"/>
    <x v="2"/>
    <x v="3"/>
    <n v="2023"/>
    <x v="863"/>
    <n v="420.6"/>
    <x v="1"/>
    <n v="1067.83"/>
    <x v="2"/>
    <x v="0"/>
    <x v="2"/>
  </r>
  <r>
    <s v="ORD1977"/>
    <d v="2023-12-12T00:00:00"/>
    <x v="1"/>
    <x v="2"/>
    <x v="0"/>
    <x v="11"/>
    <x v="1"/>
    <n v="1205"/>
    <x v="939"/>
    <x v="975"/>
    <n v="0.21887136929460582"/>
    <x v="2"/>
    <x v="7"/>
    <n v="2023"/>
    <x v="864"/>
    <n v="1807.5"/>
    <x v="1"/>
    <n v="4706.3"/>
    <x v="1"/>
    <x v="0"/>
    <x v="2"/>
  </r>
  <r>
    <s v="ORD1978"/>
    <d v="2023-09-14T00:00:00"/>
    <x v="3"/>
    <x v="1"/>
    <x v="1"/>
    <x v="1"/>
    <x v="1"/>
    <n v="4566"/>
    <x v="940"/>
    <x v="976"/>
    <n v="0.19143670608848007"/>
    <x v="0"/>
    <x v="5"/>
    <n v="2023"/>
    <x v="865"/>
    <n v="6849"/>
    <x v="1"/>
    <n v="18459.5"/>
    <x v="1"/>
    <x v="0"/>
    <x v="0"/>
  </r>
  <r>
    <s v="ORD1979"/>
    <d v="2023-05-29T00:00:00"/>
    <x v="1"/>
    <x v="0"/>
    <x v="0"/>
    <x v="0"/>
    <x v="0"/>
    <n v="407"/>
    <x v="941"/>
    <x v="977"/>
    <n v="0.15808046683046684"/>
    <x v="2"/>
    <x v="0"/>
    <n v="2023"/>
    <x v="215"/>
    <n v="976.80000000000018"/>
    <x v="0"/>
    <n v="2741.29"/>
    <x v="0"/>
    <x v="0"/>
    <x v="2"/>
  </r>
  <r>
    <s v="ORD1980"/>
    <d v="2023-09-21T00:00:00"/>
    <x v="2"/>
    <x v="1"/>
    <x v="1"/>
    <x v="2"/>
    <x v="2"/>
    <n v="3445"/>
    <x v="942"/>
    <x v="978"/>
    <n v="0.23940251572327043"/>
    <x v="0"/>
    <x v="5"/>
    <n v="2023"/>
    <x v="866"/>
    <n v="6201"/>
    <x v="0"/>
    <n v="15721.550000000001"/>
    <x v="1"/>
    <x v="1"/>
    <x v="0"/>
  </r>
  <r>
    <s v="ORD1981"/>
    <d v="2023-12-07T00:00:00"/>
    <x v="3"/>
    <x v="2"/>
    <x v="0"/>
    <x v="0"/>
    <x v="2"/>
    <n v="399"/>
    <x v="943"/>
    <x v="979"/>
    <n v="0.23489139515455307"/>
    <x v="2"/>
    <x v="7"/>
    <n v="2023"/>
    <x v="867"/>
    <n v="718.20000000000027"/>
    <x v="0"/>
    <n v="1831.67"/>
    <x v="1"/>
    <x v="0"/>
    <x v="2"/>
  </r>
  <r>
    <s v="ORD1982"/>
    <d v="2023-09-28T00:00:00"/>
    <x v="1"/>
    <x v="3"/>
    <x v="2"/>
    <x v="6"/>
    <x v="7"/>
    <n v="804"/>
    <x v="944"/>
    <x v="980"/>
    <n v="0.17289800995024873"/>
    <x v="2"/>
    <x v="5"/>
    <n v="2023"/>
    <x v="868"/>
    <n v="482.40000000000009"/>
    <x v="1"/>
    <n v="1329.98"/>
    <x v="2"/>
    <x v="0"/>
    <x v="2"/>
  </r>
  <r>
    <s v="ORD1983"/>
    <d v="2023-02-06T00:00:00"/>
    <x v="1"/>
    <x v="4"/>
    <x v="1"/>
    <x v="5"/>
    <x v="2"/>
    <n v="4075"/>
    <x v="588"/>
    <x v="981"/>
    <n v="0.11199959100204498"/>
    <x v="0"/>
    <x v="8"/>
    <n v="2023"/>
    <x v="555"/>
    <n v="7335"/>
    <x v="0"/>
    <n v="21711.61"/>
    <x v="1"/>
    <x v="0"/>
    <x v="0"/>
  </r>
  <r>
    <s v="ORD1984"/>
    <d v="2023-06-08T00:00:00"/>
    <x v="1"/>
    <x v="1"/>
    <x v="2"/>
    <x v="8"/>
    <x v="2"/>
    <n v="4707"/>
    <x v="945"/>
    <x v="982"/>
    <n v="9.8613412647829468E-2"/>
    <x v="0"/>
    <x v="2"/>
    <n v="2023"/>
    <x v="869"/>
    <n v="8472.6000000000022"/>
    <x v="0"/>
    <n v="25456.959999999999"/>
    <x v="1"/>
    <x v="0"/>
    <x v="0"/>
  </r>
  <r>
    <s v="ORD1985"/>
    <d v="2023-08-04T00:00:00"/>
    <x v="2"/>
    <x v="3"/>
    <x v="3"/>
    <x v="12"/>
    <x v="3"/>
    <n v="3520"/>
    <x v="946"/>
    <x v="983"/>
    <n v="0.18137878787878789"/>
    <x v="0"/>
    <x v="9"/>
    <n v="2023"/>
    <x v="870"/>
    <n v="9504"/>
    <x v="0"/>
    <n v="25933.919999999998"/>
    <x v="0"/>
    <x v="1"/>
    <x v="0"/>
  </r>
  <r>
    <s v="ORD1986"/>
    <d v="2023-08-09T00:00:00"/>
    <x v="2"/>
    <x v="3"/>
    <x v="3"/>
    <x v="4"/>
    <x v="8"/>
    <n v="3491"/>
    <x v="947"/>
    <x v="984"/>
    <n v="0.20165568604984246"/>
    <x v="2"/>
    <x v="9"/>
    <n v="2023"/>
    <x v="871"/>
    <n v="1047.3000000000002"/>
    <x v="1"/>
    <n v="2787.02"/>
    <x v="2"/>
    <x v="1"/>
    <x v="2"/>
  </r>
  <r>
    <s v="ORD1987"/>
    <d v="2023-11-18T00:00:00"/>
    <x v="2"/>
    <x v="4"/>
    <x v="0"/>
    <x v="11"/>
    <x v="6"/>
    <n v="482"/>
    <x v="948"/>
    <x v="985"/>
    <n v="0.19795643153526973"/>
    <x v="2"/>
    <x v="3"/>
    <n v="2023"/>
    <x v="872"/>
    <n v="578.40000000000009"/>
    <x v="1"/>
    <n v="1546.34"/>
    <x v="1"/>
    <x v="1"/>
    <x v="2"/>
  </r>
  <r>
    <s v="ORD1988"/>
    <d v="2023-07-01T00:00:00"/>
    <x v="2"/>
    <x v="0"/>
    <x v="3"/>
    <x v="4"/>
    <x v="8"/>
    <n v="3697"/>
    <x v="949"/>
    <x v="986"/>
    <n v="0.11129835001352449"/>
    <x v="2"/>
    <x v="10"/>
    <n v="2023"/>
    <x v="873"/>
    <n v="1109.1000000000004"/>
    <x v="1"/>
    <n v="3285.5299999999997"/>
    <x v="2"/>
    <x v="1"/>
    <x v="2"/>
  </r>
  <r>
    <s v="ORD1989"/>
    <d v="2023-03-23T00:00:00"/>
    <x v="0"/>
    <x v="3"/>
    <x v="1"/>
    <x v="5"/>
    <x v="2"/>
    <n v="764"/>
    <x v="433"/>
    <x v="987"/>
    <n v="0.21284904013961606"/>
    <x v="2"/>
    <x v="4"/>
    <n v="2023"/>
    <x v="874"/>
    <n v="1375.2000000000003"/>
    <x v="0"/>
    <n v="3608.3"/>
    <x v="1"/>
    <x v="0"/>
    <x v="2"/>
  </r>
  <r>
    <s v="ORD1990"/>
    <d v="2023-07-31T00:00:00"/>
    <x v="2"/>
    <x v="4"/>
    <x v="2"/>
    <x v="6"/>
    <x v="1"/>
    <n v="2651"/>
    <x v="950"/>
    <x v="988"/>
    <n v="0.22464503960769522"/>
    <x v="1"/>
    <x v="10"/>
    <n v="2023"/>
    <x v="875"/>
    <n v="3976.5"/>
    <x v="1"/>
    <n v="10277.33"/>
    <x v="1"/>
    <x v="1"/>
    <x v="1"/>
  </r>
  <r>
    <s v="ORD1991"/>
    <d v="2023-04-15T00:00:00"/>
    <x v="0"/>
    <x v="0"/>
    <x v="3"/>
    <x v="4"/>
    <x v="8"/>
    <n v="4923"/>
    <x v="951"/>
    <x v="989"/>
    <n v="0.24216940889701402"/>
    <x v="2"/>
    <x v="11"/>
    <n v="2023"/>
    <x v="876"/>
    <n v="1476.9"/>
    <x v="1"/>
    <n v="3730.8"/>
    <x v="2"/>
    <x v="0"/>
    <x v="2"/>
  </r>
  <r>
    <s v="ORD1992"/>
    <d v="2023-01-24T00:00:00"/>
    <x v="0"/>
    <x v="3"/>
    <x v="1"/>
    <x v="10"/>
    <x v="0"/>
    <n v="2036"/>
    <x v="952"/>
    <x v="990"/>
    <n v="0.23552185658153241"/>
    <x v="1"/>
    <x v="6"/>
    <n v="2023"/>
    <x v="877"/>
    <n v="4886.4000000000015"/>
    <x v="0"/>
    <n v="12451.82"/>
    <x v="0"/>
    <x v="0"/>
    <x v="1"/>
  </r>
  <r>
    <s v="ORD1993"/>
    <d v="2023-08-31T00:00:00"/>
    <x v="1"/>
    <x v="4"/>
    <x v="0"/>
    <x v="0"/>
    <x v="6"/>
    <n v="4271"/>
    <x v="953"/>
    <x v="991"/>
    <n v="0.10492449075158042"/>
    <x v="1"/>
    <x v="9"/>
    <n v="2023"/>
    <x v="878"/>
    <n v="5125.2000000000007"/>
    <x v="1"/>
    <n v="15291.470000000001"/>
    <x v="1"/>
    <x v="0"/>
    <x v="1"/>
  </r>
  <r>
    <s v="ORD1994"/>
    <d v="2023-10-26T00:00:00"/>
    <x v="2"/>
    <x v="0"/>
    <x v="1"/>
    <x v="15"/>
    <x v="8"/>
    <n v="1953"/>
    <x v="954"/>
    <x v="992"/>
    <n v="0.13260624679979519"/>
    <x v="2"/>
    <x v="1"/>
    <n v="2023"/>
    <x v="879"/>
    <n v="585.90000000000009"/>
    <x v="1"/>
    <n v="1694.02"/>
    <x v="2"/>
    <x v="1"/>
    <x v="2"/>
  </r>
  <r>
    <s v="ORD1995"/>
    <d v="2023-06-27T00:00:00"/>
    <x v="0"/>
    <x v="0"/>
    <x v="3"/>
    <x v="7"/>
    <x v="7"/>
    <n v="1705"/>
    <x v="955"/>
    <x v="993"/>
    <n v="0.13012023460410557"/>
    <x v="2"/>
    <x v="2"/>
    <n v="2023"/>
    <x v="754"/>
    <n v="1023"/>
    <x v="1"/>
    <n v="2966.29"/>
    <x v="2"/>
    <x v="0"/>
    <x v="2"/>
  </r>
  <r>
    <s v="ORD1996"/>
    <d v="2023-12-23T00:00:00"/>
    <x v="3"/>
    <x v="3"/>
    <x v="0"/>
    <x v="16"/>
    <x v="5"/>
    <n v="2296"/>
    <x v="956"/>
    <x v="994"/>
    <n v="0.23228845196615233"/>
    <x v="1"/>
    <x v="7"/>
    <n v="2023"/>
    <x v="371"/>
    <n v="4821.6000000000022"/>
    <x v="0"/>
    <n v="12338.66"/>
    <x v="0"/>
    <x v="0"/>
    <x v="1"/>
  </r>
  <r>
    <s v="ORD1997"/>
    <d v="2023-04-27T00:00:00"/>
    <x v="3"/>
    <x v="2"/>
    <x v="3"/>
    <x v="4"/>
    <x v="5"/>
    <n v="4199"/>
    <x v="957"/>
    <x v="995"/>
    <n v="0.24461572483244309"/>
    <x v="0"/>
    <x v="11"/>
    <n v="2023"/>
    <x v="880"/>
    <n v="8817.9000000000015"/>
    <x v="0"/>
    <n v="22203.01"/>
    <x v="0"/>
    <x v="0"/>
    <x v="0"/>
  </r>
  <r>
    <s v="ORD1998"/>
    <d v="2023-11-06T00:00:00"/>
    <x v="3"/>
    <x v="4"/>
    <x v="3"/>
    <x v="12"/>
    <x v="0"/>
    <n v="746"/>
    <x v="958"/>
    <x v="996"/>
    <n v="0.13163538873994637"/>
    <x v="2"/>
    <x v="3"/>
    <n v="2023"/>
    <x v="881"/>
    <n v="1790.4000000000005"/>
    <x v="0"/>
    <n v="5182.3999999999996"/>
    <x v="0"/>
    <x v="0"/>
    <x v="2"/>
  </r>
  <r>
    <s v="ORD1999"/>
    <d v="2023-11-03T00:00:00"/>
    <x v="1"/>
    <x v="0"/>
    <x v="0"/>
    <x v="9"/>
    <x v="4"/>
    <n v="1800"/>
    <x v="959"/>
    <x v="997"/>
    <n v="9.8227777777777775E-2"/>
    <x v="2"/>
    <x v="3"/>
    <n v="2023"/>
    <x v="882"/>
    <n v="1620"/>
    <x v="1"/>
    <n v="4869.57"/>
    <x v="2"/>
    <x v="0"/>
    <x v="2"/>
  </r>
  <r>
    <s v="ORD2000"/>
    <d v="2023-06-30T00:00:00"/>
    <x v="1"/>
    <x v="3"/>
    <x v="3"/>
    <x v="14"/>
    <x v="1"/>
    <n v="2315"/>
    <x v="960"/>
    <x v="998"/>
    <n v="0.23703412526997841"/>
    <x v="1"/>
    <x v="2"/>
    <n v="2023"/>
    <x v="883"/>
    <n v="3472.5"/>
    <x v="1"/>
    <n v="8831.33"/>
    <x v="1"/>
    <x v="0"/>
    <x v="1"/>
  </r>
  <r>
    <s v="ORD2001"/>
    <d v="2023-04-10T00:00:00"/>
    <x v="3"/>
    <x v="2"/>
    <x v="2"/>
    <x v="8"/>
    <x v="7"/>
    <n v="1757"/>
    <x v="961"/>
    <x v="999"/>
    <n v="0.11899829254410929"/>
    <x v="2"/>
    <x v="11"/>
    <n v="2023"/>
    <x v="884"/>
    <n v="1054.2000000000003"/>
    <x v="1"/>
    <n v="3095.8399999999997"/>
    <x v="2"/>
    <x v="0"/>
    <x v="2"/>
  </r>
  <r>
    <s v="ORD2002"/>
    <d v="2023-03-26T00:00:00"/>
    <x v="2"/>
    <x v="2"/>
    <x v="0"/>
    <x v="16"/>
    <x v="5"/>
    <n v="1508"/>
    <x v="962"/>
    <x v="1000"/>
    <n v="8.6631299734748007E-2"/>
    <x v="1"/>
    <x v="4"/>
    <n v="2023"/>
    <x v="885"/>
    <n v="3166.8000000000011"/>
    <x v="0"/>
    <n v="9641.52"/>
    <x v="0"/>
    <x v="1"/>
    <x v="1"/>
  </r>
  <r>
    <s v="ORD2003"/>
    <d v="2023-06-25T00:00:00"/>
    <x v="1"/>
    <x v="0"/>
    <x v="0"/>
    <x v="16"/>
    <x v="3"/>
    <n v="300"/>
    <x v="963"/>
    <x v="1001"/>
    <n v="0.11118148148148148"/>
    <x v="2"/>
    <x v="2"/>
    <n v="2023"/>
    <x v="886"/>
    <n v="810"/>
    <x v="0"/>
    <n v="2399.81"/>
    <x v="0"/>
    <x v="0"/>
    <x v="2"/>
  </r>
  <r>
    <s v="ORD2004"/>
    <d v="2023-01-02T00:00:00"/>
    <x v="0"/>
    <x v="4"/>
    <x v="3"/>
    <x v="4"/>
    <x v="5"/>
    <n v="2742"/>
    <x v="964"/>
    <x v="1002"/>
    <n v="0.23079712410128164"/>
    <x v="1"/>
    <x v="6"/>
    <n v="2023"/>
    <x v="887"/>
    <n v="5758.2000000000007"/>
    <x v="0"/>
    <n v="14764.08"/>
    <x v="0"/>
    <x v="0"/>
    <x v="1"/>
  </r>
  <r>
    <s v="ORD2005"/>
    <d v="2023-05-20T00:00:00"/>
    <x v="2"/>
    <x v="2"/>
    <x v="0"/>
    <x v="16"/>
    <x v="1"/>
    <n v="3865"/>
    <x v="965"/>
    <x v="1003"/>
    <n v="0.14508150064683051"/>
    <x v="1"/>
    <x v="0"/>
    <n v="2023"/>
    <x v="888"/>
    <n v="5797.5"/>
    <x v="1"/>
    <n v="16521.300000000003"/>
    <x v="1"/>
    <x v="1"/>
    <x v="1"/>
  </r>
  <r>
    <s v="ORD2006"/>
    <d v="2023-03-15T00:00:00"/>
    <x v="0"/>
    <x v="4"/>
    <x v="0"/>
    <x v="9"/>
    <x v="8"/>
    <n v="705"/>
    <x v="966"/>
    <x v="1004"/>
    <n v="0.23914893617021277"/>
    <x v="2"/>
    <x v="4"/>
    <n v="2023"/>
    <x v="889"/>
    <n v="211.50000000000006"/>
    <x v="1"/>
    <n v="536.4"/>
    <x v="2"/>
    <x v="0"/>
    <x v="2"/>
  </r>
  <r>
    <s v="ORD2007"/>
    <d v="2023-04-10T00:00:00"/>
    <x v="1"/>
    <x v="4"/>
    <x v="3"/>
    <x v="12"/>
    <x v="3"/>
    <n v="1656"/>
    <x v="967"/>
    <x v="1005"/>
    <n v="0.12298242082662372"/>
    <x v="1"/>
    <x v="11"/>
    <n v="2023"/>
    <x v="890"/>
    <n v="4471.2000000000007"/>
    <x v="0"/>
    <n v="13071.07"/>
    <x v="0"/>
    <x v="0"/>
    <x v="1"/>
  </r>
  <r>
    <s v="ORD2008"/>
    <d v="2023-04-30T00:00:00"/>
    <x v="1"/>
    <x v="1"/>
    <x v="1"/>
    <x v="10"/>
    <x v="7"/>
    <n v="2709"/>
    <x v="360"/>
    <x v="1006"/>
    <n v="0.13941860465116279"/>
    <x v="2"/>
    <x v="11"/>
    <n v="2023"/>
    <x v="891"/>
    <n v="1625.4"/>
    <x v="1"/>
    <n v="4662.63"/>
    <x v="2"/>
    <x v="0"/>
    <x v="2"/>
  </r>
  <r>
    <s v="ORD2009"/>
    <d v="2023-06-21T00:00:00"/>
    <x v="0"/>
    <x v="0"/>
    <x v="0"/>
    <x v="9"/>
    <x v="6"/>
    <n v="2329"/>
    <x v="968"/>
    <x v="1007"/>
    <n v="0.15781665951051954"/>
    <x v="2"/>
    <x v="2"/>
    <n v="2023"/>
    <x v="892"/>
    <n v="2794.8"/>
    <x v="1"/>
    <n v="7845.7800000000007"/>
    <x v="1"/>
    <x v="0"/>
    <x v="2"/>
  </r>
  <r>
    <s v="ORD2010"/>
    <d v="2023-04-12T00:00:00"/>
    <x v="2"/>
    <x v="3"/>
    <x v="1"/>
    <x v="15"/>
    <x v="4"/>
    <n v="4357"/>
    <x v="969"/>
    <x v="1008"/>
    <n v="0.10957310075740188"/>
    <x v="1"/>
    <x v="11"/>
    <n v="2023"/>
    <x v="819"/>
    <n v="3921.3000000000011"/>
    <x v="1"/>
    <n v="11638.77"/>
    <x v="2"/>
    <x v="1"/>
    <x v="1"/>
  </r>
  <r>
    <s v="ORD2011"/>
    <d v="2023-07-15T00:00:00"/>
    <x v="0"/>
    <x v="4"/>
    <x v="1"/>
    <x v="2"/>
    <x v="6"/>
    <n v="4407"/>
    <x v="970"/>
    <x v="1009"/>
    <n v="0.24988938053097345"/>
    <x v="1"/>
    <x v="10"/>
    <n v="2023"/>
    <x v="893"/>
    <n v="5288.4000000000015"/>
    <x v="1"/>
    <n v="13222.95"/>
    <x v="1"/>
    <x v="0"/>
    <x v="1"/>
  </r>
  <r>
    <s v="ORD2012"/>
    <d v="2023-08-24T00:00:00"/>
    <x v="2"/>
    <x v="1"/>
    <x v="2"/>
    <x v="3"/>
    <x v="1"/>
    <n v="4815"/>
    <x v="971"/>
    <x v="1010"/>
    <n v="0.16548868120456905"/>
    <x v="0"/>
    <x v="9"/>
    <n v="2023"/>
    <x v="894"/>
    <n v="7222.5"/>
    <x v="1"/>
    <n v="20090.86"/>
    <x v="1"/>
    <x v="1"/>
    <x v="0"/>
  </r>
  <r>
    <s v="ORD2013"/>
    <d v="2023-05-06T00:00:00"/>
    <x v="0"/>
    <x v="3"/>
    <x v="0"/>
    <x v="9"/>
    <x v="3"/>
    <n v="2481"/>
    <x v="972"/>
    <x v="1011"/>
    <n v="0.10783375878901877"/>
    <x v="0"/>
    <x v="0"/>
    <n v="2023"/>
    <x v="895"/>
    <n v="6698.7000000000007"/>
    <x v="0"/>
    <n v="19921.18"/>
    <x v="0"/>
    <x v="0"/>
    <x v="0"/>
  </r>
  <r>
    <s v="ORD2014"/>
    <d v="2023-10-13T00:00:00"/>
    <x v="2"/>
    <x v="3"/>
    <x v="2"/>
    <x v="8"/>
    <x v="4"/>
    <n v="4769"/>
    <x v="973"/>
    <x v="1012"/>
    <n v="0.14431397218144962"/>
    <x v="1"/>
    <x v="1"/>
    <n v="2023"/>
    <x v="896"/>
    <n v="4292.1000000000004"/>
    <x v="1"/>
    <n v="12242.300000000001"/>
    <x v="2"/>
    <x v="1"/>
    <x v="1"/>
  </r>
  <r>
    <s v="ORD2015"/>
    <d v="2023-06-28T00:00:00"/>
    <x v="2"/>
    <x v="2"/>
    <x v="1"/>
    <x v="2"/>
    <x v="4"/>
    <n v="4725"/>
    <x v="974"/>
    <x v="1013"/>
    <n v="0.16747583774250441"/>
    <x v="1"/>
    <x v="2"/>
    <n v="2023"/>
    <x v="897"/>
    <n v="4252.5"/>
    <x v="1"/>
    <n v="11801.03"/>
    <x v="2"/>
    <x v="1"/>
    <x v="1"/>
  </r>
  <r>
    <s v="ORD2016"/>
    <d v="2023-09-03T00:00:00"/>
    <x v="2"/>
    <x v="2"/>
    <x v="0"/>
    <x v="16"/>
    <x v="5"/>
    <n v="1616"/>
    <x v="975"/>
    <x v="1014"/>
    <n v="8.3150636492220653E-2"/>
    <x v="1"/>
    <x v="5"/>
    <n v="2023"/>
    <x v="898"/>
    <n v="3393.6000000000013"/>
    <x v="0"/>
    <n v="10371.4"/>
    <x v="0"/>
    <x v="1"/>
    <x v="1"/>
  </r>
  <r>
    <s v="ORD2017"/>
    <d v="2023-04-20T00:00:00"/>
    <x v="2"/>
    <x v="3"/>
    <x v="2"/>
    <x v="13"/>
    <x v="7"/>
    <n v="2599"/>
    <x v="976"/>
    <x v="1015"/>
    <n v="0.16444594074644092"/>
    <x v="2"/>
    <x v="11"/>
    <n v="2023"/>
    <x v="899"/>
    <n v="1559.4"/>
    <x v="1"/>
    <n v="4343.21"/>
    <x v="2"/>
    <x v="1"/>
    <x v="2"/>
  </r>
  <r>
    <s v="ORD2018"/>
    <d v="2023-06-11T00:00:00"/>
    <x v="2"/>
    <x v="0"/>
    <x v="1"/>
    <x v="1"/>
    <x v="0"/>
    <n v="882"/>
    <x v="977"/>
    <x v="1016"/>
    <n v="0.14133645124716554"/>
    <x v="2"/>
    <x v="2"/>
    <n v="2023"/>
    <x v="900"/>
    <n v="2116.8000000000002"/>
    <x v="0"/>
    <n v="6058.73"/>
    <x v="0"/>
    <x v="1"/>
    <x v="2"/>
  </r>
  <r>
    <s v="ORD2019"/>
    <d v="2023-11-01T00:00:00"/>
    <x v="1"/>
    <x v="2"/>
    <x v="3"/>
    <x v="4"/>
    <x v="3"/>
    <n v="1010"/>
    <x v="978"/>
    <x v="1017"/>
    <n v="0.14634983498349835"/>
    <x v="2"/>
    <x v="3"/>
    <n v="2023"/>
    <x v="901"/>
    <n v="2727"/>
    <x v="0"/>
    <n v="7759.6799999999994"/>
    <x v="0"/>
    <x v="0"/>
    <x v="2"/>
  </r>
  <r>
    <s v="ORD2020"/>
    <d v="2023-05-26T00:00:00"/>
    <x v="2"/>
    <x v="2"/>
    <x v="3"/>
    <x v="14"/>
    <x v="7"/>
    <n v="2770"/>
    <x v="979"/>
    <x v="1018"/>
    <n v="0.1871028880866426"/>
    <x v="2"/>
    <x v="0"/>
    <n v="2023"/>
    <x v="902"/>
    <n v="1662.0000000000005"/>
    <x v="1"/>
    <n v="4503.4500000000007"/>
    <x v="2"/>
    <x v="1"/>
    <x v="2"/>
  </r>
  <r>
    <s v="ORD2021"/>
    <d v="2023-04-24T00:00:00"/>
    <x v="0"/>
    <x v="1"/>
    <x v="2"/>
    <x v="3"/>
    <x v="2"/>
    <n v="3964"/>
    <x v="14"/>
    <x v="1019"/>
    <n v="0.12020055499495459"/>
    <x v="0"/>
    <x v="11"/>
    <n v="2023"/>
    <x v="439"/>
    <n v="7135.2000000000007"/>
    <x v="0"/>
    <n v="20925.149999999998"/>
    <x v="1"/>
    <x v="0"/>
    <x v="0"/>
  </r>
  <r>
    <s v="ORD2022"/>
    <d v="2023-11-25T00:00:00"/>
    <x v="0"/>
    <x v="2"/>
    <x v="2"/>
    <x v="6"/>
    <x v="0"/>
    <n v="1833"/>
    <x v="980"/>
    <x v="1020"/>
    <n v="0.10762684124386251"/>
    <x v="1"/>
    <x v="3"/>
    <n v="2023"/>
    <x v="903"/>
    <n v="4399.2000000000007"/>
    <x v="0"/>
    <n v="13085.759999999998"/>
    <x v="0"/>
    <x v="0"/>
    <x v="1"/>
  </r>
  <r>
    <s v="ORD2023"/>
    <d v="2023-08-03T00:00:00"/>
    <x v="0"/>
    <x v="3"/>
    <x v="2"/>
    <x v="8"/>
    <x v="4"/>
    <n v="4167"/>
    <x v="981"/>
    <x v="1021"/>
    <n v="0.10445884329253659"/>
    <x v="1"/>
    <x v="9"/>
    <n v="2023"/>
    <x v="904"/>
    <n v="3750.3000000000011"/>
    <x v="1"/>
    <n v="11195.16"/>
    <x v="2"/>
    <x v="0"/>
    <x v="1"/>
  </r>
  <r>
    <s v="ORD2024"/>
    <d v="2023-06-16T00:00:00"/>
    <x v="3"/>
    <x v="4"/>
    <x v="0"/>
    <x v="11"/>
    <x v="4"/>
    <n v="2119"/>
    <x v="982"/>
    <x v="1022"/>
    <n v="0.11393739185150227"/>
    <x v="2"/>
    <x v="2"/>
    <n v="2023"/>
    <x v="905"/>
    <n v="1907.1000000000004"/>
    <x v="1"/>
    <n v="5632.7"/>
    <x v="2"/>
    <x v="0"/>
    <x v="2"/>
  </r>
  <r>
    <s v="ORD2025"/>
    <d v="2023-05-15T00:00:00"/>
    <x v="1"/>
    <x v="2"/>
    <x v="3"/>
    <x v="4"/>
    <x v="1"/>
    <n v="566"/>
    <x v="983"/>
    <x v="1023"/>
    <n v="0.24698233215547705"/>
    <x v="2"/>
    <x v="0"/>
    <n v="2023"/>
    <x v="906"/>
    <n v="849"/>
    <x v="1"/>
    <n v="2131.04"/>
    <x v="1"/>
    <x v="0"/>
    <x v="2"/>
  </r>
  <r>
    <s v="ORD2026"/>
    <d v="2023-05-13T00:00:00"/>
    <x v="1"/>
    <x v="1"/>
    <x v="2"/>
    <x v="8"/>
    <x v="1"/>
    <n v="3212"/>
    <x v="984"/>
    <x v="1024"/>
    <n v="0.17829701120797009"/>
    <x v="1"/>
    <x v="0"/>
    <n v="2023"/>
    <x v="907"/>
    <n v="4818.0000000000018"/>
    <x v="1"/>
    <n v="13196.550000000001"/>
    <x v="1"/>
    <x v="0"/>
    <x v="1"/>
  </r>
  <r>
    <s v="ORD2027"/>
    <d v="2023-04-27T00:00:00"/>
    <x v="1"/>
    <x v="3"/>
    <x v="2"/>
    <x v="8"/>
    <x v="5"/>
    <n v="1970"/>
    <x v="985"/>
    <x v="1025"/>
    <n v="0.19919434372733863"/>
    <x v="1"/>
    <x v="11"/>
    <n v="2023"/>
    <x v="908"/>
    <n v="4137"/>
    <x v="0"/>
    <n v="11043.109999999999"/>
    <x v="0"/>
    <x v="0"/>
    <x v="1"/>
  </r>
  <r>
    <s v="ORD2028"/>
    <d v="2023-08-29T00:00:00"/>
    <x v="1"/>
    <x v="3"/>
    <x v="2"/>
    <x v="8"/>
    <x v="5"/>
    <n v="3176"/>
    <x v="986"/>
    <x v="1026"/>
    <n v="0.16163098236775819"/>
    <x v="0"/>
    <x v="9"/>
    <n v="2023"/>
    <x v="909"/>
    <n v="6669.6000000000022"/>
    <x v="0"/>
    <n v="18638.62"/>
    <x v="0"/>
    <x v="0"/>
    <x v="0"/>
  </r>
  <r>
    <s v="ORD2029"/>
    <d v="2023-05-26T00:00:00"/>
    <x v="0"/>
    <x v="4"/>
    <x v="3"/>
    <x v="7"/>
    <x v="7"/>
    <n v="877"/>
    <x v="987"/>
    <x v="1027"/>
    <n v="8.0125427594070694E-2"/>
    <x v="2"/>
    <x v="0"/>
    <n v="2023"/>
    <x v="910"/>
    <n v="526.20000000000005"/>
    <x v="1"/>
    <n v="1613.46"/>
    <x v="2"/>
    <x v="0"/>
    <x v="2"/>
  </r>
  <r>
    <s v="ORD2030"/>
    <d v="2023-07-05T00:00:00"/>
    <x v="1"/>
    <x v="3"/>
    <x v="2"/>
    <x v="10"/>
    <x v="8"/>
    <n v="1982"/>
    <x v="988"/>
    <x v="1028"/>
    <n v="0.11701311806256307"/>
    <x v="2"/>
    <x v="10"/>
    <n v="2023"/>
    <x v="911"/>
    <n v="594.60000000000014"/>
    <x v="1"/>
    <n v="1750.08"/>
    <x v="2"/>
    <x v="0"/>
    <x v="2"/>
  </r>
  <r>
    <s v="ORD2031"/>
    <d v="2023-05-31T00:00:00"/>
    <x v="3"/>
    <x v="3"/>
    <x v="0"/>
    <x v="0"/>
    <x v="4"/>
    <n v="4181"/>
    <x v="989"/>
    <x v="1029"/>
    <n v="0.17230008769831778"/>
    <x v="1"/>
    <x v="0"/>
    <n v="2023"/>
    <x v="912"/>
    <n v="3762.9000000000015"/>
    <x v="1"/>
    <n v="10381.84"/>
    <x v="2"/>
    <x v="0"/>
    <x v="1"/>
  </r>
  <r>
    <s v="ORD2032"/>
    <d v="2023-09-08T00:00:00"/>
    <x v="2"/>
    <x v="2"/>
    <x v="3"/>
    <x v="12"/>
    <x v="1"/>
    <n v="1617"/>
    <x v="990"/>
    <x v="1030"/>
    <n v="0.21225726654298083"/>
    <x v="2"/>
    <x v="5"/>
    <n v="2023"/>
    <x v="913"/>
    <n v="2425.5000000000009"/>
    <x v="1"/>
    <n v="6368.9"/>
    <x v="1"/>
    <x v="1"/>
    <x v="2"/>
  </r>
  <r>
    <s v="ORD2033"/>
    <d v="2023-08-18T00:00:00"/>
    <x v="0"/>
    <x v="3"/>
    <x v="1"/>
    <x v="5"/>
    <x v="7"/>
    <n v="1409"/>
    <x v="991"/>
    <x v="1031"/>
    <n v="0.15121717530163237"/>
    <x v="2"/>
    <x v="9"/>
    <n v="2023"/>
    <x v="690"/>
    <n v="845.40000000000009"/>
    <x v="1"/>
    <n v="2391.87"/>
    <x v="2"/>
    <x v="0"/>
    <x v="2"/>
  </r>
  <r>
    <s v="ORD2034"/>
    <d v="2023-11-19T00:00:00"/>
    <x v="1"/>
    <x v="4"/>
    <x v="2"/>
    <x v="13"/>
    <x v="2"/>
    <n v="3006"/>
    <x v="992"/>
    <x v="1032"/>
    <n v="0.12851851851851853"/>
    <x v="1"/>
    <x v="3"/>
    <n v="2023"/>
    <x v="914"/>
    <n v="5410.8000000000011"/>
    <x v="0"/>
    <n v="15718.04"/>
    <x v="1"/>
    <x v="0"/>
    <x v="1"/>
  </r>
  <r>
    <s v="ORD2035"/>
    <d v="2023-05-09T00:00:00"/>
    <x v="0"/>
    <x v="2"/>
    <x v="2"/>
    <x v="3"/>
    <x v="1"/>
    <n v="320"/>
    <x v="993"/>
    <x v="1033"/>
    <n v="0.20198750000000001"/>
    <x v="2"/>
    <x v="0"/>
    <n v="2023"/>
    <x v="915"/>
    <n v="480"/>
    <x v="1"/>
    <n v="1276.82"/>
    <x v="1"/>
    <x v="0"/>
    <x v="2"/>
  </r>
  <r>
    <s v="ORD2036"/>
    <d v="2023-10-20T00:00:00"/>
    <x v="2"/>
    <x v="0"/>
    <x v="0"/>
    <x v="9"/>
    <x v="7"/>
    <n v="532"/>
    <x v="994"/>
    <x v="1034"/>
    <n v="0.16656015037593985"/>
    <x v="2"/>
    <x v="1"/>
    <n v="2023"/>
    <x v="916"/>
    <n v="319.20000000000005"/>
    <x v="1"/>
    <n v="886.78"/>
    <x v="2"/>
    <x v="1"/>
    <x v="2"/>
  </r>
  <r>
    <s v="ORD2037"/>
    <d v="2023-05-23T00:00:00"/>
    <x v="3"/>
    <x v="3"/>
    <x v="1"/>
    <x v="1"/>
    <x v="5"/>
    <n v="4097"/>
    <x v="995"/>
    <x v="1035"/>
    <n v="0.11605390703999442"/>
    <x v="0"/>
    <x v="0"/>
    <n v="2023"/>
    <x v="917"/>
    <n v="8603.7000000000044"/>
    <x v="0"/>
    <n v="25350.69"/>
    <x v="0"/>
    <x v="0"/>
    <x v="0"/>
  </r>
  <r>
    <s v="ORD2038"/>
    <d v="2023-06-01T00:00:00"/>
    <x v="0"/>
    <x v="3"/>
    <x v="3"/>
    <x v="4"/>
    <x v="8"/>
    <n v="2311"/>
    <x v="996"/>
    <x v="1036"/>
    <n v="0.13090869753353526"/>
    <x v="2"/>
    <x v="2"/>
    <n v="2023"/>
    <x v="918"/>
    <n v="693.30000000000018"/>
    <x v="1"/>
    <n v="2008.47"/>
    <x v="2"/>
    <x v="0"/>
    <x v="2"/>
  </r>
  <r>
    <s v="ORD2039"/>
    <d v="2023-11-30T00:00:00"/>
    <x v="3"/>
    <x v="4"/>
    <x v="1"/>
    <x v="15"/>
    <x v="4"/>
    <n v="1764"/>
    <x v="997"/>
    <x v="1037"/>
    <n v="0.10714285714285714"/>
    <x v="2"/>
    <x v="3"/>
    <n v="2023"/>
    <x v="919"/>
    <n v="1587.6000000000004"/>
    <x v="1"/>
    <n v="4725"/>
    <x v="2"/>
    <x v="0"/>
    <x v="2"/>
  </r>
  <r>
    <s v="ORD2040"/>
    <d v="2023-03-28T00:00:00"/>
    <x v="2"/>
    <x v="4"/>
    <x v="2"/>
    <x v="8"/>
    <x v="1"/>
    <n v="4185"/>
    <x v="998"/>
    <x v="1038"/>
    <n v="0.14268339307048986"/>
    <x v="0"/>
    <x v="4"/>
    <n v="2023"/>
    <x v="920"/>
    <n v="6277.5"/>
    <x v="1"/>
    <n v="17939.349999999999"/>
    <x v="1"/>
    <x v="1"/>
    <x v="0"/>
  </r>
  <r>
    <s v="ORD2041"/>
    <d v="2023-12-22T00:00:00"/>
    <x v="3"/>
    <x v="1"/>
    <x v="3"/>
    <x v="12"/>
    <x v="2"/>
    <n v="3262"/>
    <x v="999"/>
    <x v="1039"/>
    <n v="0.211211935417944"/>
    <x v="1"/>
    <x v="7"/>
    <n v="2023"/>
    <x v="921"/>
    <n v="5871.6000000000022"/>
    <x v="0"/>
    <n v="15438.16"/>
    <x v="1"/>
    <x v="0"/>
    <x v="1"/>
  </r>
  <r>
    <s v="ORD2042"/>
    <d v="2023-03-17T00:00:00"/>
    <x v="0"/>
    <x v="2"/>
    <x v="3"/>
    <x v="4"/>
    <x v="0"/>
    <n v="2753"/>
    <x v="1000"/>
    <x v="1040"/>
    <n v="0.23920405012713403"/>
    <x v="0"/>
    <x v="4"/>
    <n v="2023"/>
    <x v="922"/>
    <n v="6607.2000000000007"/>
    <x v="0"/>
    <n v="16755.77"/>
    <x v="0"/>
    <x v="0"/>
    <x v="0"/>
  </r>
  <r>
    <s v="ORD2043"/>
    <d v="2023-03-26T00:00:00"/>
    <x v="0"/>
    <x v="1"/>
    <x v="1"/>
    <x v="1"/>
    <x v="2"/>
    <n v="2462"/>
    <x v="1001"/>
    <x v="1041"/>
    <n v="0.22452274573517467"/>
    <x v="1"/>
    <x v="4"/>
    <n v="2023"/>
    <x v="923"/>
    <n v="4431.6000000000004"/>
    <x v="0"/>
    <n v="11455.35"/>
    <x v="1"/>
    <x v="0"/>
    <x v="1"/>
  </r>
  <r>
    <s v="ORD2044"/>
    <d v="2023-04-04T00:00:00"/>
    <x v="1"/>
    <x v="1"/>
    <x v="0"/>
    <x v="16"/>
    <x v="8"/>
    <n v="2975"/>
    <x v="1002"/>
    <x v="1042"/>
    <n v="0.24403697478991596"/>
    <x v="2"/>
    <x v="11"/>
    <n v="2023"/>
    <x v="924"/>
    <n v="892.5"/>
    <x v="1"/>
    <n v="2248.9900000000002"/>
    <x v="2"/>
    <x v="0"/>
    <x v="2"/>
  </r>
  <r>
    <s v="ORD2045"/>
    <d v="2023-04-15T00:00:00"/>
    <x v="0"/>
    <x v="0"/>
    <x v="0"/>
    <x v="0"/>
    <x v="5"/>
    <n v="1600"/>
    <x v="1003"/>
    <x v="1043"/>
    <n v="8.2382142857142848E-2"/>
    <x v="1"/>
    <x v="11"/>
    <n v="2023"/>
    <x v="925"/>
    <n v="3360"/>
    <x v="0"/>
    <n v="10277.32"/>
    <x v="0"/>
    <x v="0"/>
    <x v="1"/>
  </r>
  <r>
    <s v="ORD2046"/>
    <d v="2023-06-29T00:00:00"/>
    <x v="2"/>
    <x v="1"/>
    <x v="1"/>
    <x v="15"/>
    <x v="1"/>
    <n v="3804"/>
    <x v="1004"/>
    <x v="1044"/>
    <n v="0.13808464773922186"/>
    <x v="1"/>
    <x v="2"/>
    <n v="2023"/>
    <x v="926"/>
    <n v="5706.0000000000018"/>
    <x v="1"/>
    <n v="16393.63"/>
    <x v="1"/>
    <x v="1"/>
    <x v="1"/>
  </r>
  <r>
    <s v="ORD2047"/>
    <d v="2023-05-01T00:00:00"/>
    <x v="3"/>
    <x v="3"/>
    <x v="3"/>
    <x v="14"/>
    <x v="2"/>
    <n v="859"/>
    <x v="1005"/>
    <x v="1045"/>
    <n v="0.19635428793170354"/>
    <x v="2"/>
    <x v="0"/>
    <n v="2023"/>
    <x v="422"/>
    <n v="1546.2000000000003"/>
    <x v="0"/>
    <n v="4141.99"/>
    <x v="1"/>
    <x v="0"/>
    <x v="2"/>
  </r>
  <r>
    <s v="ORD2048"/>
    <d v="2023-09-18T00:00:00"/>
    <x v="2"/>
    <x v="0"/>
    <x v="1"/>
    <x v="5"/>
    <x v="3"/>
    <n v="2984"/>
    <x v="1006"/>
    <x v="1046"/>
    <n v="0.17120941316651772"/>
    <x v="0"/>
    <x v="5"/>
    <n v="2023"/>
    <x v="501"/>
    <n v="8056.8000000000029"/>
    <x v="0"/>
    <n v="22258"/>
    <x v="0"/>
    <x v="1"/>
    <x v="0"/>
  </r>
  <r>
    <s v="ORD2049"/>
    <d v="2023-04-04T00:00:00"/>
    <x v="2"/>
    <x v="3"/>
    <x v="2"/>
    <x v="3"/>
    <x v="3"/>
    <n v="2618"/>
    <x v="1007"/>
    <x v="1047"/>
    <n v="0.18932051608522199"/>
    <x v="0"/>
    <x v="11"/>
    <n v="2023"/>
    <x v="927"/>
    <n v="7068.6000000000022"/>
    <x v="0"/>
    <n v="19101.23"/>
    <x v="0"/>
    <x v="1"/>
    <x v="0"/>
  </r>
  <r>
    <s v="ORD2050"/>
    <d v="2023-03-10T00:00:00"/>
    <x v="3"/>
    <x v="4"/>
    <x v="1"/>
    <x v="15"/>
    <x v="3"/>
    <n v="2634"/>
    <x v="1008"/>
    <x v="1048"/>
    <n v="0.18579136083691891"/>
    <x v="0"/>
    <x v="4"/>
    <n v="2023"/>
    <x v="928"/>
    <n v="7111.7999999999993"/>
    <x v="0"/>
    <n v="19301.63"/>
    <x v="0"/>
    <x v="0"/>
    <x v="0"/>
  </r>
  <r>
    <s v="ORD2051"/>
    <d v="2023-11-28T00:00:00"/>
    <x v="2"/>
    <x v="1"/>
    <x v="2"/>
    <x v="3"/>
    <x v="7"/>
    <n v="411"/>
    <x v="1009"/>
    <x v="1049"/>
    <n v="0.17285888077858882"/>
    <x v="2"/>
    <x v="3"/>
    <n v="2023"/>
    <x v="929"/>
    <n v="246.60000000000002"/>
    <x v="1"/>
    <n v="679.91"/>
    <x v="2"/>
    <x v="1"/>
    <x v="2"/>
  </r>
  <r>
    <s v="ORD2052"/>
    <d v="2023-09-11T00:00:00"/>
    <x v="3"/>
    <x v="2"/>
    <x v="1"/>
    <x v="15"/>
    <x v="3"/>
    <n v="1141"/>
    <x v="1010"/>
    <x v="1050"/>
    <n v="0.23598305579900672"/>
    <x v="1"/>
    <x v="5"/>
    <n v="2023"/>
    <x v="930"/>
    <n v="3080.7000000000007"/>
    <x v="0"/>
    <n v="7845.6900000000005"/>
    <x v="0"/>
    <x v="0"/>
    <x v="1"/>
  </r>
  <r>
    <s v="ORD2053"/>
    <d v="2023-01-15T00:00:00"/>
    <x v="3"/>
    <x v="4"/>
    <x v="3"/>
    <x v="14"/>
    <x v="7"/>
    <n v="2937"/>
    <x v="1011"/>
    <x v="1051"/>
    <n v="0.18593292475314949"/>
    <x v="2"/>
    <x v="6"/>
    <n v="2023"/>
    <x v="182"/>
    <n v="1762.1999999999998"/>
    <x v="1"/>
    <n v="4781.83"/>
    <x v="2"/>
    <x v="0"/>
    <x v="2"/>
  </r>
  <r>
    <s v="ORD2054"/>
    <d v="2023-11-01T00:00:00"/>
    <x v="1"/>
    <x v="2"/>
    <x v="0"/>
    <x v="9"/>
    <x v="2"/>
    <n v="4464"/>
    <x v="1012"/>
    <x v="1052"/>
    <n v="0.2097356630824373"/>
    <x v="0"/>
    <x v="3"/>
    <n v="2023"/>
    <x v="931"/>
    <n v="8035.2000000000007"/>
    <x v="0"/>
    <n v="21166.44"/>
    <x v="1"/>
    <x v="0"/>
    <x v="0"/>
  </r>
  <r>
    <s v="ORD2055"/>
    <d v="2023-01-29T00:00:00"/>
    <x v="0"/>
    <x v="1"/>
    <x v="1"/>
    <x v="5"/>
    <x v="5"/>
    <n v="727"/>
    <x v="1013"/>
    <x v="1053"/>
    <n v="0.15671841226174099"/>
    <x v="2"/>
    <x v="6"/>
    <n v="2023"/>
    <x v="932"/>
    <n v="1526.7000000000003"/>
    <x v="0"/>
    <n v="4291.46"/>
    <x v="0"/>
    <x v="0"/>
    <x v="2"/>
  </r>
  <r>
    <s v="ORD2056"/>
    <d v="2023-10-06T00:00:00"/>
    <x v="2"/>
    <x v="0"/>
    <x v="1"/>
    <x v="15"/>
    <x v="8"/>
    <n v="1376"/>
    <x v="1014"/>
    <x v="1054"/>
    <n v="0.11258720930232557"/>
    <x v="2"/>
    <x v="1"/>
    <n v="2023"/>
    <x v="933"/>
    <n v="412.80000000000007"/>
    <x v="1"/>
    <n v="1221.08"/>
    <x v="2"/>
    <x v="1"/>
    <x v="2"/>
  </r>
  <r>
    <s v="ORD2057"/>
    <d v="2023-08-26T00:00:00"/>
    <x v="2"/>
    <x v="3"/>
    <x v="3"/>
    <x v="7"/>
    <x v="6"/>
    <n v="2713"/>
    <x v="1015"/>
    <x v="1055"/>
    <n v="0.16335329893107262"/>
    <x v="1"/>
    <x v="9"/>
    <n v="2023"/>
    <x v="934"/>
    <n v="3255.6000000000004"/>
    <x v="1"/>
    <n v="9079.2899999999991"/>
    <x v="1"/>
    <x v="1"/>
    <x v="1"/>
  </r>
  <r>
    <s v="ORD2058"/>
    <d v="2023-04-30T00:00:00"/>
    <x v="2"/>
    <x v="3"/>
    <x v="3"/>
    <x v="12"/>
    <x v="2"/>
    <n v="1754"/>
    <x v="1016"/>
    <x v="1056"/>
    <n v="0.12051691372101862"/>
    <x v="1"/>
    <x v="11"/>
    <n v="2023"/>
    <x v="935"/>
    <n v="3157.2000000000007"/>
    <x v="0"/>
    <n v="9255.68"/>
    <x v="1"/>
    <x v="1"/>
    <x v="1"/>
  </r>
  <r>
    <s v="ORD2059"/>
    <d v="2023-12-07T00:00:00"/>
    <x v="0"/>
    <x v="0"/>
    <x v="2"/>
    <x v="8"/>
    <x v="6"/>
    <n v="1041"/>
    <x v="1017"/>
    <x v="1057"/>
    <n v="0.12060278578290105"/>
    <x v="2"/>
    <x v="7"/>
    <n v="2023"/>
    <x v="936"/>
    <n v="1249.2000000000003"/>
    <x v="1"/>
    <n v="3661.81"/>
    <x v="1"/>
    <x v="0"/>
    <x v="2"/>
  </r>
  <r>
    <s v="ORD2060"/>
    <d v="2023-08-15T00:00:00"/>
    <x v="1"/>
    <x v="2"/>
    <x v="2"/>
    <x v="6"/>
    <x v="8"/>
    <n v="4887"/>
    <x v="1018"/>
    <x v="1058"/>
    <n v="0.19722938408021282"/>
    <x v="2"/>
    <x v="9"/>
    <n v="2023"/>
    <x v="937"/>
    <n v="1466.1000000000004"/>
    <x v="1"/>
    <n v="3923.14"/>
    <x v="2"/>
    <x v="0"/>
    <x v="2"/>
  </r>
  <r>
    <s v="ORD2061"/>
    <d v="2023-09-30T00:00:00"/>
    <x v="3"/>
    <x v="4"/>
    <x v="0"/>
    <x v="9"/>
    <x v="1"/>
    <n v="3961"/>
    <x v="1019"/>
    <x v="1059"/>
    <n v="0.13588942186316585"/>
    <x v="1"/>
    <x v="5"/>
    <n v="2023"/>
    <x v="938"/>
    <n v="5941.5"/>
    <x v="1"/>
    <n v="17113.71"/>
    <x v="1"/>
    <x v="0"/>
    <x v="1"/>
  </r>
  <r>
    <s v="ORD2062"/>
    <d v="2023-11-13T00:00:00"/>
    <x v="1"/>
    <x v="0"/>
    <x v="1"/>
    <x v="1"/>
    <x v="6"/>
    <n v="1289"/>
    <x v="1020"/>
    <x v="1060"/>
    <n v="9.3025601241272307E-2"/>
    <x v="2"/>
    <x v="3"/>
    <n v="2023"/>
    <x v="939"/>
    <n v="1546.8000000000002"/>
    <x v="1"/>
    <n v="4676.3599999999997"/>
    <x v="1"/>
    <x v="0"/>
    <x v="2"/>
  </r>
  <r>
    <s v="ORD2063"/>
    <d v="2023-08-14T00:00:00"/>
    <x v="0"/>
    <x v="1"/>
    <x v="2"/>
    <x v="6"/>
    <x v="5"/>
    <n v="1324"/>
    <x v="1021"/>
    <x v="1061"/>
    <n v="0.11484678463530429"/>
    <x v="2"/>
    <x v="9"/>
    <n v="2023"/>
    <x v="940"/>
    <n v="2780.4000000000005"/>
    <x v="0"/>
    <n v="8203.6"/>
    <x v="0"/>
    <x v="0"/>
    <x v="2"/>
  </r>
  <r>
    <s v="ORD2064"/>
    <d v="2023-05-02T00:00:00"/>
    <x v="0"/>
    <x v="0"/>
    <x v="1"/>
    <x v="5"/>
    <x v="2"/>
    <n v="3982"/>
    <x v="1022"/>
    <x v="1062"/>
    <n v="0.13993010212623472"/>
    <x v="0"/>
    <x v="0"/>
    <n v="2023"/>
    <x v="941"/>
    <n v="7167.6000000000022"/>
    <x v="0"/>
    <n v="20548.79"/>
    <x v="1"/>
    <x v="0"/>
    <x v="0"/>
  </r>
  <r>
    <s v="ORD2065"/>
    <d v="2023-01-24T00:00:00"/>
    <x v="2"/>
    <x v="0"/>
    <x v="0"/>
    <x v="9"/>
    <x v="8"/>
    <n v="3691"/>
    <x v="1023"/>
    <x v="1063"/>
    <n v="9.3928474668111619E-2"/>
    <x v="2"/>
    <x v="6"/>
    <n v="2023"/>
    <x v="942"/>
    <n v="1107.3000000000002"/>
    <x v="1"/>
    <n v="3344.31"/>
    <x v="2"/>
    <x v="1"/>
    <x v="2"/>
  </r>
  <r>
    <s v="ORD2066"/>
    <d v="2023-02-06T00:00:00"/>
    <x v="1"/>
    <x v="4"/>
    <x v="3"/>
    <x v="4"/>
    <x v="6"/>
    <n v="537"/>
    <x v="551"/>
    <x v="1064"/>
    <n v="0.1016294227188082"/>
    <x v="2"/>
    <x v="8"/>
    <n v="2023"/>
    <x v="9"/>
    <n v="644.40000000000009"/>
    <x v="1"/>
    <n v="1929.7"/>
    <x v="1"/>
    <x v="0"/>
    <x v="2"/>
  </r>
  <r>
    <s v="ORD2067"/>
    <d v="2023-03-27T00:00:00"/>
    <x v="0"/>
    <x v="1"/>
    <x v="2"/>
    <x v="13"/>
    <x v="0"/>
    <n v="1115"/>
    <x v="1024"/>
    <x v="1065"/>
    <n v="0.20386883408071749"/>
    <x v="2"/>
    <x v="4"/>
    <n v="2023"/>
    <x v="641"/>
    <n v="2676"/>
    <x v="0"/>
    <n v="7101.49"/>
    <x v="0"/>
    <x v="0"/>
    <x v="2"/>
  </r>
  <r>
    <s v="ORD2068"/>
    <d v="2023-03-28T00:00:00"/>
    <x v="0"/>
    <x v="2"/>
    <x v="2"/>
    <x v="13"/>
    <x v="8"/>
    <n v="3767"/>
    <x v="1025"/>
    <x v="1066"/>
    <n v="0.18248473586408281"/>
    <x v="2"/>
    <x v="4"/>
    <n v="2023"/>
    <x v="943"/>
    <n v="1130.1000000000004"/>
    <x v="1"/>
    <n v="3079.58"/>
    <x v="2"/>
    <x v="0"/>
    <x v="2"/>
  </r>
  <r>
    <s v="ORD2069"/>
    <d v="2023-04-24T00:00:00"/>
    <x v="0"/>
    <x v="3"/>
    <x v="0"/>
    <x v="16"/>
    <x v="1"/>
    <n v="2924"/>
    <x v="1026"/>
    <x v="1067"/>
    <n v="0.20857250341997263"/>
    <x v="1"/>
    <x v="11"/>
    <n v="2023"/>
    <x v="944"/>
    <n v="4386"/>
    <x v="1"/>
    <n v="11570.67"/>
    <x v="1"/>
    <x v="0"/>
    <x v="1"/>
  </r>
  <r>
    <s v="ORD2070"/>
    <d v="2023-08-02T00:00:00"/>
    <x v="1"/>
    <x v="0"/>
    <x v="2"/>
    <x v="6"/>
    <x v="6"/>
    <n v="4566"/>
    <x v="1027"/>
    <x v="1068"/>
    <n v="0.18851949189662723"/>
    <x v="1"/>
    <x v="9"/>
    <n v="2023"/>
    <x v="865"/>
    <n v="5479.2000000000007"/>
    <x v="1"/>
    <n v="14820.880000000001"/>
    <x v="1"/>
    <x v="0"/>
    <x v="1"/>
  </r>
  <r>
    <s v="ORD2071"/>
    <d v="2023-05-19T00:00:00"/>
    <x v="2"/>
    <x v="3"/>
    <x v="1"/>
    <x v="15"/>
    <x v="0"/>
    <n v="322"/>
    <x v="1028"/>
    <x v="1069"/>
    <n v="0.20586568322981363"/>
    <x v="2"/>
    <x v="0"/>
    <n v="2023"/>
    <x v="945"/>
    <n v="772.80000000000018"/>
    <x v="0"/>
    <n v="2045.6900000000003"/>
    <x v="0"/>
    <x v="1"/>
    <x v="2"/>
  </r>
  <r>
    <s v="ORD2072"/>
    <d v="2023-07-10T00:00:00"/>
    <x v="3"/>
    <x v="5"/>
    <x v="0"/>
    <x v="11"/>
    <x v="7"/>
    <n v="4181"/>
    <x v="1029"/>
    <x v="1070"/>
    <n v="0.16285338435780913"/>
    <x v="2"/>
    <x v="10"/>
    <n v="2023"/>
    <x v="912"/>
    <n v="2508.6000000000004"/>
    <x v="1"/>
    <n v="7000.2199999999993"/>
    <x v="2"/>
    <x v="0"/>
    <x v="2"/>
  </r>
  <r>
    <s v="ORD2073"/>
    <d v="2023-01-21T00:00:00"/>
    <x v="1"/>
    <x v="0"/>
    <x v="0"/>
    <x v="9"/>
    <x v="5"/>
    <n v="274"/>
    <x v="1030"/>
    <x v="1071"/>
    <n v="8.5521376433785198E-2"/>
    <x v="2"/>
    <x v="6"/>
    <n v="2023"/>
    <x v="946"/>
    <n v="575.40000000000009"/>
    <x v="0"/>
    <n v="1753.97"/>
    <x v="0"/>
    <x v="0"/>
    <x v="2"/>
  </r>
  <r>
    <s v="ORD2074"/>
    <d v="2023-11-02T00:00:00"/>
    <x v="0"/>
    <x v="1"/>
    <x v="0"/>
    <x v="16"/>
    <x v="2"/>
    <n v="3971"/>
    <x v="1031"/>
    <x v="1072"/>
    <n v="0.23693947788130612"/>
    <x v="0"/>
    <x v="3"/>
    <n v="2023"/>
    <x v="947"/>
    <n v="7147.8000000000029"/>
    <x v="0"/>
    <n v="18180.68"/>
    <x v="1"/>
    <x v="0"/>
    <x v="0"/>
  </r>
  <r>
    <s v="ORD2075"/>
    <d v="2023-04-11T00:00:00"/>
    <x v="2"/>
    <x v="3"/>
    <x v="3"/>
    <x v="14"/>
    <x v="0"/>
    <n v="720"/>
    <x v="1032"/>
    <x v="1073"/>
    <n v="0.11480208333333333"/>
    <x v="2"/>
    <x v="11"/>
    <n v="2023"/>
    <x v="948"/>
    <n v="1728.0000000000005"/>
    <x v="0"/>
    <n v="5098.74"/>
    <x v="0"/>
    <x v="1"/>
    <x v="2"/>
  </r>
  <r>
    <s v="ORD2076"/>
    <d v="2023-12-03T00:00:00"/>
    <x v="0"/>
    <x v="3"/>
    <x v="1"/>
    <x v="5"/>
    <x v="0"/>
    <n v="442"/>
    <x v="1033"/>
    <x v="1074"/>
    <n v="0.12748868778280542"/>
    <x v="2"/>
    <x v="7"/>
    <n v="2023"/>
    <x v="949"/>
    <n v="1060.8000000000002"/>
    <x v="0"/>
    <n v="3085.2"/>
    <x v="0"/>
    <x v="0"/>
    <x v="2"/>
  </r>
  <r>
    <s v="ORD2077"/>
    <d v="2023-08-25T00:00:00"/>
    <x v="1"/>
    <x v="3"/>
    <x v="1"/>
    <x v="2"/>
    <x v="4"/>
    <n v="4691"/>
    <x v="1034"/>
    <x v="1075"/>
    <n v="0.10903858452355575"/>
    <x v="1"/>
    <x v="9"/>
    <n v="2023"/>
    <x v="950"/>
    <n v="4221.9000000000015"/>
    <x v="1"/>
    <n v="12538.5"/>
    <x v="2"/>
    <x v="0"/>
    <x v="1"/>
  </r>
  <r>
    <s v="ORD2078"/>
    <d v="2023-05-22T00:00:00"/>
    <x v="3"/>
    <x v="4"/>
    <x v="0"/>
    <x v="16"/>
    <x v="8"/>
    <n v="2894"/>
    <x v="1035"/>
    <x v="1076"/>
    <n v="9.8724948168624732E-2"/>
    <x v="2"/>
    <x v="0"/>
    <n v="2023"/>
    <x v="951"/>
    <n v="868.2"/>
    <x v="1"/>
    <n v="2608.29"/>
    <x v="2"/>
    <x v="0"/>
    <x v="2"/>
  </r>
  <r>
    <s v="ORD2079"/>
    <d v="2023-12-10T00:00:00"/>
    <x v="2"/>
    <x v="3"/>
    <x v="2"/>
    <x v="6"/>
    <x v="2"/>
    <n v="3533"/>
    <x v="1036"/>
    <x v="1077"/>
    <n v="0.12366119445230682"/>
    <x v="0"/>
    <x v="7"/>
    <n v="2023"/>
    <x v="952"/>
    <n v="6359.4000000000015"/>
    <x v="0"/>
    <n v="18576.63"/>
    <x v="1"/>
    <x v="1"/>
    <x v="0"/>
  </r>
  <r>
    <s v="ORD2080"/>
    <d v="2023-10-01T00:00:00"/>
    <x v="3"/>
    <x v="2"/>
    <x v="2"/>
    <x v="13"/>
    <x v="2"/>
    <n v="957"/>
    <x v="1037"/>
    <x v="1078"/>
    <n v="0.1040107976314873"/>
    <x v="2"/>
    <x v="1"/>
    <n v="2023"/>
    <x v="829"/>
    <n v="1722.6000000000004"/>
    <x v="0"/>
    <n v="5144.7700000000004"/>
    <x v="1"/>
    <x v="0"/>
    <x v="2"/>
  </r>
  <r>
    <s v="ORD2081"/>
    <d v="2023-06-11T00:00:00"/>
    <x v="0"/>
    <x v="3"/>
    <x v="3"/>
    <x v="4"/>
    <x v="0"/>
    <n v="2627"/>
    <x v="1038"/>
    <x v="1079"/>
    <n v="8.021555005709935E-2"/>
    <x v="0"/>
    <x v="2"/>
    <n v="2023"/>
    <x v="953"/>
    <n v="6304.8000000000011"/>
    <x v="0"/>
    <n v="19330.189999999999"/>
    <x v="0"/>
    <x v="0"/>
    <x v="0"/>
  </r>
  <r>
    <s v="ORD2082"/>
    <d v="2023-05-16T00:00:00"/>
    <x v="1"/>
    <x v="1"/>
    <x v="0"/>
    <x v="0"/>
    <x v="7"/>
    <n v="2713"/>
    <x v="1039"/>
    <x v="1080"/>
    <n v="0.21412089937338738"/>
    <x v="2"/>
    <x v="0"/>
    <n v="2023"/>
    <x v="934"/>
    <n v="1627.8000000000002"/>
    <x v="1"/>
    <n v="4264.18"/>
    <x v="2"/>
    <x v="0"/>
    <x v="2"/>
  </r>
  <r>
    <s v="ORD2083"/>
    <d v="2023-10-13T00:00:00"/>
    <x v="3"/>
    <x v="3"/>
    <x v="3"/>
    <x v="14"/>
    <x v="6"/>
    <n v="1192"/>
    <x v="1040"/>
    <x v="1081"/>
    <n v="0.21653942953020136"/>
    <x v="2"/>
    <x v="1"/>
    <n v="2023"/>
    <x v="954"/>
    <n v="1430.4"/>
    <x v="1"/>
    <n v="3735.54"/>
    <x v="1"/>
    <x v="0"/>
    <x v="2"/>
  </r>
  <r>
    <s v="ORD2084"/>
    <d v="2023-04-02T00:00:00"/>
    <x v="0"/>
    <x v="2"/>
    <x v="3"/>
    <x v="12"/>
    <x v="7"/>
    <n v="3278"/>
    <x v="1041"/>
    <x v="1082"/>
    <n v="0.20022879804759"/>
    <x v="2"/>
    <x v="11"/>
    <n v="2023"/>
    <x v="955"/>
    <n v="1966.8000000000002"/>
    <x v="1"/>
    <n v="5243.3"/>
    <x v="2"/>
    <x v="0"/>
    <x v="2"/>
  </r>
  <r>
    <s v="ORD2085"/>
    <d v="2023-12-30T00:00:00"/>
    <x v="3"/>
    <x v="4"/>
    <x v="0"/>
    <x v="11"/>
    <x v="1"/>
    <n v="4781"/>
    <x v="599"/>
    <x v="1083"/>
    <n v="0.24760886843756538"/>
    <x v="0"/>
    <x v="7"/>
    <n v="2023"/>
    <x v="564"/>
    <n v="7171.5"/>
    <x v="1"/>
    <n v="17985.91"/>
    <x v="1"/>
    <x v="0"/>
    <x v="0"/>
  </r>
  <r>
    <s v="ORD2086"/>
    <d v="2023-09-07T00:00:00"/>
    <x v="3"/>
    <x v="0"/>
    <x v="0"/>
    <x v="11"/>
    <x v="1"/>
    <n v="4006"/>
    <x v="1042"/>
    <x v="1084"/>
    <n v="0.14524113829256116"/>
    <x v="0"/>
    <x v="5"/>
    <n v="2023"/>
    <x v="956"/>
    <n v="6009"/>
    <x v="1"/>
    <n v="17120.82"/>
    <x v="1"/>
    <x v="0"/>
    <x v="0"/>
  </r>
  <r>
    <s v="ORD2087"/>
    <d v="2023-07-08T00:00:00"/>
    <x v="0"/>
    <x v="3"/>
    <x v="2"/>
    <x v="3"/>
    <x v="0"/>
    <n v="1034"/>
    <x v="1043"/>
    <x v="1085"/>
    <n v="0.14641803675048357"/>
    <x v="2"/>
    <x v="10"/>
    <n v="2023"/>
    <x v="846"/>
    <n v="2481.6000000000004"/>
    <x v="0"/>
    <n v="7060.83"/>
    <x v="0"/>
    <x v="0"/>
    <x v="2"/>
  </r>
  <r>
    <s v="ORD2088"/>
    <d v="2023-10-31T00:00:00"/>
    <x v="2"/>
    <x v="3"/>
    <x v="1"/>
    <x v="15"/>
    <x v="3"/>
    <n v="1338"/>
    <x v="698"/>
    <x v="1086"/>
    <n v="0.18314150473343296"/>
    <x v="1"/>
    <x v="1"/>
    <n v="2023"/>
    <x v="957"/>
    <n v="3612.6000000000004"/>
    <x v="0"/>
    <n v="9836.61"/>
    <x v="0"/>
    <x v="1"/>
    <x v="1"/>
  </r>
  <r>
    <s v="ORD2089"/>
    <d v="2023-12-02T00:00:00"/>
    <x v="0"/>
    <x v="5"/>
    <x v="3"/>
    <x v="14"/>
    <x v="3"/>
    <n v="3310"/>
    <x v="1044"/>
    <x v="1087"/>
    <n v="0.10957603222557906"/>
    <x v="0"/>
    <x v="7"/>
    <n v="2023"/>
    <x v="958"/>
    <n v="8937"/>
    <x v="0"/>
    <n v="26525.73"/>
    <x v="0"/>
    <x v="0"/>
    <x v="0"/>
  </r>
  <r>
    <s v="ORD2090"/>
    <d v="2023-07-25T00:00:00"/>
    <x v="2"/>
    <x v="3"/>
    <x v="0"/>
    <x v="0"/>
    <x v="4"/>
    <n v="483"/>
    <x v="1045"/>
    <x v="1088"/>
    <n v="0.19279503105590062"/>
    <x v="2"/>
    <x v="10"/>
    <n v="2023"/>
    <x v="496"/>
    <n v="434.70000000000005"/>
    <x v="1"/>
    <n v="1169.6400000000001"/>
    <x v="2"/>
    <x v="1"/>
    <x v="2"/>
  </r>
  <r>
    <s v="ORD2091"/>
    <d v="2023-09-15T00:00:00"/>
    <x v="3"/>
    <x v="0"/>
    <x v="0"/>
    <x v="11"/>
    <x v="2"/>
    <n v="1994"/>
    <x v="352"/>
    <x v="1089"/>
    <n v="0.11239802741558008"/>
    <x v="1"/>
    <x v="5"/>
    <n v="2023"/>
    <x v="959"/>
    <n v="3589.2000000000007"/>
    <x v="0"/>
    <n v="10619.27"/>
    <x v="1"/>
    <x v="0"/>
    <x v="1"/>
  </r>
  <r>
    <s v="ORD2092"/>
    <d v="2023-08-13T00:00:00"/>
    <x v="1"/>
    <x v="3"/>
    <x v="0"/>
    <x v="0"/>
    <x v="7"/>
    <n v="3638"/>
    <x v="1046"/>
    <x v="1090"/>
    <n v="9.1155854865310609E-2"/>
    <x v="2"/>
    <x v="9"/>
    <n v="2023"/>
    <x v="960"/>
    <n v="2182.8000000000002"/>
    <x v="1"/>
    <n v="6612.75"/>
    <x v="2"/>
    <x v="0"/>
    <x v="2"/>
  </r>
  <r>
    <s v="ORD2093"/>
    <d v="2023-08-24T00:00:00"/>
    <x v="0"/>
    <x v="1"/>
    <x v="2"/>
    <x v="13"/>
    <x v="0"/>
    <n v="2088"/>
    <x v="1047"/>
    <x v="1091"/>
    <n v="0.22342552681992336"/>
    <x v="1"/>
    <x v="9"/>
    <n v="2023"/>
    <x v="961"/>
    <n v="5011.2000000000007"/>
    <x v="0"/>
    <n v="12971.900000000001"/>
    <x v="0"/>
    <x v="0"/>
    <x v="1"/>
  </r>
  <r>
    <s v="ORD2094"/>
    <d v="2023-07-16T00:00:00"/>
    <x v="2"/>
    <x v="4"/>
    <x v="0"/>
    <x v="0"/>
    <x v="8"/>
    <n v="709"/>
    <x v="1048"/>
    <x v="1092"/>
    <n v="0.17669957686882934"/>
    <x v="2"/>
    <x v="10"/>
    <n v="2023"/>
    <x v="962"/>
    <n v="212.70000000000005"/>
    <x v="1"/>
    <n v="583.72"/>
    <x v="2"/>
    <x v="1"/>
    <x v="2"/>
  </r>
  <r>
    <s v="ORD2095"/>
    <d v="2023-07-18T00:00:00"/>
    <x v="0"/>
    <x v="1"/>
    <x v="1"/>
    <x v="2"/>
    <x v="3"/>
    <n v="2334"/>
    <x v="1049"/>
    <x v="1093"/>
    <n v="0.14620394173093401"/>
    <x v="0"/>
    <x v="10"/>
    <n v="2023"/>
    <x v="963"/>
    <n v="6301.8000000000011"/>
    <x v="0"/>
    <n v="17934.84"/>
    <x v="0"/>
    <x v="0"/>
    <x v="0"/>
  </r>
  <r>
    <s v="ORD2096"/>
    <d v="2023-07-09T00:00:00"/>
    <x v="0"/>
    <x v="3"/>
    <x v="1"/>
    <x v="1"/>
    <x v="7"/>
    <n v="1504"/>
    <x v="1050"/>
    <x v="1094"/>
    <n v="0.12994348404255318"/>
    <x v="2"/>
    <x v="10"/>
    <n v="2023"/>
    <x v="964"/>
    <n v="902.40000000000009"/>
    <x v="1"/>
    <n v="2617.13"/>
    <x v="2"/>
    <x v="0"/>
    <x v="2"/>
  </r>
  <r>
    <s v="ORD2097"/>
    <d v="2023-02-18T00:00:00"/>
    <x v="1"/>
    <x v="1"/>
    <x v="1"/>
    <x v="2"/>
    <x v="0"/>
    <n v="1006"/>
    <x v="1051"/>
    <x v="1095"/>
    <n v="0.16249502982107356"/>
    <x v="2"/>
    <x v="8"/>
    <n v="2023"/>
    <x v="965"/>
    <n v="2414.4000000000005"/>
    <x v="0"/>
    <n v="6740.24"/>
    <x v="0"/>
    <x v="0"/>
    <x v="2"/>
  </r>
  <r>
    <s v="ORD2098"/>
    <d v="2023-08-24T00:00:00"/>
    <x v="0"/>
    <x v="4"/>
    <x v="0"/>
    <x v="0"/>
    <x v="0"/>
    <n v="1769"/>
    <x v="1052"/>
    <x v="1096"/>
    <n v="0.16941068400226117"/>
    <x v="1"/>
    <x v="9"/>
    <n v="2023"/>
    <x v="966"/>
    <n v="4245.6000000000004"/>
    <x v="0"/>
    <n v="11754.5"/>
    <x v="0"/>
    <x v="0"/>
    <x v="1"/>
  </r>
  <r>
    <s v="ORD2099"/>
    <d v="2023-01-09T00:00:00"/>
    <x v="2"/>
    <x v="2"/>
    <x v="3"/>
    <x v="4"/>
    <x v="6"/>
    <n v="1597"/>
    <x v="1053"/>
    <x v="1097"/>
    <n v="0.1258046336881653"/>
    <x v="2"/>
    <x v="6"/>
    <n v="2023"/>
    <x v="967"/>
    <n v="1916.4000000000005"/>
    <x v="1"/>
    <n v="5584.36"/>
    <x v="1"/>
    <x v="1"/>
    <x v="2"/>
  </r>
  <r>
    <s v="ORD2100"/>
    <d v="2023-09-23T00:00:00"/>
    <x v="1"/>
    <x v="0"/>
    <x v="3"/>
    <x v="12"/>
    <x v="1"/>
    <n v="1921"/>
    <x v="1054"/>
    <x v="1098"/>
    <n v="0.19011244143675168"/>
    <x v="2"/>
    <x v="5"/>
    <n v="2023"/>
    <x v="968"/>
    <n v="2881.5000000000009"/>
    <x v="1"/>
    <n v="7778.97"/>
    <x v="1"/>
    <x v="0"/>
    <x v="2"/>
  </r>
  <r>
    <s v="ORD2101"/>
    <d v="2023-10-29T00:00:00"/>
    <x v="3"/>
    <x v="3"/>
    <x v="3"/>
    <x v="12"/>
    <x v="8"/>
    <n v="1499"/>
    <x v="1055"/>
    <x v="1099"/>
    <n v="0.14110073382254837"/>
    <x v="2"/>
    <x v="1"/>
    <n v="2023"/>
    <x v="779"/>
    <n v="449.70000000000005"/>
    <x v="1"/>
    <n v="1287.49"/>
    <x v="2"/>
    <x v="0"/>
    <x v="2"/>
  </r>
  <r>
    <s v="ORD2102"/>
    <d v="2023-06-26T00:00:00"/>
    <x v="2"/>
    <x v="4"/>
    <x v="3"/>
    <x v="12"/>
    <x v="3"/>
    <n v="2442"/>
    <x v="1056"/>
    <x v="1100"/>
    <n v="0.19604195104195102"/>
    <x v="0"/>
    <x v="2"/>
    <n v="2023"/>
    <x v="969"/>
    <n v="6593.4000000000015"/>
    <x v="0"/>
    <n v="17669.39"/>
    <x v="0"/>
    <x v="1"/>
    <x v="0"/>
  </r>
  <r>
    <s v="ORD2103"/>
    <d v="2023-08-06T00:00:00"/>
    <x v="1"/>
    <x v="4"/>
    <x v="0"/>
    <x v="11"/>
    <x v="2"/>
    <n v="4459"/>
    <x v="1057"/>
    <x v="1101"/>
    <n v="0.16648015250056067"/>
    <x v="0"/>
    <x v="9"/>
    <n v="2023"/>
    <x v="277"/>
    <n v="8026.2000000000007"/>
    <x v="0"/>
    <n v="22299.989999999998"/>
    <x v="1"/>
    <x v="0"/>
    <x v="0"/>
  </r>
  <r>
    <s v="ORD2104"/>
    <d v="2023-10-18T00:00:00"/>
    <x v="2"/>
    <x v="2"/>
    <x v="2"/>
    <x v="6"/>
    <x v="6"/>
    <n v="997"/>
    <x v="1058"/>
    <x v="1102"/>
    <n v="0.19301905717151455"/>
    <x v="2"/>
    <x v="1"/>
    <n v="2023"/>
    <x v="85"/>
    <n v="1196.4000000000001"/>
    <x v="1"/>
    <n v="3218.24"/>
    <x v="1"/>
    <x v="1"/>
    <x v="2"/>
  </r>
  <r>
    <s v="ORD2105"/>
    <d v="2023-11-27T00:00:00"/>
    <x v="3"/>
    <x v="4"/>
    <x v="0"/>
    <x v="11"/>
    <x v="5"/>
    <n v="3918"/>
    <x v="1059"/>
    <x v="1103"/>
    <n v="0.12652337198279007"/>
    <x v="0"/>
    <x v="3"/>
    <n v="2023"/>
    <x v="970"/>
    <n v="8227.7999999999993"/>
    <x v="0"/>
    <n v="23955.97"/>
    <x v="0"/>
    <x v="0"/>
    <x v="0"/>
  </r>
  <r>
    <s v="ORD2106"/>
    <d v="2023-02-24T00:00:00"/>
    <x v="0"/>
    <x v="3"/>
    <x v="1"/>
    <x v="5"/>
    <x v="5"/>
    <n v="595"/>
    <x v="1060"/>
    <x v="1104"/>
    <n v="8.1719087635054019E-2"/>
    <x v="2"/>
    <x v="8"/>
    <n v="2023"/>
    <x v="67"/>
    <n v="1249.5"/>
    <x v="0"/>
    <n v="3824.6400000000003"/>
    <x v="0"/>
    <x v="0"/>
    <x v="2"/>
  </r>
  <r>
    <s v="ORD2107"/>
    <d v="2023-11-29T00:00:00"/>
    <x v="0"/>
    <x v="2"/>
    <x v="1"/>
    <x v="1"/>
    <x v="0"/>
    <n v="656"/>
    <x v="291"/>
    <x v="1105"/>
    <n v="0.15789443597560976"/>
    <x v="2"/>
    <x v="3"/>
    <n v="2023"/>
    <x v="281"/>
    <n v="1574.4"/>
    <x v="0"/>
    <n v="4419.37"/>
    <x v="0"/>
    <x v="0"/>
    <x v="2"/>
  </r>
  <r>
    <s v="ORD2108"/>
    <d v="2023-10-11T00:00:00"/>
    <x v="3"/>
    <x v="0"/>
    <x v="3"/>
    <x v="14"/>
    <x v="8"/>
    <n v="2662"/>
    <x v="647"/>
    <x v="1106"/>
    <n v="0.1574305033809166"/>
    <x v="2"/>
    <x v="1"/>
    <n v="2023"/>
    <x v="608"/>
    <n v="798.60000000000014"/>
    <x v="1"/>
    <n v="2242.92"/>
    <x v="2"/>
    <x v="0"/>
    <x v="2"/>
  </r>
  <r>
    <s v="ORD2109"/>
    <d v="2023-06-19T00:00:00"/>
    <x v="3"/>
    <x v="1"/>
    <x v="0"/>
    <x v="16"/>
    <x v="0"/>
    <n v="662"/>
    <x v="1061"/>
    <x v="1107"/>
    <n v="9.0219033232628407E-2"/>
    <x v="2"/>
    <x v="2"/>
    <n v="2023"/>
    <x v="971"/>
    <n v="1588.8000000000002"/>
    <x v="0"/>
    <n v="4818.2"/>
    <x v="0"/>
    <x v="0"/>
    <x v="2"/>
  </r>
  <r>
    <s v="ORD2110"/>
    <d v="2023-06-02T00:00:00"/>
    <x v="2"/>
    <x v="1"/>
    <x v="3"/>
    <x v="4"/>
    <x v="0"/>
    <n v="4151"/>
    <x v="1062"/>
    <x v="1108"/>
    <n v="0.19516863406408094"/>
    <x v="0"/>
    <x v="2"/>
    <n v="2023"/>
    <x v="972"/>
    <n v="9962.4000000000015"/>
    <x v="0"/>
    <n v="26726.84"/>
    <x v="0"/>
    <x v="1"/>
    <x v="0"/>
  </r>
  <r>
    <s v="ORD2111"/>
    <d v="2023-05-21T00:00:00"/>
    <x v="3"/>
    <x v="5"/>
    <x v="3"/>
    <x v="4"/>
    <x v="1"/>
    <n v="4658"/>
    <x v="1063"/>
    <x v="1109"/>
    <n v="9.8061829111206533E-2"/>
    <x v="0"/>
    <x v="0"/>
    <n v="2023"/>
    <x v="973"/>
    <n v="6987"/>
    <x v="1"/>
    <n v="21006.14"/>
    <x v="1"/>
    <x v="0"/>
    <x v="0"/>
  </r>
  <r>
    <s v="ORD2112"/>
    <d v="2023-03-08T00:00:00"/>
    <x v="1"/>
    <x v="1"/>
    <x v="3"/>
    <x v="4"/>
    <x v="4"/>
    <n v="4270"/>
    <x v="1064"/>
    <x v="1110"/>
    <n v="0.20458938329430132"/>
    <x v="1"/>
    <x v="4"/>
    <n v="2023"/>
    <x v="974"/>
    <n v="3843"/>
    <x v="1"/>
    <n v="10189.210000000001"/>
    <x v="2"/>
    <x v="0"/>
    <x v="1"/>
  </r>
  <r>
    <s v="ORD2113"/>
    <d v="2023-02-21T00:00:00"/>
    <x v="0"/>
    <x v="4"/>
    <x v="0"/>
    <x v="9"/>
    <x v="5"/>
    <n v="797"/>
    <x v="1065"/>
    <x v="1111"/>
    <n v="9.4984764294676463E-2"/>
    <x v="2"/>
    <x v="8"/>
    <n v="2023"/>
    <x v="332"/>
    <n v="1673.7000000000003"/>
    <x v="0"/>
    <n v="5049.08"/>
    <x v="0"/>
    <x v="0"/>
    <x v="2"/>
  </r>
  <r>
    <s v="ORD2114"/>
    <d v="2023-03-05T00:00:00"/>
    <x v="0"/>
    <x v="1"/>
    <x v="1"/>
    <x v="5"/>
    <x v="0"/>
    <n v="1731"/>
    <x v="1066"/>
    <x v="1112"/>
    <n v="0.22568168688619294"/>
    <x v="1"/>
    <x v="4"/>
    <n v="2023"/>
    <x v="975"/>
    <n v="4154.4000000000015"/>
    <x v="0"/>
    <n v="10722.76"/>
    <x v="0"/>
    <x v="0"/>
    <x v="1"/>
  </r>
  <r>
    <s v="ORD2115"/>
    <d v="2023-06-15T00:00:00"/>
    <x v="1"/>
    <x v="1"/>
    <x v="1"/>
    <x v="1"/>
    <x v="8"/>
    <n v="1431"/>
    <x v="1067"/>
    <x v="1113"/>
    <n v="0.23106219426974142"/>
    <x v="2"/>
    <x v="2"/>
    <n v="2023"/>
    <x v="976"/>
    <n v="429.30000000000007"/>
    <x v="1"/>
    <n v="1100.3500000000001"/>
    <x v="2"/>
    <x v="0"/>
    <x v="2"/>
  </r>
  <r>
    <s v="ORD2116"/>
    <d v="2023-11-28T00:00:00"/>
    <x v="0"/>
    <x v="4"/>
    <x v="3"/>
    <x v="12"/>
    <x v="6"/>
    <n v="1825"/>
    <x v="337"/>
    <x v="1114"/>
    <n v="0.11540684931506849"/>
    <x v="2"/>
    <x v="3"/>
    <n v="2023"/>
    <x v="324"/>
    <n v="2190"/>
    <x v="1"/>
    <n v="6457.53"/>
    <x v="1"/>
    <x v="0"/>
    <x v="2"/>
  </r>
  <r>
    <s v="ORD2117"/>
    <d v="2023-04-06T00:00:00"/>
    <x v="2"/>
    <x v="3"/>
    <x v="0"/>
    <x v="9"/>
    <x v="5"/>
    <n v="4209"/>
    <x v="1068"/>
    <x v="1115"/>
    <n v="0.23060686284492413"/>
    <x v="0"/>
    <x v="11"/>
    <n v="2023"/>
    <x v="977"/>
    <n v="8838.9000000000015"/>
    <x v="0"/>
    <n v="22668.63"/>
    <x v="0"/>
    <x v="1"/>
    <x v="0"/>
  </r>
  <r>
    <s v="ORD2118"/>
    <d v="2023-06-12T00:00:00"/>
    <x v="1"/>
    <x v="4"/>
    <x v="0"/>
    <x v="0"/>
    <x v="2"/>
    <n v="435"/>
    <x v="1069"/>
    <x v="1116"/>
    <n v="0.15909578544061304"/>
    <x v="2"/>
    <x v="2"/>
    <n v="2023"/>
    <x v="978"/>
    <n v="783"/>
    <x v="0"/>
    <n v="2194.7600000000002"/>
    <x v="1"/>
    <x v="0"/>
    <x v="2"/>
  </r>
  <r>
    <s v="ORD2119"/>
    <d v="2023-04-06T00:00:00"/>
    <x v="1"/>
    <x v="3"/>
    <x v="1"/>
    <x v="5"/>
    <x v="7"/>
    <n v="3927"/>
    <x v="127"/>
    <x v="1117"/>
    <n v="0.21036414565826331"/>
    <x v="2"/>
    <x v="11"/>
    <n v="2023"/>
    <x v="979"/>
    <n v="2356.2000000000007"/>
    <x v="1"/>
    <n v="6201.8"/>
    <x v="2"/>
    <x v="0"/>
    <x v="2"/>
  </r>
  <r>
    <s v="ORD2120"/>
    <d v="2023-03-11T00:00:00"/>
    <x v="0"/>
    <x v="2"/>
    <x v="2"/>
    <x v="6"/>
    <x v="0"/>
    <n v="1043"/>
    <x v="1070"/>
    <x v="1118"/>
    <n v="9.2840364333652919E-2"/>
    <x v="2"/>
    <x v="4"/>
    <n v="2023"/>
    <x v="980"/>
    <n v="2503.2000000000007"/>
    <x v="0"/>
    <n v="7569.34"/>
    <x v="0"/>
    <x v="0"/>
    <x v="2"/>
  </r>
  <r>
    <s v="ORD2121"/>
    <d v="2023-02-15T00:00:00"/>
    <x v="1"/>
    <x v="0"/>
    <x v="3"/>
    <x v="4"/>
    <x v="3"/>
    <n v="3585"/>
    <x v="1071"/>
    <x v="1119"/>
    <n v="0.10144335967766931"/>
    <x v="0"/>
    <x v="8"/>
    <n v="2023"/>
    <x v="981"/>
    <n v="9679.5"/>
    <x v="0"/>
    <n v="28991.93"/>
    <x v="0"/>
    <x v="0"/>
    <x v="0"/>
  </r>
  <r>
    <s v="ORD2122"/>
    <d v="2023-11-27T00:00:00"/>
    <x v="1"/>
    <x v="4"/>
    <x v="2"/>
    <x v="13"/>
    <x v="5"/>
    <n v="1516"/>
    <x v="1072"/>
    <x v="1120"/>
    <n v="0.17166321145872598"/>
    <x v="1"/>
    <x v="3"/>
    <n v="2023"/>
    <x v="982"/>
    <n v="3183.5999999999995"/>
    <x v="0"/>
    <n v="8790.31"/>
    <x v="0"/>
    <x v="0"/>
    <x v="1"/>
  </r>
  <r>
    <s v="ORD2123"/>
    <d v="2023-04-23T00:00:00"/>
    <x v="1"/>
    <x v="4"/>
    <x v="0"/>
    <x v="16"/>
    <x v="2"/>
    <n v="2163"/>
    <x v="1073"/>
    <x v="1121"/>
    <n v="0.22298659269533055"/>
    <x v="1"/>
    <x v="11"/>
    <n v="2023"/>
    <x v="983"/>
    <n v="3893.4000000000015"/>
    <x v="0"/>
    <n v="10084.08"/>
    <x v="1"/>
    <x v="0"/>
    <x v="1"/>
  </r>
  <r>
    <s v="ORD2124"/>
    <d v="2023-05-08T00:00:00"/>
    <x v="3"/>
    <x v="4"/>
    <x v="3"/>
    <x v="4"/>
    <x v="2"/>
    <n v="1641"/>
    <x v="1074"/>
    <x v="1122"/>
    <n v="0.24692260816575257"/>
    <x v="2"/>
    <x v="0"/>
    <n v="2023"/>
    <x v="984"/>
    <n v="2953.8000000000011"/>
    <x v="0"/>
    <n v="7414.8000000000011"/>
    <x v="1"/>
    <x v="0"/>
    <x v="2"/>
  </r>
  <r>
    <s v="ORD2125"/>
    <d v="2023-04-18T00:00:00"/>
    <x v="0"/>
    <x v="5"/>
    <x v="0"/>
    <x v="11"/>
    <x v="4"/>
    <n v="4807"/>
    <x v="1075"/>
    <x v="1123"/>
    <n v="8.9411275223632208E-2"/>
    <x v="1"/>
    <x v="11"/>
    <n v="2023"/>
    <x v="985"/>
    <n v="4326.3000000000011"/>
    <x v="1"/>
    <n v="13131.6"/>
    <x v="2"/>
    <x v="0"/>
    <x v="1"/>
  </r>
  <r>
    <s v="ORD2126"/>
    <d v="2023-09-24T00:00:00"/>
    <x v="1"/>
    <x v="0"/>
    <x v="1"/>
    <x v="15"/>
    <x v="8"/>
    <n v="1926"/>
    <x v="1076"/>
    <x v="1124"/>
    <n v="0.19185358255451712"/>
    <x v="2"/>
    <x v="5"/>
    <n v="2023"/>
    <x v="986"/>
    <n v="577.80000000000018"/>
    <x v="1"/>
    <n v="1556.49"/>
    <x v="2"/>
    <x v="0"/>
    <x v="2"/>
  </r>
  <r>
    <s v="ORD2127"/>
    <d v="2023-12-26T00:00:00"/>
    <x v="1"/>
    <x v="2"/>
    <x v="3"/>
    <x v="7"/>
    <x v="7"/>
    <n v="556"/>
    <x v="1077"/>
    <x v="1125"/>
    <n v="0.18573741007194244"/>
    <x v="2"/>
    <x v="7"/>
    <n v="2023"/>
    <x v="987"/>
    <n v="333.6"/>
    <x v="1"/>
    <n v="905.46"/>
    <x v="2"/>
    <x v="0"/>
    <x v="2"/>
  </r>
  <r>
    <s v="ORD2128"/>
    <d v="2023-11-16T00:00:00"/>
    <x v="0"/>
    <x v="3"/>
    <x v="3"/>
    <x v="14"/>
    <x v="4"/>
    <n v="4618"/>
    <x v="1078"/>
    <x v="1126"/>
    <n v="0.16202396419806553"/>
    <x v="1"/>
    <x v="3"/>
    <n v="2023"/>
    <x v="988"/>
    <n v="4156.2000000000007"/>
    <x v="1"/>
    <n v="11609.32"/>
    <x v="2"/>
    <x v="0"/>
    <x v="1"/>
  </r>
  <r>
    <s v="ORD2129"/>
    <d v="2023-08-25T00:00:00"/>
    <x v="1"/>
    <x v="4"/>
    <x v="2"/>
    <x v="3"/>
    <x v="5"/>
    <n v="1735"/>
    <x v="1079"/>
    <x v="1127"/>
    <n v="0.20149855907780978"/>
    <x v="1"/>
    <x v="9"/>
    <n v="2023"/>
    <x v="989"/>
    <n v="3643.5"/>
    <x v="0"/>
    <n v="9697.8000000000011"/>
    <x v="0"/>
    <x v="0"/>
    <x v="1"/>
  </r>
  <r>
    <s v="ORD2130"/>
    <d v="2023-11-07T00:00:00"/>
    <x v="2"/>
    <x v="3"/>
    <x v="3"/>
    <x v="14"/>
    <x v="1"/>
    <n v="492"/>
    <x v="1080"/>
    <x v="1128"/>
    <n v="0.23152439024390242"/>
    <x v="2"/>
    <x v="3"/>
    <n v="2023"/>
    <x v="990"/>
    <n v="738"/>
    <x v="1"/>
    <n v="1890.4500000000003"/>
    <x v="1"/>
    <x v="1"/>
    <x v="2"/>
  </r>
  <r>
    <s v="ORD2131"/>
    <d v="2023-10-07T00:00:00"/>
    <x v="0"/>
    <x v="4"/>
    <x v="3"/>
    <x v="12"/>
    <x v="5"/>
    <n v="2472"/>
    <x v="1081"/>
    <x v="1129"/>
    <n v="0.24717579750346741"/>
    <x v="1"/>
    <x v="1"/>
    <n v="2023"/>
    <x v="991"/>
    <n v="5191.2000000000007"/>
    <x v="0"/>
    <n v="13026.87"/>
    <x v="0"/>
    <x v="0"/>
    <x v="1"/>
  </r>
  <r>
    <s v="ORD2132"/>
    <d v="2023-05-21T00:00:00"/>
    <x v="0"/>
    <x v="0"/>
    <x v="2"/>
    <x v="13"/>
    <x v="6"/>
    <n v="1963"/>
    <x v="210"/>
    <x v="1130"/>
    <n v="0.17513499745287825"/>
    <x v="2"/>
    <x v="0"/>
    <n v="2023"/>
    <x v="206"/>
    <n v="2355.6000000000004"/>
    <x v="1"/>
    <n v="6476.84"/>
    <x v="1"/>
    <x v="0"/>
    <x v="2"/>
  </r>
  <r>
    <s v="ORD2133"/>
    <d v="2023-10-17T00:00:00"/>
    <x v="0"/>
    <x v="0"/>
    <x v="1"/>
    <x v="5"/>
    <x v="5"/>
    <n v="4639"/>
    <x v="1082"/>
    <x v="1131"/>
    <n v="0.21308440858559419"/>
    <x v="0"/>
    <x v="1"/>
    <n v="2023"/>
    <x v="992"/>
    <n v="9741.9000000000015"/>
    <x v="0"/>
    <n v="25553.51"/>
    <x v="0"/>
    <x v="0"/>
    <x v="0"/>
  </r>
  <r>
    <s v="ORD2134"/>
    <d v="2023-03-16T00:00:00"/>
    <x v="1"/>
    <x v="2"/>
    <x v="0"/>
    <x v="9"/>
    <x v="7"/>
    <n v="1582"/>
    <x v="1083"/>
    <x v="1132"/>
    <n v="0.24672882427307205"/>
    <x v="2"/>
    <x v="4"/>
    <n v="2023"/>
    <x v="993"/>
    <n v="949.20000000000027"/>
    <x v="1"/>
    <n v="2383.35"/>
    <x v="2"/>
    <x v="0"/>
    <x v="2"/>
  </r>
  <r>
    <s v="ORD2135"/>
    <d v="2023-03-18T00:00:00"/>
    <x v="2"/>
    <x v="4"/>
    <x v="0"/>
    <x v="9"/>
    <x v="7"/>
    <n v="1220"/>
    <x v="1084"/>
    <x v="1133"/>
    <n v="0.11177459016393443"/>
    <x v="2"/>
    <x v="4"/>
    <n v="2023"/>
    <x v="994"/>
    <n v="732"/>
    <x v="1"/>
    <n v="2167.27"/>
    <x v="2"/>
    <x v="1"/>
    <x v="2"/>
  </r>
  <r>
    <s v="ORD2136"/>
    <d v="2023-08-17T00:00:00"/>
    <x v="1"/>
    <x v="4"/>
    <x v="3"/>
    <x v="14"/>
    <x v="4"/>
    <n v="3885"/>
    <x v="1085"/>
    <x v="1134"/>
    <n v="0.14110939510939513"/>
    <x v="1"/>
    <x v="9"/>
    <n v="2023"/>
    <x v="995"/>
    <n v="3496.5"/>
    <x v="1"/>
    <n v="10010.369999999999"/>
    <x v="2"/>
    <x v="0"/>
    <x v="1"/>
  </r>
  <r>
    <s v="ORD2137"/>
    <d v="2023-03-12T00:00:00"/>
    <x v="2"/>
    <x v="0"/>
    <x v="1"/>
    <x v="15"/>
    <x v="0"/>
    <n v="4237"/>
    <x v="1086"/>
    <x v="1135"/>
    <n v="8.1546790181732359E-2"/>
    <x v="0"/>
    <x v="4"/>
    <n v="2023"/>
    <x v="996"/>
    <n v="10168.800000000003"/>
    <x v="0"/>
    <n v="31131.89"/>
    <x v="0"/>
    <x v="1"/>
    <x v="0"/>
  </r>
  <r>
    <s v="ORD2138"/>
    <d v="2023-07-05T00:00:00"/>
    <x v="1"/>
    <x v="4"/>
    <x v="1"/>
    <x v="15"/>
    <x v="5"/>
    <n v="3977"/>
    <x v="1087"/>
    <x v="1136"/>
    <n v="0.18318545924781782"/>
    <x v="0"/>
    <x v="10"/>
    <n v="2023"/>
    <x v="997"/>
    <n v="8351.7000000000044"/>
    <x v="0"/>
    <n v="22739.3"/>
    <x v="0"/>
    <x v="0"/>
    <x v="0"/>
  </r>
  <r>
    <s v="ORD2139"/>
    <d v="2023-04-25T00:00:00"/>
    <x v="1"/>
    <x v="3"/>
    <x v="3"/>
    <x v="10"/>
    <x v="5"/>
    <n v="4008"/>
    <x v="1088"/>
    <x v="1137"/>
    <n v="0.17505310806957514"/>
    <x v="0"/>
    <x v="11"/>
    <n v="2023"/>
    <x v="378"/>
    <n v="8416.7999999999993"/>
    <x v="0"/>
    <n v="23144.71"/>
    <x v="0"/>
    <x v="0"/>
    <x v="0"/>
  </r>
  <r>
    <s v="ORD2140"/>
    <d v="2023-02-21T00:00:00"/>
    <x v="0"/>
    <x v="3"/>
    <x v="1"/>
    <x v="1"/>
    <x v="8"/>
    <n v="3116"/>
    <x v="1089"/>
    <x v="1138"/>
    <n v="0.17956033376123234"/>
    <x v="2"/>
    <x v="8"/>
    <n v="2023"/>
    <x v="998"/>
    <n v="934.80000000000018"/>
    <x v="1"/>
    <n v="2556.4899999999998"/>
    <x v="2"/>
    <x v="0"/>
    <x v="2"/>
  </r>
  <r>
    <s v="ORD2141"/>
    <d v="2023-11-05T00:00:00"/>
    <x v="2"/>
    <x v="1"/>
    <x v="3"/>
    <x v="7"/>
    <x v="8"/>
    <n v="4149"/>
    <x v="1090"/>
    <x v="1139"/>
    <n v="0.20833935888165822"/>
    <x v="2"/>
    <x v="3"/>
    <n v="2023"/>
    <x v="999"/>
    <n v="1244.7000000000003"/>
    <x v="1"/>
    <n v="3284.6"/>
    <x v="2"/>
    <x v="1"/>
    <x v="2"/>
  </r>
  <r>
    <s v="ORD2142"/>
    <d v="2023-06-13T00:00:00"/>
    <x v="1"/>
    <x v="2"/>
    <x v="3"/>
    <x v="7"/>
    <x v="5"/>
    <n v="2077"/>
    <x v="1091"/>
    <x v="1140"/>
    <n v="0.10632299332828943"/>
    <x v="1"/>
    <x v="2"/>
    <n v="2023"/>
    <x v="1000"/>
    <n v="4361.7000000000007"/>
    <x v="0"/>
    <n v="12993.17"/>
    <x v="0"/>
    <x v="0"/>
    <x v="1"/>
  </r>
  <r>
    <s v="ORD2143"/>
    <d v="2023-06-16T00:00:00"/>
    <x v="3"/>
    <x v="4"/>
    <x v="3"/>
    <x v="12"/>
    <x v="2"/>
    <n v="4286"/>
    <x v="1092"/>
    <x v="1141"/>
    <n v="0.15144229273603982"/>
    <x v="0"/>
    <x v="2"/>
    <n v="2023"/>
    <x v="696"/>
    <n v="7714.8000000000029"/>
    <x v="0"/>
    <n v="21821.51"/>
    <x v="1"/>
    <x v="0"/>
    <x v="0"/>
  </r>
  <r>
    <s v="ORD2144"/>
    <d v="2023-08-26T00:00:00"/>
    <x v="3"/>
    <x v="2"/>
    <x v="1"/>
    <x v="1"/>
    <x v="6"/>
    <n v="348"/>
    <x v="1093"/>
    <x v="1142"/>
    <n v="0.24571120689655171"/>
    <x v="2"/>
    <x v="9"/>
    <n v="2023"/>
    <x v="1001"/>
    <n v="417.6"/>
    <x v="1"/>
    <n v="1049.97"/>
    <x v="1"/>
    <x v="0"/>
    <x v="2"/>
  </r>
  <r>
    <s v="ORD2145"/>
    <d v="2023-03-07T00:00:00"/>
    <x v="0"/>
    <x v="2"/>
    <x v="3"/>
    <x v="14"/>
    <x v="0"/>
    <n v="3744"/>
    <x v="1094"/>
    <x v="1143"/>
    <n v="0.19255909455128203"/>
    <x v="0"/>
    <x v="4"/>
    <n v="2023"/>
    <x v="1002"/>
    <n v="8985.6000000000022"/>
    <x v="0"/>
    <n v="24184.47"/>
    <x v="0"/>
    <x v="0"/>
    <x v="0"/>
  </r>
  <r>
    <s v="ORD2146"/>
    <d v="2023-05-21T00:00:00"/>
    <x v="2"/>
    <x v="1"/>
    <x v="1"/>
    <x v="2"/>
    <x v="2"/>
    <n v="2805"/>
    <x v="1095"/>
    <x v="1144"/>
    <n v="0.13774747474747476"/>
    <x v="1"/>
    <x v="0"/>
    <n v="2023"/>
    <x v="1003"/>
    <n v="5049.0000000000018"/>
    <x v="0"/>
    <n v="14511.710000000001"/>
    <x v="1"/>
    <x v="1"/>
    <x v="1"/>
  </r>
  <r>
    <s v="ORD2147"/>
    <d v="2023-11-19T00:00:00"/>
    <x v="0"/>
    <x v="0"/>
    <x v="1"/>
    <x v="5"/>
    <x v="3"/>
    <n v="1607"/>
    <x v="1096"/>
    <x v="1145"/>
    <n v="0.1101265297656088"/>
    <x v="1"/>
    <x v="3"/>
    <n v="2023"/>
    <x v="1004"/>
    <n v="4338.9000000000015"/>
    <x v="0"/>
    <n v="12870.24"/>
    <x v="0"/>
    <x v="0"/>
    <x v="1"/>
  </r>
  <r>
    <s v="ORD2148"/>
    <d v="2023-06-05T00:00:00"/>
    <x v="3"/>
    <x v="1"/>
    <x v="0"/>
    <x v="9"/>
    <x v="4"/>
    <n v="4998"/>
    <x v="1097"/>
    <x v="1146"/>
    <n v="9.9975323462718424E-2"/>
    <x v="1"/>
    <x v="2"/>
    <n v="2023"/>
    <x v="1005"/>
    <n v="4498.2000000000007"/>
    <x v="1"/>
    <n v="13494.97"/>
    <x v="2"/>
    <x v="0"/>
    <x v="1"/>
  </r>
  <r>
    <s v="ORD2149"/>
    <d v="2023-12-09T00:00:00"/>
    <x v="3"/>
    <x v="0"/>
    <x v="0"/>
    <x v="9"/>
    <x v="0"/>
    <n v="2424"/>
    <x v="1098"/>
    <x v="1147"/>
    <n v="0.1736174711221122"/>
    <x v="1"/>
    <x v="7"/>
    <n v="2023"/>
    <x v="1006"/>
    <n v="5817.6"/>
    <x v="0"/>
    <n v="16025.21"/>
    <x v="0"/>
    <x v="0"/>
    <x v="1"/>
  </r>
  <r>
    <s v="ORD2150"/>
    <d v="2023-12-22T00:00:00"/>
    <x v="3"/>
    <x v="2"/>
    <x v="3"/>
    <x v="12"/>
    <x v="7"/>
    <n v="4497"/>
    <x v="1099"/>
    <x v="1148"/>
    <n v="0.12392706248610183"/>
    <x v="2"/>
    <x v="7"/>
    <n v="2023"/>
    <x v="1007"/>
    <n v="2698.2000000000007"/>
    <x v="1"/>
    <n v="7879.4"/>
    <x v="2"/>
    <x v="0"/>
    <x v="2"/>
  </r>
  <r>
    <s v="ORD2151"/>
    <d v="2023-08-25T00:00:00"/>
    <x v="2"/>
    <x v="4"/>
    <x v="0"/>
    <x v="16"/>
    <x v="5"/>
    <n v="2402"/>
    <x v="1100"/>
    <x v="1149"/>
    <n v="0.20989651480908766"/>
    <x v="1"/>
    <x v="9"/>
    <n v="2023"/>
    <x v="1008"/>
    <n v="5044.2000000000007"/>
    <x v="0"/>
    <n v="13284.8"/>
    <x v="0"/>
    <x v="1"/>
    <x v="1"/>
  </r>
  <r>
    <s v="ORD2152"/>
    <d v="2023-03-20T00:00:00"/>
    <x v="1"/>
    <x v="0"/>
    <x v="1"/>
    <x v="2"/>
    <x v="2"/>
    <n v="3871"/>
    <x v="1101"/>
    <x v="1150"/>
    <n v="0.18032894170326358"/>
    <x v="0"/>
    <x v="4"/>
    <n v="2023"/>
    <x v="1009"/>
    <n v="6967.8000000000011"/>
    <x v="0"/>
    <n v="19037.68"/>
    <x v="1"/>
    <x v="0"/>
    <x v="0"/>
  </r>
  <r>
    <s v="ORD2153"/>
    <d v="2023-08-15T00:00:00"/>
    <x v="1"/>
    <x v="4"/>
    <x v="2"/>
    <x v="3"/>
    <x v="2"/>
    <n v="452"/>
    <x v="1102"/>
    <x v="1151"/>
    <n v="0.19081858407079647"/>
    <x v="2"/>
    <x v="9"/>
    <n v="2023"/>
    <x v="1010"/>
    <n v="813.60000000000014"/>
    <x v="0"/>
    <n v="2194.5"/>
    <x v="1"/>
    <x v="0"/>
    <x v="2"/>
  </r>
  <r>
    <s v="ORD2154"/>
    <d v="2023-09-24T00:00:00"/>
    <x v="3"/>
    <x v="3"/>
    <x v="2"/>
    <x v="6"/>
    <x v="6"/>
    <n v="2177"/>
    <x v="1103"/>
    <x v="1152"/>
    <n v="0.21733118971061094"/>
    <x v="2"/>
    <x v="5"/>
    <n v="2023"/>
    <x v="596"/>
    <n v="2612.4000000000005"/>
    <x v="1"/>
    <n v="6815.48"/>
    <x v="1"/>
    <x v="0"/>
    <x v="2"/>
  </r>
  <r>
    <s v="ORD2155"/>
    <d v="2023-05-21T00:00:00"/>
    <x v="1"/>
    <x v="4"/>
    <x v="1"/>
    <x v="15"/>
    <x v="5"/>
    <n v="1787"/>
    <x v="1104"/>
    <x v="1153"/>
    <n v="0.17338556239507555"/>
    <x v="1"/>
    <x v="0"/>
    <n v="2023"/>
    <x v="1011"/>
    <n v="3752.7000000000007"/>
    <x v="0"/>
    <n v="10340.120000000001"/>
    <x v="0"/>
    <x v="0"/>
    <x v="1"/>
  </r>
  <r>
    <s v="ORD2156"/>
    <d v="2023-11-07T00:00:00"/>
    <x v="2"/>
    <x v="5"/>
    <x v="1"/>
    <x v="1"/>
    <x v="0"/>
    <n v="912"/>
    <x v="1105"/>
    <x v="1154"/>
    <n v="0.23416666666666666"/>
    <x v="2"/>
    <x v="3"/>
    <n v="2023"/>
    <x v="1012"/>
    <n v="2188.8000000000002"/>
    <x v="0"/>
    <n v="5587.52"/>
    <x v="0"/>
    <x v="1"/>
    <x v="2"/>
  </r>
  <r>
    <s v="ORD2157"/>
    <d v="2023-10-26T00:00:00"/>
    <x v="0"/>
    <x v="0"/>
    <x v="1"/>
    <x v="1"/>
    <x v="7"/>
    <n v="3501"/>
    <x v="1106"/>
    <x v="1155"/>
    <n v="0.11854470151385318"/>
    <x v="2"/>
    <x v="1"/>
    <n v="2023"/>
    <x v="1013"/>
    <n v="2100.6000000000004"/>
    <x v="1"/>
    <n v="6171.95"/>
    <x v="2"/>
    <x v="0"/>
    <x v="2"/>
  </r>
  <r>
    <s v="ORD2158"/>
    <d v="2023-10-30T00:00:00"/>
    <x v="2"/>
    <x v="3"/>
    <x v="2"/>
    <x v="13"/>
    <x v="6"/>
    <n v="803"/>
    <x v="1107"/>
    <x v="1156"/>
    <n v="0.23236301369863013"/>
    <x v="2"/>
    <x v="1"/>
    <n v="2023"/>
    <x v="1014"/>
    <n v="963.60000000000036"/>
    <x v="1"/>
    <n v="2465.65"/>
    <x v="1"/>
    <x v="1"/>
    <x v="2"/>
  </r>
  <r>
    <s v="ORD2159"/>
    <d v="2023-03-29T00:00:00"/>
    <x v="1"/>
    <x v="2"/>
    <x v="1"/>
    <x v="15"/>
    <x v="7"/>
    <n v="4889"/>
    <x v="1108"/>
    <x v="1157"/>
    <n v="0.13450501124974432"/>
    <x v="2"/>
    <x v="4"/>
    <n v="2023"/>
    <x v="1015"/>
    <n v="2933.4000000000005"/>
    <x v="1"/>
    <n v="8462.81"/>
    <x v="2"/>
    <x v="0"/>
    <x v="2"/>
  </r>
  <r>
    <s v="ORD2160"/>
    <d v="2023-03-06T00:00:00"/>
    <x v="1"/>
    <x v="4"/>
    <x v="1"/>
    <x v="15"/>
    <x v="5"/>
    <n v="2853"/>
    <x v="1109"/>
    <x v="1158"/>
    <n v="0.10294627209453708"/>
    <x v="1"/>
    <x v="4"/>
    <n v="2023"/>
    <x v="1016"/>
    <n v="5991.3000000000011"/>
    <x v="0"/>
    <n v="17915.059999999998"/>
    <x v="0"/>
    <x v="0"/>
    <x v="1"/>
  </r>
  <r>
    <s v="ORD2161"/>
    <d v="2023-11-20T00:00:00"/>
    <x v="0"/>
    <x v="2"/>
    <x v="0"/>
    <x v="11"/>
    <x v="1"/>
    <n v="4766"/>
    <x v="1110"/>
    <x v="1159"/>
    <n v="0.13197859840537138"/>
    <x v="0"/>
    <x v="3"/>
    <n v="2023"/>
    <x v="151"/>
    <n v="7149"/>
    <x v="1"/>
    <n v="20684.95"/>
    <x v="1"/>
    <x v="0"/>
    <x v="0"/>
  </r>
  <r>
    <s v="ORD2162"/>
    <d v="2023-12-19T00:00:00"/>
    <x v="3"/>
    <x v="2"/>
    <x v="1"/>
    <x v="1"/>
    <x v="7"/>
    <n v="1864"/>
    <x v="1111"/>
    <x v="1160"/>
    <n v="0.10215396995708154"/>
    <x v="2"/>
    <x v="7"/>
    <n v="2023"/>
    <x v="1017"/>
    <n v="1118.4000000000001"/>
    <x v="1"/>
    <n v="3347.17"/>
    <x v="2"/>
    <x v="0"/>
    <x v="2"/>
  </r>
  <r>
    <s v="ORD2163"/>
    <d v="2023-07-27T00:00:00"/>
    <x v="3"/>
    <x v="1"/>
    <x v="3"/>
    <x v="4"/>
    <x v="0"/>
    <n v="3203"/>
    <x v="1112"/>
    <x v="1161"/>
    <n v="0.10239072744302216"/>
    <x v="0"/>
    <x v="10"/>
    <n v="2023"/>
    <x v="1018"/>
    <n v="7687.2000000000007"/>
    <x v="0"/>
    <n v="23000.34"/>
    <x v="0"/>
    <x v="0"/>
    <x v="0"/>
  </r>
  <r>
    <s v="ORD2164"/>
    <d v="2023-03-16T00:00:00"/>
    <x v="0"/>
    <x v="0"/>
    <x v="2"/>
    <x v="6"/>
    <x v="7"/>
    <n v="621"/>
    <x v="1113"/>
    <x v="1162"/>
    <n v="0.19142512077294685"/>
    <x v="2"/>
    <x v="4"/>
    <n v="2023"/>
    <x v="1019"/>
    <n v="372.6"/>
    <x v="1"/>
    <n v="1004.25"/>
    <x v="2"/>
    <x v="0"/>
    <x v="2"/>
  </r>
  <r>
    <s v="ORD2165"/>
    <d v="2023-05-18T00:00:00"/>
    <x v="0"/>
    <x v="3"/>
    <x v="0"/>
    <x v="9"/>
    <x v="1"/>
    <n v="2147"/>
    <x v="1114"/>
    <x v="1163"/>
    <n v="0.19589287377736375"/>
    <x v="1"/>
    <x v="0"/>
    <n v="2023"/>
    <x v="832"/>
    <n v="3220.5000000000009"/>
    <x v="1"/>
    <n v="8632.09"/>
    <x v="1"/>
    <x v="0"/>
    <x v="1"/>
  </r>
  <r>
    <s v="ORD2166"/>
    <d v="2023-05-02T00:00:00"/>
    <x v="1"/>
    <x v="3"/>
    <x v="1"/>
    <x v="1"/>
    <x v="4"/>
    <n v="4680"/>
    <x v="1115"/>
    <x v="1164"/>
    <n v="0.14044017094017094"/>
    <x v="1"/>
    <x v="0"/>
    <n v="2023"/>
    <x v="1020"/>
    <n v="4212"/>
    <x v="1"/>
    <n v="12068.220000000001"/>
    <x v="2"/>
    <x v="0"/>
    <x v="1"/>
  </r>
  <r>
    <s v="ORD2167"/>
    <d v="2023-04-01T00:00:00"/>
    <x v="2"/>
    <x v="3"/>
    <x v="3"/>
    <x v="7"/>
    <x v="0"/>
    <n v="942"/>
    <x v="1116"/>
    <x v="1165"/>
    <n v="8.0664808917197448E-2"/>
    <x v="2"/>
    <x v="11"/>
    <n v="2023"/>
    <x v="1021"/>
    <n v="2260.8000000000002"/>
    <x v="0"/>
    <n v="6928.1100000000006"/>
    <x v="0"/>
    <x v="1"/>
    <x v="2"/>
  </r>
  <r>
    <s v="ORD2168"/>
    <d v="2023-12-22T00:00:00"/>
    <x v="3"/>
    <x v="1"/>
    <x v="1"/>
    <x v="5"/>
    <x v="8"/>
    <n v="4635"/>
    <x v="1117"/>
    <x v="1166"/>
    <n v="0.17266450916936352"/>
    <x v="2"/>
    <x v="7"/>
    <n v="2023"/>
    <x v="1022"/>
    <n v="1390.5"/>
    <x v="1"/>
    <n v="3834.7000000000003"/>
    <x v="2"/>
    <x v="0"/>
    <x v="2"/>
  </r>
  <r>
    <s v="ORD2169"/>
    <d v="2023-07-23T00:00:00"/>
    <x v="1"/>
    <x v="0"/>
    <x v="2"/>
    <x v="8"/>
    <x v="3"/>
    <n v="2247"/>
    <x v="1118"/>
    <x v="1167"/>
    <n v="0.20051278247539928"/>
    <x v="0"/>
    <x v="10"/>
    <n v="2023"/>
    <x v="1023"/>
    <n v="6066.9000000000015"/>
    <x v="0"/>
    <n v="16168.03"/>
    <x v="0"/>
    <x v="0"/>
    <x v="0"/>
  </r>
  <r>
    <s v="ORD2170"/>
    <d v="2023-09-29T00:00:00"/>
    <x v="2"/>
    <x v="0"/>
    <x v="0"/>
    <x v="9"/>
    <x v="2"/>
    <n v="4933"/>
    <x v="1119"/>
    <x v="1168"/>
    <n v="0.12141867693763092"/>
    <x v="0"/>
    <x v="5"/>
    <n v="2023"/>
    <x v="1024"/>
    <n v="8879.4000000000015"/>
    <x v="0"/>
    <n v="26004.25"/>
    <x v="1"/>
    <x v="1"/>
    <x v="0"/>
  </r>
  <r>
    <s v="ORD2171"/>
    <d v="2023-12-03T00:00:00"/>
    <x v="3"/>
    <x v="3"/>
    <x v="3"/>
    <x v="4"/>
    <x v="4"/>
    <n v="2237"/>
    <x v="1120"/>
    <x v="1169"/>
    <n v="0.15270302488451795"/>
    <x v="2"/>
    <x v="7"/>
    <n v="2023"/>
    <x v="1025"/>
    <n v="2013.3000000000002"/>
    <x v="1"/>
    <n v="5686.21"/>
    <x v="2"/>
    <x v="0"/>
    <x v="2"/>
  </r>
  <r>
    <s v="ORD2172"/>
    <d v="2023-03-07T00:00:00"/>
    <x v="1"/>
    <x v="2"/>
    <x v="1"/>
    <x v="2"/>
    <x v="0"/>
    <n v="1156"/>
    <x v="1121"/>
    <x v="1170"/>
    <n v="0.17344615051903114"/>
    <x v="2"/>
    <x v="4"/>
    <n v="2023"/>
    <x v="1026"/>
    <n v="2774.4000000000005"/>
    <x v="0"/>
    <n v="7643.97"/>
    <x v="0"/>
    <x v="0"/>
    <x v="2"/>
  </r>
  <r>
    <s v="ORD2173"/>
    <d v="2023-05-12T00:00:00"/>
    <x v="2"/>
    <x v="2"/>
    <x v="2"/>
    <x v="6"/>
    <x v="3"/>
    <n v="2449"/>
    <x v="1122"/>
    <x v="1171"/>
    <n v="0.13858128034118233"/>
    <x v="0"/>
    <x v="0"/>
    <n v="2023"/>
    <x v="1027"/>
    <n v="6612.3000000000011"/>
    <x v="0"/>
    <n v="18986.53"/>
    <x v="0"/>
    <x v="1"/>
    <x v="0"/>
  </r>
  <r>
    <s v="ORD2174"/>
    <d v="2023-07-13T00:00:00"/>
    <x v="3"/>
    <x v="4"/>
    <x v="3"/>
    <x v="12"/>
    <x v="7"/>
    <n v="3012"/>
    <x v="1123"/>
    <x v="1172"/>
    <n v="0.12048140770252323"/>
    <x v="2"/>
    <x v="10"/>
    <n v="2023"/>
    <x v="1028"/>
    <n v="1807.1999999999998"/>
    <x v="1"/>
    <n v="5298.22"/>
    <x v="2"/>
    <x v="0"/>
    <x v="2"/>
  </r>
  <r>
    <s v="ORD2175"/>
    <d v="2023-05-05T00:00:00"/>
    <x v="1"/>
    <x v="4"/>
    <x v="1"/>
    <x v="15"/>
    <x v="3"/>
    <n v="2787"/>
    <x v="1124"/>
    <x v="1173"/>
    <n v="0.18868038113463304"/>
    <x v="0"/>
    <x v="0"/>
    <n v="2023"/>
    <x v="1029"/>
    <n v="7524.9000000000015"/>
    <x v="0"/>
    <n v="20350.329999999998"/>
    <x v="0"/>
    <x v="0"/>
    <x v="0"/>
  </r>
  <r>
    <s v="ORD2176"/>
    <d v="2023-11-21T00:00:00"/>
    <x v="2"/>
    <x v="3"/>
    <x v="1"/>
    <x v="5"/>
    <x v="3"/>
    <n v="4995"/>
    <x v="1125"/>
    <x v="1174"/>
    <n v="0.20709153598042485"/>
    <x v="0"/>
    <x v="3"/>
    <n v="2023"/>
    <x v="192"/>
    <n v="13486.5"/>
    <x v="0"/>
    <n v="35645.200000000004"/>
    <x v="0"/>
    <x v="1"/>
    <x v="0"/>
  </r>
  <r>
    <s v="ORD2177"/>
    <d v="2023-08-24T00:00:00"/>
    <x v="2"/>
    <x v="0"/>
    <x v="1"/>
    <x v="1"/>
    <x v="3"/>
    <n v="3486"/>
    <x v="1126"/>
    <x v="1175"/>
    <n v="9.4697838974947421E-2"/>
    <x v="0"/>
    <x v="9"/>
    <n v="2023"/>
    <x v="1030"/>
    <n v="9412.2000000000007"/>
    <x v="0"/>
    <n v="28402.95"/>
    <x v="0"/>
    <x v="1"/>
    <x v="0"/>
  </r>
  <r>
    <s v="ORD2178"/>
    <d v="2023-03-01T00:00:00"/>
    <x v="2"/>
    <x v="4"/>
    <x v="3"/>
    <x v="7"/>
    <x v="5"/>
    <n v="1385"/>
    <x v="1127"/>
    <x v="1176"/>
    <n v="0.24986487880350697"/>
    <x v="2"/>
    <x v="4"/>
    <n v="2023"/>
    <x v="1031"/>
    <n v="2908.5000000000009"/>
    <x v="0"/>
    <n v="7272.56"/>
    <x v="0"/>
    <x v="1"/>
    <x v="2"/>
  </r>
  <r>
    <s v="ORD2179"/>
    <d v="2023-01-14T00:00:00"/>
    <x v="3"/>
    <x v="2"/>
    <x v="3"/>
    <x v="4"/>
    <x v="2"/>
    <n v="4464"/>
    <x v="1012"/>
    <x v="1177"/>
    <n v="0.17248506571087216"/>
    <x v="0"/>
    <x v="6"/>
    <n v="2023"/>
    <x v="931"/>
    <n v="8035.2000000000007"/>
    <x v="0"/>
    <n v="22164.16"/>
    <x v="1"/>
    <x v="0"/>
    <x v="0"/>
  </r>
  <r>
    <s v="ORD2180"/>
    <d v="2023-03-26T00:00:00"/>
    <x v="3"/>
    <x v="2"/>
    <x v="3"/>
    <x v="4"/>
    <x v="0"/>
    <n v="1889"/>
    <x v="1128"/>
    <x v="1178"/>
    <n v="0.12883073054526206"/>
    <x v="1"/>
    <x v="4"/>
    <n v="2023"/>
    <x v="1032"/>
    <n v="4533.6000000000004"/>
    <x v="0"/>
    <n v="13165.11"/>
    <x v="0"/>
    <x v="0"/>
    <x v="1"/>
  </r>
  <r>
    <s v="ORD2181"/>
    <d v="2023-08-18T00:00:00"/>
    <x v="1"/>
    <x v="5"/>
    <x v="1"/>
    <x v="1"/>
    <x v="2"/>
    <n v="3223"/>
    <x v="1129"/>
    <x v="1179"/>
    <n v="0.21715223911469644"/>
    <x v="1"/>
    <x v="9"/>
    <n v="2023"/>
    <x v="1033"/>
    <n v="5801.4000000000015"/>
    <x v="0"/>
    <n v="15138.71"/>
    <x v="1"/>
    <x v="0"/>
    <x v="1"/>
  </r>
  <r>
    <s v="ORD2182"/>
    <d v="2023-09-14T00:00:00"/>
    <x v="0"/>
    <x v="1"/>
    <x v="3"/>
    <x v="4"/>
    <x v="7"/>
    <n v="1329"/>
    <x v="1130"/>
    <x v="1180"/>
    <n v="0.10350639578630549"/>
    <x v="2"/>
    <x v="5"/>
    <n v="2023"/>
    <x v="1034"/>
    <n v="797.40000000000009"/>
    <x v="1"/>
    <n v="2382.88"/>
    <x v="2"/>
    <x v="0"/>
    <x v="2"/>
  </r>
  <r>
    <s v="ORD2183"/>
    <d v="2023-02-03T00:00:00"/>
    <x v="3"/>
    <x v="4"/>
    <x v="3"/>
    <x v="4"/>
    <x v="6"/>
    <n v="3409"/>
    <x v="1131"/>
    <x v="1181"/>
    <n v="0.2123173951305368"/>
    <x v="1"/>
    <x v="8"/>
    <n v="2023"/>
    <x v="1035"/>
    <n v="4090.8000000000011"/>
    <x v="1"/>
    <n v="10740.84"/>
    <x v="1"/>
    <x v="0"/>
    <x v="1"/>
  </r>
  <r>
    <s v="ORD2184"/>
    <d v="2023-01-01T00:00:00"/>
    <x v="2"/>
    <x v="4"/>
    <x v="1"/>
    <x v="15"/>
    <x v="2"/>
    <n v="2075"/>
    <x v="1132"/>
    <x v="1182"/>
    <n v="0.14774136546184741"/>
    <x v="1"/>
    <x v="6"/>
    <n v="2023"/>
    <x v="1036"/>
    <n v="3735"/>
    <x v="0"/>
    <n v="10610.62"/>
    <x v="1"/>
    <x v="1"/>
    <x v="1"/>
  </r>
  <r>
    <s v="ORD2185"/>
    <d v="2023-12-20T00:00:00"/>
    <x v="2"/>
    <x v="0"/>
    <x v="2"/>
    <x v="13"/>
    <x v="5"/>
    <n v="2868"/>
    <x v="1133"/>
    <x v="1183"/>
    <n v="9.6667662881052011E-2"/>
    <x v="0"/>
    <x v="7"/>
    <n v="2023"/>
    <x v="512"/>
    <n v="6022.8000000000011"/>
    <x v="0"/>
    <n v="18135.3"/>
    <x v="0"/>
    <x v="1"/>
    <x v="0"/>
  </r>
  <r>
    <s v="ORD2186"/>
    <d v="2023-03-22T00:00:00"/>
    <x v="0"/>
    <x v="4"/>
    <x v="2"/>
    <x v="6"/>
    <x v="4"/>
    <n v="2370"/>
    <x v="1134"/>
    <x v="1184"/>
    <n v="0.21402812939521801"/>
    <x v="2"/>
    <x v="4"/>
    <n v="2023"/>
    <x v="860"/>
    <n v="2133"/>
    <x v="1"/>
    <n v="5588.26"/>
    <x v="2"/>
    <x v="0"/>
    <x v="2"/>
  </r>
  <r>
    <s v="ORD2187"/>
    <d v="2023-01-20T00:00:00"/>
    <x v="3"/>
    <x v="4"/>
    <x v="1"/>
    <x v="1"/>
    <x v="1"/>
    <n v="2956"/>
    <x v="1135"/>
    <x v="1185"/>
    <n v="9.6960081190798367E-2"/>
    <x v="1"/>
    <x v="6"/>
    <n v="2023"/>
    <x v="1037"/>
    <n v="4434"/>
    <x v="1"/>
    <n v="13346.93"/>
    <x v="1"/>
    <x v="0"/>
    <x v="1"/>
  </r>
  <r>
    <s v="ORD2188"/>
    <d v="2023-10-08T00:00:00"/>
    <x v="0"/>
    <x v="4"/>
    <x v="1"/>
    <x v="5"/>
    <x v="8"/>
    <n v="3403"/>
    <x v="1136"/>
    <x v="1186"/>
    <n v="0.17103144284454891"/>
    <x v="2"/>
    <x v="1"/>
    <n v="2023"/>
    <x v="571"/>
    <n v="1020.9000000000001"/>
    <x v="1"/>
    <n v="2820.98"/>
    <x v="2"/>
    <x v="0"/>
    <x v="2"/>
  </r>
  <r>
    <s v="ORD2189"/>
    <d v="2023-10-05T00:00:00"/>
    <x v="1"/>
    <x v="3"/>
    <x v="1"/>
    <x v="15"/>
    <x v="7"/>
    <n v="242"/>
    <x v="1137"/>
    <x v="1187"/>
    <n v="0.21092975206611572"/>
    <x v="2"/>
    <x v="1"/>
    <n v="2023"/>
    <x v="479"/>
    <n v="145.20000000000005"/>
    <x v="1"/>
    <n v="381.90999999999997"/>
    <x v="2"/>
    <x v="0"/>
    <x v="2"/>
  </r>
  <r>
    <s v="ORD2190"/>
    <d v="2023-07-23T00:00:00"/>
    <x v="2"/>
    <x v="1"/>
    <x v="1"/>
    <x v="2"/>
    <x v="7"/>
    <n v="1767"/>
    <x v="1138"/>
    <x v="1188"/>
    <n v="0.11630164119977363"/>
    <x v="2"/>
    <x v="10"/>
    <n v="2023"/>
    <x v="1038"/>
    <n v="1060.2000000000003"/>
    <x v="1"/>
    <n v="3122.9900000000002"/>
    <x v="2"/>
    <x v="1"/>
    <x v="2"/>
  </r>
  <r>
    <s v="ORD2191"/>
    <d v="2023-04-24T00:00:00"/>
    <x v="0"/>
    <x v="0"/>
    <x v="2"/>
    <x v="3"/>
    <x v="7"/>
    <n v="3601"/>
    <x v="1139"/>
    <x v="1189"/>
    <n v="0.23369897250763674"/>
    <x v="2"/>
    <x v="11"/>
    <n v="2023"/>
    <x v="1039"/>
    <n v="2160.6000000000004"/>
    <x v="1"/>
    <n v="5518.9000000000005"/>
    <x v="2"/>
    <x v="0"/>
    <x v="2"/>
  </r>
  <r>
    <s v="ORD2192"/>
    <d v="2023-11-09T00:00:00"/>
    <x v="1"/>
    <x v="3"/>
    <x v="0"/>
    <x v="9"/>
    <x v="6"/>
    <n v="2139"/>
    <x v="1140"/>
    <x v="1190"/>
    <n v="0.23550724637681159"/>
    <x v="2"/>
    <x v="3"/>
    <n v="2023"/>
    <x v="1040"/>
    <n v="2566.8000000000002"/>
    <x v="1"/>
    <n v="6541.0000000000009"/>
    <x v="1"/>
    <x v="0"/>
    <x v="2"/>
  </r>
  <r>
    <s v="ORD2193"/>
    <d v="2023-02-11T00:00:00"/>
    <x v="0"/>
    <x v="2"/>
    <x v="1"/>
    <x v="2"/>
    <x v="3"/>
    <n v="1077"/>
    <x v="1141"/>
    <x v="1191"/>
    <n v="0.11291653770762405"/>
    <x v="2"/>
    <x v="8"/>
    <n v="2023"/>
    <x v="1041"/>
    <n v="2907.9000000000005"/>
    <x v="0"/>
    <n v="8598.5"/>
    <x v="0"/>
    <x v="0"/>
    <x v="2"/>
  </r>
  <r>
    <s v="ORD2194"/>
    <d v="2023-12-25T00:00:00"/>
    <x v="2"/>
    <x v="0"/>
    <x v="3"/>
    <x v="12"/>
    <x v="2"/>
    <n v="2955"/>
    <x v="1142"/>
    <x v="1192"/>
    <n v="0.11854878736604624"/>
    <x v="1"/>
    <x v="7"/>
    <n v="2023"/>
    <x v="1042"/>
    <n v="5319"/>
    <x v="0"/>
    <n v="15628.130000000001"/>
    <x v="1"/>
    <x v="1"/>
    <x v="1"/>
  </r>
  <r>
    <s v="ORD2195"/>
    <d v="2023-11-27T00:00:00"/>
    <x v="3"/>
    <x v="4"/>
    <x v="3"/>
    <x v="4"/>
    <x v="8"/>
    <n v="2061"/>
    <x v="1143"/>
    <x v="1193"/>
    <n v="0.13558951965065502"/>
    <x v="2"/>
    <x v="3"/>
    <n v="2023"/>
    <x v="1043"/>
    <n v="618.30000000000018"/>
    <x v="1"/>
    <n v="1781.55"/>
    <x v="2"/>
    <x v="0"/>
    <x v="2"/>
  </r>
  <r>
    <s v="ORD2196"/>
    <d v="2023-01-19T00:00:00"/>
    <x v="0"/>
    <x v="3"/>
    <x v="2"/>
    <x v="13"/>
    <x v="5"/>
    <n v="4863"/>
    <x v="1144"/>
    <x v="1194"/>
    <n v="0.23453100672718194"/>
    <x v="0"/>
    <x v="6"/>
    <n v="2023"/>
    <x v="1044"/>
    <n v="10212.299999999999"/>
    <x v="0"/>
    <n v="26057.329999999998"/>
    <x v="0"/>
    <x v="0"/>
    <x v="0"/>
  </r>
  <r>
    <s v="ORD2197"/>
    <d v="2023-08-05T00:00:00"/>
    <x v="1"/>
    <x v="3"/>
    <x v="1"/>
    <x v="5"/>
    <x v="6"/>
    <n v="2270"/>
    <x v="1145"/>
    <x v="1195"/>
    <n v="0.20157378854625549"/>
    <x v="2"/>
    <x v="9"/>
    <n v="2023"/>
    <x v="1045"/>
    <n v="2724"/>
    <x v="1"/>
    <n v="7249.71"/>
    <x v="1"/>
    <x v="0"/>
    <x v="2"/>
  </r>
  <r>
    <s v="ORD2198"/>
    <d v="2023-03-26T00:00:00"/>
    <x v="3"/>
    <x v="3"/>
    <x v="2"/>
    <x v="8"/>
    <x v="4"/>
    <n v="880"/>
    <x v="1146"/>
    <x v="1196"/>
    <n v="9.4094696969696967E-2"/>
    <x v="2"/>
    <x v="4"/>
    <n v="2023"/>
    <x v="1046"/>
    <n v="792"/>
    <x v="1"/>
    <n v="2391.59"/>
    <x v="2"/>
    <x v="0"/>
    <x v="2"/>
  </r>
  <r>
    <s v="ORD2199"/>
    <d v="2023-04-06T00:00:00"/>
    <x v="1"/>
    <x v="3"/>
    <x v="2"/>
    <x v="13"/>
    <x v="3"/>
    <n v="3383"/>
    <x v="1147"/>
    <x v="1197"/>
    <n v="0.11278286859132262"/>
    <x v="0"/>
    <x v="11"/>
    <n v="2023"/>
    <x v="733"/>
    <n v="9134.1000000000022"/>
    <x v="0"/>
    <n v="27013.100000000002"/>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1A3D61-E125-4E56-AFED-A0749EA1326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H11" firstHeaderRow="1" firstDataRow="2" firstDataCol="1"/>
  <pivotFields count="21">
    <pivotField showAll="0"/>
    <pivotField numFmtId="14" showAll="0"/>
    <pivotField axis="axisCol" showAll="0" sortType="ascending">
      <items count="5">
        <item x="0"/>
        <item x="2"/>
        <item x="1"/>
        <item x="3"/>
        <item t="default"/>
      </items>
    </pivotField>
    <pivotField showAll="0">
      <items count="7">
        <item x="0"/>
        <item x="1"/>
        <item x="4"/>
        <item x="2"/>
        <item x="3"/>
        <item x="5"/>
        <item t="default"/>
      </items>
    </pivotField>
    <pivotField axis="axisRow" showAll="0">
      <items count="5">
        <item x="1"/>
        <item x="3"/>
        <item x="2"/>
        <item x="0"/>
        <item t="default"/>
      </items>
    </pivotField>
    <pivotField showAll="0"/>
    <pivotField numFmtId="1" showAll="0"/>
    <pivotField showAll="0"/>
    <pivotField dataField="1"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2"/>
  </colFields>
  <colItems count="5">
    <i>
      <x/>
    </i>
    <i>
      <x v="1"/>
    </i>
    <i>
      <x v="2"/>
    </i>
    <i>
      <x v="3"/>
    </i>
    <i t="grand">
      <x/>
    </i>
  </colItems>
  <dataFields count="1">
    <dataField name="Sum of Sales" fld="8" baseField="0" baseItem="0"/>
  </dataFields>
  <formats count="6">
    <format dxfId="9">
      <pivotArea outline="0" collapsedLevelsAreSubtotals="1" fieldPosition="0"/>
    </format>
    <format dxfId="8">
      <pivotArea dataOnly="0" labelOnly="1" fieldPosition="0">
        <references count="1">
          <reference field="2" count="0"/>
        </references>
      </pivotArea>
    </format>
    <format dxfId="7">
      <pivotArea dataOnly="0" labelOnly="1" grandCol="1" outline="0" fieldPosition="0"/>
    </format>
    <format dxfId="6">
      <pivotArea outline="0" collapsedLevelsAreSubtotals="1" fieldPosition="0"/>
    </format>
    <format dxfId="5">
      <pivotArea dataOnly="0" labelOnly="1" fieldPosition="0">
        <references count="1">
          <reference field="2" count="0"/>
        </references>
      </pivotArea>
    </format>
    <format dxfId="4">
      <pivotArea dataOnly="0" labelOnly="1" grandCol="1" outline="0" fieldPosition="0"/>
    </format>
  </formats>
  <conditionalFormats count="1">
    <conditionalFormat priority="4">
      <pivotAreas count="1">
        <pivotArea type="data" collapsedLevelsAreSubtotals="1" fieldPosition="0">
          <references count="3">
            <reference field="4294967294" count="1" selected="0">
              <x v="0"/>
            </reference>
            <reference field="2" count="4" selected="0">
              <x v="0"/>
              <x v="1"/>
              <x v="2"/>
              <x v="3"/>
            </reference>
            <reference field="4"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88164F-A0F7-425A-A1AD-7552F2B577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0:G43" firstHeaderRow="0" firstDataRow="1" firstDataCol="1"/>
  <pivotFields count="21">
    <pivotField showAll="0"/>
    <pivotField numFmtId="14" showAll="0"/>
    <pivotField showAll="0">
      <items count="5">
        <item x="0"/>
        <item x="2"/>
        <item x="1"/>
        <item x="3"/>
        <item t="default"/>
      </items>
    </pivotField>
    <pivotField showAll="0">
      <items count="7">
        <item x="0"/>
        <item x="1"/>
        <item x="4"/>
        <item x="2"/>
        <item x="3"/>
        <item x="5"/>
        <item t="default"/>
      </items>
    </pivotField>
    <pivotField showAll="0">
      <items count="5">
        <item x="1"/>
        <item x="3"/>
        <item x="2"/>
        <item x="0"/>
        <item t="default"/>
      </items>
    </pivotField>
    <pivotField showAll="0"/>
    <pivotField numFmtId="1" showAll="0"/>
    <pivotField showAll="0"/>
    <pivotField dataField="1" showAll="0">
      <items count="1149">
        <item x="40"/>
        <item x="202"/>
        <item x="512"/>
        <item x="272"/>
        <item x="388"/>
        <item x="810"/>
        <item x="438"/>
        <item x="444"/>
        <item x="805"/>
        <item x="302"/>
        <item x="554"/>
        <item x="643"/>
        <item x="1137"/>
        <item x="849"/>
        <item x="414"/>
        <item x="382"/>
        <item x="928"/>
        <item x="586"/>
        <item x="571"/>
        <item x="131"/>
        <item x="69"/>
        <item x="561"/>
        <item x="64"/>
        <item x="687"/>
        <item x="437"/>
        <item x="174"/>
        <item x="319"/>
        <item x="966"/>
        <item x="165"/>
        <item x="1048"/>
        <item x="797"/>
        <item x="8"/>
        <item x="505"/>
        <item x="789"/>
        <item x="816"/>
        <item x="855"/>
        <item x="517"/>
        <item x="1009"/>
        <item x="88"/>
        <item x="259"/>
        <item x="786"/>
        <item x="676"/>
        <item x="206"/>
        <item x="176"/>
        <item x="80"/>
        <item x="28"/>
        <item x="919"/>
        <item x="994"/>
        <item x="199"/>
        <item x="1077"/>
        <item x="216"/>
        <item x="640"/>
        <item x="312"/>
        <item x="231"/>
        <item x="847"/>
        <item x="142"/>
        <item x="905"/>
        <item x="837"/>
        <item x="323"/>
        <item x="1113"/>
        <item x="466"/>
        <item x="401"/>
        <item x="617"/>
        <item x="1014"/>
        <item x="1093"/>
        <item x="938"/>
        <item x="577"/>
        <item x="153"/>
        <item x="1067"/>
        <item x="515"/>
        <item x="308"/>
        <item x="1045"/>
        <item x="891"/>
        <item x="151"/>
        <item x="701"/>
        <item x="914"/>
        <item x="1055"/>
        <item x="808"/>
        <item x="898"/>
        <item x="42"/>
        <item x="915"/>
        <item x="53"/>
        <item x="993"/>
        <item x="944"/>
        <item x="574"/>
        <item x="410"/>
        <item x="274"/>
        <item x="220"/>
        <item x="723"/>
        <item x="558"/>
        <item x="987"/>
        <item x="354"/>
        <item x="226"/>
        <item x="292"/>
        <item x="305"/>
        <item x="863"/>
        <item x="237"/>
        <item x="490"/>
        <item x="831"/>
        <item x="1030"/>
        <item x="1076"/>
        <item x="948"/>
        <item x="301"/>
        <item x="303"/>
        <item x="954"/>
        <item x="465"/>
        <item x="988"/>
        <item x="233"/>
        <item x="801"/>
        <item x="321"/>
        <item x="1143"/>
        <item x="533"/>
        <item x="441"/>
        <item x="408"/>
        <item x="813"/>
        <item x="601"/>
        <item x="551"/>
        <item x="182"/>
        <item x="769"/>
        <item x="721"/>
        <item x="709"/>
        <item x="213"/>
        <item x="381"/>
        <item x="525"/>
        <item x="894"/>
        <item x="104"/>
        <item x="934"/>
        <item x="633"/>
        <item x="690"/>
        <item x="73"/>
        <item x="996"/>
        <item x="309"/>
        <item x="258"/>
        <item x="146"/>
        <item x="943"/>
        <item x="1084"/>
        <item x="896"/>
        <item x="432"/>
        <item x="1080"/>
        <item x="859"/>
        <item x="579"/>
        <item x="740"/>
        <item x="798"/>
        <item x="610"/>
        <item x="639"/>
        <item x="563"/>
        <item x="624"/>
        <item x="911"/>
        <item x="1028"/>
        <item x="224"/>
        <item x="425"/>
        <item x="594"/>
        <item x="366"/>
        <item x="485"/>
        <item x="1069"/>
        <item x="1146"/>
        <item x="1130"/>
        <item x="647"/>
        <item x="963"/>
        <item x="160"/>
        <item x="834"/>
        <item x="1102"/>
        <item x="356"/>
        <item x="405"/>
        <item x="991"/>
        <item x="983"/>
        <item x="368"/>
        <item x="99"/>
        <item x="78"/>
        <item x="1035"/>
        <item x="209"/>
        <item x="1002"/>
        <item x="474"/>
        <item x="840"/>
        <item x="1050"/>
        <item x="256"/>
        <item x="98"/>
        <item x="54"/>
        <item x="129"/>
        <item x="162"/>
        <item x="683"/>
        <item x="1089"/>
        <item x="775"/>
        <item x="214"/>
        <item x="545"/>
        <item x="511"/>
        <item x="1083"/>
        <item x="212"/>
        <item x="16"/>
        <item x="23"/>
        <item x="168"/>
        <item x="1107"/>
        <item x="941"/>
        <item x="190"/>
        <item x="50"/>
        <item x="823"/>
        <item x="173"/>
        <item x="821"/>
        <item x="627"/>
        <item x="380"/>
        <item x="327"/>
        <item x="1136"/>
        <item x="955"/>
        <item x="439"/>
        <item x="464"/>
        <item x="711"/>
        <item x="947"/>
        <item x="471"/>
        <item x="139"/>
        <item x="961"/>
        <item x="1138"/>
        <item x="1033"/>
        <item x="252"/>
        <item x="343"/>
        <item x="615"/>
        <item x="483"/>
        <item x="817"/>
        <item x="121"/>
        <item x="397"/>
        <item x="729"/>
        <item x="1023"/>
        <item x="949"/>
        <item x="1111"/>
        <item x="1025"/>
        <item x="498"/>
        <item x="200"/>
        <item x="294"/>
        <item x="470"/>
        <item x="717"/>
        <item x="832"/>
        <item x="777"/>
        <item x="1058"/>
        <item x="570"/>
        <item x="113"/>
        <item x="396"/>
        <item x="403"/>
        <item x="890"/>
        <item x="445"/>
        <item x="481"/>
        <item x="500"/>
        <item x="457"/>
        <item x="926"/>
        <item x="872"/>
        <item x="1090"/>
        <item x="68"/>
        <item x="1017"/>
        <item x="1060"/>
        <item x="751"/>
        <item x="171"/>
        <item x="358"/>
        <item x="126"/>
        <item x="140"/>
        <item x="534"/>
        <item x="888"/>
        <item x="764"/>
        <item x="418"/>
        <item x="240"/>
        <item x="9"/>
        <item x="169"/>
        <item x="868"/>
        <item x="284"/>
        <item x="102"/>
        <item x="91"/>
        <item x="523"/>
        <item x="623"/>
        <item x="125"/>
        <item x="424"/>
        <item x="827"/>
        <item x="443"/>
        <item x="784"/>
        <item x="572"/>
        <item x="476"/>
        <item x="320"/>
        <item x="105"/>
        <item x="869"/>
        <item x="552"/>
        <item x="671"/>
        <item x="688"/>
        <item x="513"/>
        <item x="141"/>
        <item x="433"/>
        <item x="543"/>
        <item x="227"/>
        <item x="1117"/>
        <item x="247"/>
        <item x="385"/>
        <item x="150"/>
        <item x="36"/>
        <item x="635"/>
        <item x="700"/>
        <item x="109"/>
        <item x="935"/>
        <item x="39"/>
        <item x="697"/>
        <item x="1040"/>
        <item x="416"/>
        <item x="899"/>
        <item x="315"/>
        <item x="836"/>
        <item x="371"/>
        <item x="685"/>
        <item x="22"/>
        <item x="307"/>
        <item x="124"/>
        <item x="1018"/>
        <item x="390"/>
        <item x="951"/>
        <item x="116"/>
        <item x="409"/>
        <item x="843"/>
        <item x="1013"/>
        <item x="787"/>
        <item x="809"/>
        <item x="1005"/>
        <item x="1020"/>
        <item x="172"/>
        <item x="316"/>
        <item x="929"/>
        <item x="976"/>
        <item x="575"/>
        <item x="453"/>
        <item x="291"/>
        <item x="442"/>
        <item x="906"/>
        <item x="997"/>
        <item x="1061"/>
        <item x="780"/>
        <item x="686"/>
        <item x="851"/>
        <item x="163"/>
        <item x="244"/>
        <item x="959"/>
        <item x="897"/>
        <item x="360"/>
        <item x="1039"/>
        <item x="682"/>
        <item x="648"/>
        <item x="63"/>
        <item x="790"/>
        <item x="281"/>
        <item x="273"/>
        <item x="979"/>
        <item x="675"/>
        <item x="387"/>
        <item x="679"/>
        <item x="1065"/>
        <item x="560"/>
        <item x="539"/>
        <item x="278"/>
        <item x="407"/>
        <item x="901"/>
        <item x="865"/>
        <item x="860"/>
        <item x="1037"/>
        <item x="1032"/>
        <item x="351"/>
        <item x="603"/>
        <item x="93"/>
        <item x="520"/>
        <item x="18"/>
        <item x="1011"/>
        <item x="420"/>
        <item x="161"/>
        <item x="924"/>
        <item x="908"/>
        <item x="526"/>
        <item x="958"/>
        <item x="878"/>
        <item x="1123"/>
        <item x="939"/>
        <item x="616"/>
        <item x="3"/>
        <item x="211"/>
        <item x="773"/>
        <item x="334"/>
        <item x="4"/>
        <item x="852"/>
        <item x="286"/>
        <item x="982"/>
        <item x="524"/>
        <item x="725"/>
        <item x="364"/>
        <item x="932"/>
        <item x="1053"/>
        <item x="530"/>
        <item x="288"/>
        <item x="628"/>
        <item x="668"/>
        <item x="693"/>
        <item x="771"/>
        <item x="186"/>
        <item x="1041"/>
        <item x="13"/>
        <item x="819"/>
        <item x="402"/>
        <item x="660"/>
        <item x="203"/>
        <item x="1120"/>
        <item x="755"/>
        <item x="84"/>
        <item x="452"/>
        <item x="845"/>
        <item x="486"/>
        <item x="254"/>
        <item x="43"/>
        <item x="732"/>
        <item x="462"/>
        <item x="1106"/>
        <item x="886"/>
        <item x="95"/>
        <item x="977"/>
        <item x="222"/>
        <item x="1134"/>
        <item x="7"/>
        <item x="936"/>
        <item x="347"/>
        <item x="421"/>
        <item x="507"/>
        <item x="1139"/>
        <item x="92"/>
        <item x="1046"/>
        <item x="1105"/>
        <item x="337"/>
        <item x="706"/>
        <item x="148"/>
        <item x="822"/>
        <item x="708"/>
        <item x="369"/>
        <item x="913"/>
        <item x="584"/>
        <item x="65"/>
        <item x="743"/>
        <item x="634"/>
        <item x="400"/>
        <item x="754"/>
        <item x="473"/>
        <item x="306"/>
        <item x="488"/>
        <item x="1116"/>
        <item x="61"/>
        <item x="735"/>
        <item x="496"/>
        <item x="342"/>
        <item x="311"/>
        <item x="362"/>
        <item x="275"/>
        <item x="6"/>
        <item x="210"/>
        <item x="127"/>
        <item x="428"/>
        <item x="702"/>
        <item x="87"/>
        <item x="818"/>
        <item x="619"/>
        <item x="158"/>
        <item x="650"/>
        <item x="300"/>
        <item x="177"/>
        <item x="115"/>
        <item x="1051"/>
        <item x="681"/>
        <item x="426"/>
        <item x="990"/>
        <item x="655"/>
        <item x="652"/>
        <item x="658"/>
        <item x="201"/>
        <item x="250"/>
        <item x="768"/>
        <item x="590"/>
        <item x="257"/>
        <item x="795"/>
        <item x="1043"/>
        <item x="394"/>
        <item x="730"/>
        <item x="567"/>
        <item x="925"/>
        <item x="1070"/>
        <item x="198"/>
        <item x="689"/>
        <item x="1029"/>
        <item x="807"/>
        <item x="877"/>
        <item x="629"/>
        <item x="557"/>
        <item x="731"/>
        <item x="568"/>
        <item x="596"/>
        <item x="1140"/>
        <item x="882"/>
        <item x="614"/>
        <item x="540"/>
        <item x="340"/>
        <item x="1103"/>
        <item x="101"/>
        <item x="885"/>
        <item x="269"/>
        <item x="19"/>
        <item x="841"/>
        <item x="581"/>
        <item x="100"/>
        <item x="239"/>
        <item x="185"/>
        <item x="217"/>
        <item x="1024"/>
        <item x="747"/>
        <item x="1099"/>
        <item x="317"/>
        <item x="848"/>
        <item x="241"/>
        <item x="236"/>
        <item x="1145"/>
        <item x="719"/>
        <item x="978"/>
        <item x="499"/>
        <item x="656"/>
        <item x="666"/>
        <item x="355"/>
        <item x="1121"/>
        <item x="120"/>
        <item x="35"/>
        <item x="1021"/>
        <item x="761"/>
        <item x="122"/>
        <item x="440"/>
        <item x="582"/>
        <item x="879"/>
        <item x="968"/>
        <item x="503"/>
        <item x="597"/>
        <item x="705"/>
        <item x="521"/>
        <item x="609"/>
        <item x="207"/>
        <item x="204"/>
        <item x="745"/>
        <item x="154"/>
        <item x="541"/>
        <item x="661"/>
        <item x="642"/>
        <item x="1054"/>
        <item x="1141"/>
        <item x="1127"/>
        <item x="325"/>
        <item x="266"/>
        <item x="406"/>
        <item x="451"/>
        <item x="1108"/>
        <item x="378"/>
        <item x="680"/>
        <item x="331"/>
        <item x="1074"/>
        <item x="644"/>
        <item x="742"/>
        <item x="267"/>
        <item x="246"/>
        <item x="788"/>
        <item x="750"/>
        <item x="592"/>
        <item x="760"/>
        <item x="670"/>
        <item x="398"/>
        <item x="580"/>
        <item x="917"/>
        <item x="799"/>
        <item x="1010"/>
        <item x="276"/>
        <item x="587"/>
        <item x="361"/>
        <item x="756"/>
        <item x="703"/>
        <item x="263"/>
        <item x="1016"/>
        <item x="962"/>
        <item x="86"/>
        <item x="766"/>
        <item x="1072"/>
        <item x="449"/>
        <item x="1114"/>
        <item x="144"/>
        <item x="1015"/>
        <item x="638"/>
        <item x="632"/>
        <item x="415"/>
        <item x="332"/>
        <item x="612"/>
        <item x="884"/>
        <item x="253"/>
        <item x="759"/>
        <item x="62"/>
        <item x="785"/>
        <item x="677"/>
        <item x="82"/>
        <item x="1003"/>
        <item x="167"/>
        <item x="792"/>
        <item x="975"/>
        <item x="44"/>
        <item x="41"/>
        <item x="736"/>
        <item x="230"/>
        <item x="728"/>
        <item x="733"/>
        <item x="419"/>
        <item x="49"/>
        <item x="392"/>
        <item x="181"/>
        <item x="874"/>
        <item x="960"/>
        <item x="1085"/>
        <item x="854"/>
        <item x="895"/>
        <item x="75"/>
        <item x="147"/>
        <item x="918"/>
        <item x="117"/>
        <item x="696"/>
        <item x="565"/>
        <item x="529"/>
        <item x="352"/>
        <item x="262"/>
        <item x="698"/>
        <item x="478"/>
        <item x="724"/>
        <item x="255"/>
        <item x="1079"/>
        <item x="672"/>
        <item x="268"/>
        <item x="329"/>
        <item x="782"/>
        <item x="373"/>
        <item x="562"/>
        <item x="866"/>
        <item x="60"/>
        <item x="722"/>
        <item x="1132"/>
        <item x="296"/>
        <item x="830"/>
        <item x="981"/>
        <item x="1104"/>
        <item x="359"/>
        <item x="134"/>
        <item x="989"/>
        <item x="422"/>
        <item x="641"/>
        <item x="26"/>
        <item x="712"/>
        <item x="625"/>
        <item x="1064"/>
        <item x="429"/>
        <item x="289"/>
        <item x="413"/>
        <item x="1073"/>
        <item x="225"/>
        <item x="374"/>
        <item x="197"/>
        <item x="604"/>
        <item x="969"/>
        <item x="531"/>
        <item x="17"/>
        <item x="704"/>
        <item x="950"/>
        <item x="341"/>
        <item x="621"/>
        <item x="235"/>
        <item x="835"/>
        <item x="844"/>
        <item x="720"/>
        <item x="781"/>
        <item x="218"/>
        <item x="11"/>
        <item x="803"/>
        <item x="763"/>
        <item x="1131"/>
        <item x="295"/>
        <item x="367"/>
        <item x="389"/>
        <item x="985"/>
        <item x="767"/>
        <item x="1066"/>
        <item x="1078"/>
        <item x="714"/>
        <item x="248"/>
        <item x="333"/>
        <item x="293"/>
        <item x="578"/>
        <item x="1115"/>
        <item x="1034"/>
        <item x="544"/>
        <item x="1052"/>
        <item x="974"/>
        <item x="752"/>
        <item x="96"/>
        <item x="37"/>
        <item x="973"/>
        <item x="489"/>
        <item x="363"/>
        <item x="889"/>
        <item x="903"/>
        <item x="684"/>
        <item x="839"/>
        <item x="1075"/>
        <item x="1096"/>
        <item x="77"/>
        <item x="814"/>
        <item x="1091"/>
        <item x="806"/>
        <item x="1026"/>
        <item x="336"/>
        <item x="980"/>
        <item x="1001"/>
        <item x="1135"/>
        <item x="548"/>
        <item x="350"/>
        <item x="52"/>
        <item x="357"/>
        <item x="967"/>
        <item x="1097"/>
        <item x="290"/>
        <item x="282"/>
        <item x="70"/>
        <item x="1128"/>
        <item x="937"/>
        <item x="491"/>
        <item x="48"/>
        <item x="448"/>
        <item x="195"/>
        <item x="31"/>
        <item x="527"/>
        <item x="484"/>
        <item x="833"/>
        <item x="243"/>
        <item x="487"/>
        <item x="344"/>
        <item x="32"/>
        <item x="2"/>
        <item x="739"/>
        <item x="372"/>
        <item x="430"/>
        <item x="626"/>
        <item x="556"/>
        <item x="984"/>
        <item x="956"/>
        <item x="931"/>
        <item x="927"/>
        <item x="27"/>
        <item x="952"/>
        <item x="339"/>
        <item x="297"/>
        <item x="770"/>
        <item x="542"/>
        <item x="930"/>
        <item x="922"/>
        <item x="536"/>
        <item x="57"/>
        <item x="238"/>
        <item x="815"/>
        <item x="569"/>
        <item x="1047"/>
        <item x="251"/>
        <item x="264"/>
        <item x="900"/>
        <item x="152"/>
        <item x="271"/>
        <item x="1100"/>
        <item x="1095"/>
        <item x="1"/>
        <item x="826"/>
        <item x="495"/>
        <item x="605"/>
        <item x="953"/>
        <item x="713"/>
        <item x="825"/>
        <item x="707"/>
        <item x="132"/>
        <item x="659"/>
        <item x="636"/>
        <item x="564"/>
        <item x="193"/>
        <item x="933"/>
        <item x="1081"/>
        <item x="51"/>
        <item x="692"/>
        <item x="549"/>
        <item x="796"/>
        <item x="970"/>
        <item x="138"/>
        <item x="55"/>
        <item x="1142"/>
        <item x="335"/>
        <item x="128"/>
        <item x="734"/>
        <item x="179"/>
        <item x="223"/>
        <item x="119"/>
        <item x="608"/>
        <item x="261"/>
        <item x="386"/>
        <item x="765"/>
        <item x="391"/>
        <item x="871"/>
        <item x="992"/>
        <item x="876"/>
        <item x="779"/>
        <item x="29"/>
        <item x="145"/>
        <item x="663"/>
        <item x="1027"/>
        <item x="59"/>
        <item x="136"/>
        <item x="283"/>
        <item x="862"/>
        <item x="873"/>
        <item x="762"/>
        <item x="326"/>
        <item x="811"/>
        <item x="208"/>
        <item x="455"/>
        <item x="304"/>
        <item x="519"/>
        <item x="753"/>
        <item x="12"/>
        <item x="602"/>
        <item x="618"/>
        <item x="824"/>
        <item x="435"/>
        <item x="516"/>
        <item x="653"/>
        <item x="447"/>
        <item x="399"/>
        <item x="349"/>
        <item x="1004"/>
        <item x="674"/>
        <item x="510"/>
        <item x="330"/>
        <item x="379"/>
        <item x="881"/>
        <item x="546"/>
        <item x="522"/>
        <item x="583"/>
        <item x="71"/>
        <item x="964"/>
        <item x="384"/>
        <item x="469"/>
        <item x="345"/>
        <item x="454"/>
        <item x="902"/>
        <item x="965"/>
        <item x="1129"/>
        <item x="456"/>
        <item x="1098"/>
        <item x="829"/>
        <item x="573"/>
        <item x="631"/>
        <item x="999"/>
        <item x="794"/>
        <item x="547"/>
        <item x="1019"/>
        <item x="232"/>
        <item x="1109"/>
        <item x="907"/>
        <item x="285"/>
        <item x="1042"/>
        <item x="228"/>
        <item x="1133"/>
        <item x="365"/>
        <item x="1118"/>
        <item x="783"/>
        <item x="593"/>
        <item x="559"/>
        <item x="33"/>
        <item x="10"/>
        <item x="606"/>
        <item x="159"/>
        <item x="184"/>
        <item x="622"/>
        <item x="710"/>
        <item x="192"/>
        <item x="942"/>
        <item x="279"/>
        <item x="277"/>
        <item x="353"/>
        <item x="607"/>
        <item x="694"/>
        <item x="662"/>
        <item x="998"/>
        <item x="446"/>
        <item x="630"/>
        <item x="106"/>
        <item x="1049"/>
        <item x="1038"/>
        <item x="480"/>
        <item x="846"/>
        <item x="83"/>
        <item x="1036"/>
        <item x="322"/>
        <item x="637"/>
        <item x="535"/>
        <item x="472"/>
        <item x="5"/>
        <item x="678"/>
        <item x="85"/>
        <item x="377"/>
        <item x="265"/>
        <item x="528"/>
        <item x="81"/>
        <item x="458"/>
        <item x="904"/>
        <item x="1056"/>
        <item x="1000"/>
        <item x="328"/>
        <item x="1122"/>
        <item x="509"/>
        <item x="867"/>
        <item x="986"/>
        <item x="972"/>
        <item x="298"/>
        <item x="910"/>
        <item x="468"/>
        <item x="103"/>
        <item x="249"/>
        <item x="916"/>
        <item x="375"/>
        <item x="940"/>
        <item x="79"/>
        <item x="538"/>
        <item x="757"/>
        <item x="820"/>
        <item x="553"/>
        <item x="715"/>
        <item x="716"/>
        <item x="1101"/>
        <item x="1063"/>
        <item x="56"/>
        <item x="804"/>
        <item x="566"/>
        <item x="411"/>
        <item x="170"/>
        <item x="1007"/>
        <item x="417"/>
        <item x="97"/>
        <item x="514"/>
        <item x="1008"/>
        <item x="318"/>
        <item x="673"/>
        <item x="14"/>
        <item x="1031"/>
        <item x="1110"/>
        <item x="856"/>
        <item x="123"/>
        <item x="66"/>
        <item x="1022"/>
        <item x="46"/>
        <item x="599"/>
        <item x="600"/>
        <item x="477"/>
        <item x="90"/>
        <item x="111"/>
        <item x="971"/>
        <item x="492"/>
        <item x="58"/>
        <item x="585"/>
        <item x="588"/>
        <item x="72"/>
        <item x="112"/>
        <item x="324"/>
        <item x="883"/>
        <item x="242"/>
        <item x="493"/>
        <item x="21"/>
        <item x="850"/>
        <item x="404"/>
        <item x="828"/>
        <item x="178"/>
        <item x="1124"/>
        <item x="506"/>
        <item x="864"/>
        <item x="838"/>
        <item x="758"/>
        <item x="270"/>
        <item x="1112"/>
        <item x="812"/>
        <item x="133"/>
        <item x="1092"/>
        <item x="24"/>
        <item x="110"/>
        <item x="20"/>
        <item x="892"/>
        <item x="187"/>
        <item x="25"/>
        <item x="695"/>
        <item x="912"/>
        <item x="412"/>
        <item x="738"/>
        <item x="718"/>
        <item x="34"/>
        <item x="920"/>
        <item x="191"/>
        <item x="861"/>
        <item x="461"/>
        <item x="654"/>
        <item x="646"/>
        <item x="1057"/>
        <item x="1012"/>
        <item x="699"/>
        <item x="494"/>
        <item x="1006"/>
        <item x="537"/>
        <item x="114"/>
        <item x="183"/>
        <item x="482"/>
        <item x="776"/>
        <item x="657"/>
        <item x="475"/>
        <item x="463"/>
        <item x="130"/>
        <item x="1059"/>
        <item x="589"/>
        <item x="875"/>
        <item x="613"/>
        <item x="395"/>
        <item x="1087"/>
        <item x="880"/>
        <item x="749"/>
        <item x="1088"/>
        <item x="149"/>
        <item x="591"/>
        <item x="945"/>
        <item x="620"/>
        <item x="38"/>
        <item x="280"/>
        <item x="338"/>
        <item x="995"/>
        <item x="669"/>
        <item x="74"/>
        <item x="370"/>
        <item x="774"/>
        <item x="137"/>
        <item x="727"/>
        <item x="957"/>
        <item x="1068"/>
        <item x="772"/>
        <item x="229"/>
        <item x="1119"/>
        <item x="1044"/>
        <item x="30"/>
        <item x="427"/>
        <item x="667"/>
        <item x="89"/>
        <item x="923"/>
        <item x="1094"/>
        <item x="664"/>
        <item x="175"/>
        <item x="1147"/>
        <item x="909"/>
        <item x="431"/>
        <item x="791"/>
        <item x="156"/>
        <item x="793"/>
        <item x="434"/>
        <item x="118"/>
        <item x="1126"/>
        <item x="800"/>
        <item x="310"/>
        <item x="504"/>
        <item x="76"/>
        <item x="518"/>
        <item x="532"/>
        <item x="645"/>
        <item x="946"/>
        <item x="0"/>
        <item x="550"/>
        <item x="460"/>
        <item x="1071"/>
        <item x="1082"/>
        <item x="157"/>
        <item x="611"/>
        <item x="15"/>
        <item x="219"/>
        <item x="853"/>
        <item x="1062"/>
        <item x="245"/>
        <item x="921"/>
        <item x="436"/>
        <item x="598"/>
        <item x="189"/>
        <item x="858"/>
        <item x="842"/>
        <item x="314"/>
        <item x="741"/>
        <item x="665"/>
        <item x="1086"/>
        <item x="649"/>
        <item x="155"/>
        <item x="1144"/>
        <item x="108"/>
        <item x="737"/>
        <item x="299"/>
        <item x="376"/>
        <item x="166"/>
        <item x="67"/>
        <item x="502"/>
        <item x="348"/>
        <item x="313"/>
        <item x="459"/>
        <item x="501"/>
        <item x="726"/>
        <item x="508"/>
        <item x="651"/>
        <item x="423"/>
        <item x="215"/>
        <item x="45"/>
        <item x="857"/>
        <item x="234"/>
        <item x="555"/>
        <item x="143"/>
        <item x="870"/>
        <item x="47"/>
        <item x="164"/>
        <item x="576"/>
        <item x="393"/>
        <item x="802"/>
        <item x="887"/>
        <item x="221"/>
        <item x="893"/>
        <item x="595"/>
        <item x="188"/>
        <item x="135"/>
        <item x="196"/>
        <item x="746"/>
        <item x="287"/>
        <item x="450"/>
        <item x="479"/>
        <item x="260"/>
        <item x="346"/>
        <item x="180"/>
        <item x="194"/>
        <item x="744"/>
        <item x="107"/>
        <item x="497"/>
        <item x="778"/>
        <item x="748"/>
        <item x="205"/>
        <item x="691"/>
        <item x="94"/>
        <item x="383"/>
        <item x="467"/>
        <item x="1125"/>
        <item t="default"/>
      </items>
    </pivotField>
    <pivotField dataField="1" numFmtId="164" showAll="0"/>
    <pivotField dataField="1" numFmtId="2" showAll="0"/>
    <pivotField showAll="0"/>
    <pivotField axis="axisRow" showAll="0">
      <items count="13">
        <item x="6"/>
        <item x="8"/>
        <item x="4"/>
        <item x="11"/>
        <item x="0"/>
        <item x="2"/>
        <item x="10"/>
        <item x="9"/>
        <item x="5"/>
        <item x="1"/>
        <item x="3"/>
        <item x="7"/>
        <item t="default"/>
      </items>
    </pivotField>
    <pivotField showAll="0"/>
    <pivotField showAll="0"/>
    <pivotField showAll="0"/>
    <pivotField showAll="0"/>
    <pivotField dataField="1" showAll="0"/>
    <pivotField multipleItemSelectionAllowed="1" showAll="0">
      <items count="4">
        <item h="1" x="0"/>
        <item x="1"/>
        <item h="1" x="2"/>
        <item t="default"/>
      </items>
    </pivotField>
    <pivotField showAll="0"/>
    <pivotField showAll="0">
      <items count="4">
        <item x="0"/>
        <item x="2"/>
        <item x="1"/>
        <item t="default"/>
      </items>
    </pivotField>
  </pivotFields>
  <rowFields count="1">
    <field x="12"/>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Sales" fld="8" baseField="0" baseItem="0"/>
    <dataField name="Sum of Profit" fld="9" baseField="0" baseItem="0"/>
    <dataField name="Sum of Profit Margin" fld="10" baseField="0" baseItem="0"/>
    <dataField name="Sum of Net Sales" fld="17" baseField="0" baseItem="0"/>
  </dataFields>
  <formats count="1">
    <format dxfId="1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0737F6-21BD-4DF8-BF9A-171E3B8106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H24" firstHeaderRow="1" firstDataRow="2" firstDataCol="1"/>
  <pivotFields count="21">
    <pivotField showAll="0"/>
    <pivotField numFmtId="14" showAll="0"/>
    <pivotField axis="axisCol" showAll="0">
      <items count="5">
        <item x="0"/>
        <item x="2"/>
        <item x="1"/>
        <item x="3"/>
        <item t="default"/>
      </items>
    </pivotField>
    <pivotField showAll="0">
      <items count="7">
        <item x="0"/>
        <item x="1"/>
        <item x="4"/>
        <item x="2"/>
        <item x="3"/>
        <item x="5"/>
        <item t="default"/>
      </items>
    </pivotField>
    <pivotField axis="axisRow" showAll="0">
      <items count="5">
        <item x="1"/>
        <item x="3"/>
        <item x="2"/>
        <item x="0"/>
        <item t="default"/>
      </items>
    </pivotField>
    <pivotField showAll="0"/>
    <pivotField numFmtId="1" showAll="0"/>
    <pivotField showAll="0"/>
    <pivotField showAll="0"/>
    <pivotField dataField="1" numFmtId="164" showAll="0"/>
    <pivotField numFmtId="2"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2"/>
  </colFields>
  <colItems count="5">
    <i>
      <x/>
    </i>
    <i>
      <x v="1"/>
    </i>
    <i>
      <x v="2"/>
    </i>
    <i>
      <x v="3"/>
    </i>
    <i t="grand">
      <x/>
    </i>
  </colItems>
  <dataFields count="1">
    <dataField name="Sum of Profit" fld="9" baseField="0" baseItem="0"/>
  </dataFields>
  <conditionalFormats count="1">
    <conditionalFormat priority="3">
      <pivotAreas count="1">
        <pivotArea type="data" collapsedLevelsAreSubtotals="1" fieldPosition="0">
          <references count="3">
            <reference field="4294967294" count="1" selected="0">
              <x v="0"/>
            </reference>
            <reference field="2" count="4" selected="0">
              <x v="0"/>
              <x v="1"/>
              <x v="2"/>
              <x v="3"/>
            </reference>
            <reference field="4"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47F741-7B79-4AC4-84C6-CC0F2E1E3EB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19:C124" firstHeaderRow="1" firstDataRow="1" firstDataCol="1"/>
  <pivotFields count="21">
    <pivotField showAll="0"/>
    <pivotField numFmtId="14" showAll="0"/>
    <pivotField showAll="0"/>
    <pivotField showAll="0"/>
    <pivotField axis="axisRow" showAll="0">
      <items count="5">
        <item x="1"/>
        <item x="3"/>
        <item x="2"/>
        <item x="0"/>
        <item t="default"/>
      </items>
    </pivotField>
    <pivotField showAll="0"/>
    <pivotField numFmtId="1" showAll="0"/>
    <pivotField showAll="0"/>
    <pivotField showAll="0"/>
    <pivotField dataField="1" numFmtId="164" showAll="0"/>
    <pivotField numFmtId="2"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rofit" fld="9" baseField="0"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86E73B-5739-4BAB-9E0D-E13EC1ACE3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4:C19" firstHeaderRow="1" firstDataRow="1" firstDataCol="1"/>
  <pivotFields count="21">
    <pivotField showAll="0"/>
    <pivotField numFmtId="14" showAll="0"/>
    <pivotField showAll="0">
      <items count="5">
        <item x="0"/>
        <item x="2"/>
        <item x="1"/>
        <item x="3"/>
        <item t="default"/>
      </items>
    </pivotField>
    <pivotField showAll="0">
      <items count="7">
        <item x="0"/>
        <item x="1"/>
        <item x="4"/>
        <item x="2"/>
        <item x="3"/>
        <item x="5"/>
        <item t="default"/>
      </items>
    </pivotField>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dataField="1"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3"/>
    </i>
    <i>
      <x v="1"/>
    </i>
    <i>
      <x v="2"/>
    </i>
    <i t="grand">
      <x/>
    </i>
  </rowItems>
  <colItems count="1">
    <i/>
  </colItems>
  <dataFields count="1">
    <dataField name="Sum of Sales" fld="8" baseField="0" baseItem="0"/>
  </dataFields>
  <chartFormats count="10">
    <chartFormat chart="4" format="1"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4" count="1" selected="0">
            <x v="0"/>
          </reference>
        </references>
      </pivotArea>
    </chartFormat>
    <chartFormat chart="9" format="9">
      <pivotArea type="data" outline="0" fieldPosition="0">
        <references count="2">
          <reference field="4294967294" count="1" selected="0">
            <x v="0"/>
          </reference>
          <reference field="4" count="1" selected="0">
            <x v="1"/>
          </reference>
        </references>
      </pivotArea>
    </chartFormat>
    <chartFormat chart="9" format="10">
      <pivotArea type="data" outline="0" fieldPosition="0">
        <references count="2">
          <reference field="4294967294" count="1" selected="0">
            <x v="0"/>
          </reference>
          <reference field="4" count="1" selected="0">
            <x v="2"/>
          </reference>
        </references>
      </pivotArea>
    </chartFormat>
    <chartFormat chart="9" format="11">
      <pivotArea type="data" outline="0" fieldPosition="0">
        <references count="2">
          <reference field="4294967294" count="1" selected="0">
            <x v="0"/>
          </reference>
          <reference field="4" count="1" selected="0">
            <x v="3"/>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8E70C5-B94D-4FCA-99AE-427E51088B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3:G86" firstHeaderRow="0" firstDataRow="1" firstDataCol="1"/>
  <pivotFields count="21">
    <pivotField showAll="0"/>
    <pivotField numFmtId="14" showAll="0"/>
    <pivotField showAll="0">
      <items count="5">
        <item x="0"/>
        <item x="2"/>
        <item x="1"/>
        <item x="3"/>
        <item t="default"/>
      </items>
    </pivotField>
    <pivotField showAll="0">
      <items count="7">
        <item x="0"/>
        <item x="1"/>
        <item x="4"/>
        <item x="2"/>
        <item x="3"/>
        <item x="5"/>
        <item t="default"/>
      </items>
    </pivotField>
    <pivotField showAll="0">
      <items count="5">
        <item x="1"/>
        <item x="3"/>
        <item x="2"/>
        <item x="0"/>
        <item t="default"/>
      </items>
    </pivotField>
    <pivotField showAll="0"/>
    <pivotField dataField="1" numFmtId="1" showAll="0">
      <items count="10">
        <item x="8"/>
        <item x="7"/>
        <item x="4"/>
        <item x="6"/>
        <item x="1"/>
        <item x="2"/>
        <item x="5"/>
        <item x="0"/>
        <item x="3"/>
        <item t="default"/>
      </items>
    </pivotField>
    <pivotField showAll="0"/>
    <pivotField dataField="1" showAll="0">
      <items count="1149">
        <item x="40"/>
        <item x="202"/>
        <item x="512"/>
        <item x="272"/>
        <item x="388"/>
        <item x="810"/>
        <item x="438"/>
        <item x="444"/>
        <item x="805"/>
        <item x="302"/>
        <item x="554"/>
        <item x="643"/>
        <item x="1137"/>
        <item x="849"/>
        <item x="414"/>
        <item x="382"/>
        <item x="928"/>
        <item x="586"/>
        <item x="571"/>
        <item x="131"/>
        <item x="69"/>
        <item x="561"/>
        <item x="64"/>
        <item x="687"/>
        <item x="437"/>
        <item x="174"/>
        <item x="319"/>
        <item x="966"/>
        <item x="165"/>
        <item x="1048"/>
        <item x="797"/>
        <item x="8"/>
        <item x="505"/>
        <item x="789"/>
        <item x="816"/>
        <item x="855"/>
        <item x="517"/>
        <item x="1009"/>
        <item x="88"/>
        <item x="259"/>
        <item x="786"/>
        <item x="676"/>
        <item x="206"/>
        <item x="176"/>
        <item x="80"/>
        <item x="28"/>
        <item x="919"/>
        <item x="994"/>
        <item x="199"/>
        <item x="1077"/>
        <item x="216"/>
        <item x="640"/>
        <item x="312"/>
        <item x="231"/>
        <item x="847"/>
        <item x="142"/>
        <item x="905"/>
        <item x="837"/>
        <item x="323"/>
        <item x="1113"/>
        <item x="466"/>
        <item x="401"/>
        <item x="617"/>
        <item x="1014"/>
        <item x="1093"/>
        <item x="938"/>
        <item x="577"/>
        <item x="153"/>
        <item x="1067"/>
        <item x="515"/>
        <item x="308"/>
        <item x="1045"/>
        <item x="891"/>
        <item x="151"/>
        <item x="701"/>
        <item x="914"/>
        <item x="1055"/>
        <item x="808"/>
        <item x="898"/>
        <item x="42"/>
        <item x="915"/>
        <item x="53"/>
        <item x="993"/>
        <item x="944"/>
        <item x="574"/>
        <item x="410"/>
        <item x="274"/>
        <item x="220"/>
        <item x="723"/>
        <item x="558"/>
        <item x="987"/>
        <item x="354"/>
        <item x="226"/>
        <item x="292"/>
        <item x="305"/>
        <item x="863"/>
        <item x="237"/>
        <item x="490"/>
        <item x="831"/>
        <item x="1030"/>
        <item x="1076"/>
        <item x="948"/>
        <item x="301"/>
        <item x="303"/>
        <item x="954"/>
        <item x="465"/>
        <item x="988"/>
        <item x="233"/>
        <item x="801"/>
        <item x="321"/>
        <item x="1143"/>
        <item x="533"/>
        <item x="441"/>
        <item x="408"/>
        <item x="813"/>
        <item x="601"/>
        <item x="551"/>
        <item x="182"/>
        <item x="769"/>
        <item x="721"/>
        <item x="709"/>
        <item x="213"/>
        <item x="381"/>
        <item x="525"/>
        <item x="894"/>
        <item x="104"/>
        <item x="934"/>
        <item x="633"/>
        <item x="690"/>
        <item x="73"/>
        <item x="996"/>
        <item x="309"/>
        <item x="258"/>
        <item x="146"/>
        <item x="943"/>
        <item x="1084"/>
        <item x="896"/>
        <item x="432"/>
        <item x="1080"/>
        <item x="859"/>
        <item x="579"/>
        <item x="740"/>
        <item x="798"/>
        <item x="610"/>
        <item x="639"/>
        <item x="563"/>
        <item x="624"/>
        <item x="911"/>
        <item x="1028"/>
        <item x="224"/>
        <item x="425"/>
        <item x="594"/>
        <item x="366"/>
        <item x="485"/>
        <item x="1069"/>
        <item x="1146"/>
        <item x="1130"/>
        <item x="647"/>
        <item x="963"/>
        <item x="160"/>
        <item x="834"/>
        <item x="1102"/>
        <item x="356"/>
        <item x="405"/>
        <item x="991"/>
        <item x="983"/>
        <item x="368"/>
        <item x="99"/>
        <item x="78"/>
        <item x="1035"/>
        <item x="209"/>
        <item x="1002"/>
        <item x="474"/>
        <item x="840"/>
        <item x="1050"/>
        <item x="256"/>
        <item x="98"/>
        <item x="54"/>
        <item x="129"/>
        <item x="162"/>
        <item x="683"/>
        <item x="1089"/>
        <item x="775"/>
        <item x="214"/>
        <item x="545"/>
        <item x="511"/>
        <item x="1083"/>
        <item x="212"/>
        <item x="16"/>
        <item x="23"/>
        <item x="168"/>
        <item x="1107"/>
        <item x="941"/>
        <item x="190"/>
        <item x="50"/>
        <item x="823"/>
        <item x="173"/>
        <item x="821"/>
        <item x="627"/>
        <item x="380"/>
        <item x="327"/>
        <item x="1136"/>
        <item x="955"/>
        <item x="439"/>
        <item x="464"/>
        <item x="711"/>
        <item x="947"/>
        <item x="471"/>
        <item x="139"/>
        <item x="961"/>
        <item x="1138"/>
        <item x="1033"/>
        <item x="252"/>
        <item x="343"/>
        <item x="615"/>
        <item x="483"/>
        <item x="817"/>
        <item x="121"/>
        <item x="397"/>
        <item x="729"/>
        <item x="1023"/>
        <item x="949"/>
        <item x="1111"/>
        <item x="1025"/>
        <item x="498"/>
        <item x="200"/>
        <item x="294"/>
        <item x="470"/>
        <item x="717"/>
        <item x="832"/>
        <item x="777"/>
        <item x="1058"/>
        <item x="570"/>
        <item x="113"/>
        <item x="396"/>
        <item x="403"/>
        <item x="890"/>
        <item x="445"/>
        <item x="481"/>
        <item x="500"/>
        <item x="457"/>
        <item x="926"/>
        <item x="872"/>
        <item x="1090"/>
        <item x="68"/>
        <item x="1017"/>
        <item x="1060"/>
        <item x="751"/>
        <item x="171"/>
        <item x="358"/>
        <item x="126"/>
        <item x="140"/>
        <item x="534"/>
        <item x="888"/>
        <item x="764"/>
        <item x="418"/>
        <item x="240"/>
        <item x="9"/>
        <item x="169"/>
        <item x="868"/>
        <item x="284"/>
        <item x="102"/>
        <item x="91"/>
        <item x="523"/>
        <item x="623"/>
        <item x="125"/>
        <item x="424"/>
        <item x="827"/>
        <item x="443"/>
        <item x="784"/>
        <item x="572"/>
        <item x="476"/>
        <item x="320"/>
        <item x="105"/>
        <item x="869"/>
        <item x="552"/>
        <item x="671"/>
        <item x="688"/>
        <item x="513"/>
        <item x="141"/>
        <item x="433"/>
        <item x="543"/>
        <item x="227"/>
        <item x="1117"/>
        <item x="247"/>
        <item x="385"/>
        <item x="150"/>
        <item x="36"/>
        <item x="635"/>
        <item x="700"/>
        <item x="109"/>
        <item x="935"/>
        <item x="39"/>
        <item x="697"/>
        <item x="1040"/>
        <item x="416"/>
        <item x="899"/>
        <item x="315"/>
        <item x="836"/>
        <item x="371"/>
        <item x="685"/>
        <item x="22"/>
        <item x="307"/>
        <item x="124"/>
        <item x="1018"/>
        <item x="390"/>
        <item x="951"/>
        <item x="116"/>
        <item x="409"/>
        <item x="843"/>
        <item x="1013"/>
        <item x="787"/>
        <item x="809"/>
        <item x="1005"/>
        <item x="1020"/>
        <item x="172"/>
        <item x="316"/>
        <item x="929"/>
        <item x="976"/>
        <item x="575"/>
        <item x="453"/>
        <item x="291"/>
        <item x="442"/>
        <item x="906"/>
        <item x="997"/>
        <item x="1061"/>
        <item x="780"/>
        <item x="686"/>
        <item x="851"/>
        <item x="163"/>
        <item x="244"/>
        <item x="959"/>
        <item x="897"/>
        <item x="360"/>
        <item x="1039"/>
        <item x="682"/>
        <item x="648"/>
        <item x="63"/>
        <item x="790"/>
        <item x="281"/>
        <item x="273"/>
        <item x="979"/>
        <item x="675"/>
        <item x="387"/>
        <item x="679"/>
        <item x="1065"/>
        <item x="560"/>
        <item x="539"/>
        <item x="278"/>
        <item x="407"/>
        <item x="901"/>
        <item x="865"/>
        <item x="860"/>
        <item x="1037"/>
        <item x="1032"/>
        <item x="351"/>
        <item x="603"/>
        <item x="93"/>
        <item x="520"/>
        <item x="18"/>
        <item x="1011"/>
        <item x="420"/>
        <item x="161"/>
        <item x="924"/>
        <item x="908"/>
        <item x="526"/>
        <item x="958"/>
        <item x="878"/>
        <item x="1123"/>
        <item x="939"/>
        <item x="616"/>
        <item x="3"/>
        <item x="211"/>
        <item x="773"/>
        <item x="334"/>
        <item x="4"/>
        <item x="852"/>
        <item x="286"/>
        <item x="982"/>
        <item x="524"/>
        <item x="725"/>
        <item x="364"/>
        <item x="932"/>
        <item x="1053"/>
        <item x="530"/>
        <item x="288"/>
        <item x="628"/>
        <item x="668"/>
        <item x="693"/>
        <item x="771"/>
        <item x="186"/>
        <item x="1041"/>
        <item x="13"/>
        <item x="819"/>
        <item x="402"/>
        <item x="660"/>
        <item x="203"/>
        <item x="1120"/>
        <item x="755"/>
        <item x="84"/>
        <item x="452"/>
        <item x="845"/>
        <item x="486"/>
        <item x="254"/>
        <item x="43"/>
        <item x="732"/>
        <item x="462"/>
        <item x="1106"/>
        <item x="886"/>
        <item x="95"/>
        <item x="977"/>
        <item x="222"/>
        <item x="1134"/>
        <item x="7"/>
        <item x="936"/>
        <item x="347"/>
        <item x="421"/>
        <item x="507"/>
        <item x="1139"/>
        <item x="92"/>
        <item x="1046"/>
        <item x="1105"/>
        <item x="337"/>
        <item x="706"/>
        <item x="148"/>
        <item x="822"/>
        <item x="708"/>
        <item x="369"/>
        <item x="913"/>
        <item x="584"/>
        <item x="65"/>
        <item x="743"/>
        <item x="634"/>
        <item x="400"/>
        <item x="754"/>
        <item x="473"/>
        <item x="306"/>
        <item x="488"/>
        <item x="1116"/>
        <item x="61"/>
        <item x="735"/>
        <item x="496"/>
        <item x="342"/>
        <item x="311"/>
        <item x="362"/>
        <item x="275"/>
        <item x="6"/>
        <item x="210"/>
        <item x="127"/>
        <item x="428"/>
        <item x="702"/>
        <item x="87"/>
        <item x="818"/>
        <item x="619"/>
        <item x="158"/>
        <item x="650"/>
        <item x="300"/>
        <item x="177"/>
        <item x="115"/>
        <item x="1051"/>
        <item x="681"/>
        <item x="426"/>
        <item x="990"/>
        <item x="655"/>
        <item x="652"/>
        <item x="658"/>
        <item x="201"/>
        <item x="250"/>
        <item x="768"/>
        <item x="590"/>
        <item x="257"/>
        <item x="795"/>
        <item x="1043"/>
        <item x="394"/>
        <item x="730"/>
        <item x="567"/>
        <item x="925"/>
        <item x="1070"/>
        <item x="198"/>
        <item x="689"/>
        <item x="1029"/>
        <item x="807"/>
        <item x="877"/>
        <item x="629"/>
        <item x="557"/>
        <item x="731"/>
        <item x="568"/>
        <item x="596"/>
        <item x="1140"/>
        <item x="882"/>
        <item x="614"/>
        <item x="540"/>
        <item x="340"/>
        <item x="1103"/>
        <item x="101"/>
        <item x="885"/>
        <item x="269"/>
        <item x="19"/>
        <item x="841"/>
        <item x="581"/>
        <item x="100"/>
        <item x="239"/>
        <item x="185"/>
        <item x="217"/>
        <item x="1024"/>
        <item x="747"/>
        <item x="1099"/>
        <item x="317"/>
        <item x="848"/>
        <item x="241"/>
        <item x="236"/>
        <item x="1145"/>
        <item x="719"/>
        <item x="978"/>
        <item x="499"/>
        <item x="656"/>
        <item x="666"/>
        <item x="355"/>
        <item x="1121"/>
        <item x="120"/>
        <item x="35"/>
        <item x="1021"/>
        <item x="761"/>
        <item x="122"/>
        <item x="440"/>
        <item x="582"/>
        <item x="879"/>
        <item x="968"/>
        <item x="503"/>
        <item x="597"/>
        <item x="705"/>
        <item x="521"/>
        <item x="609"/>
        <item x="207"/>
        <item x="204"/>
        <item x="745"/>
        <item x="154"/>
        <item x="541"/>
        <item x="661"/>
        <item x="642"/>
        <item x="1054"/>
        <item x="1141"/>
        <item x="1127"/>
        <item x="325"/>
        <item x="266"/>
        <item x="406"/>
        <item x="451"/>
        <item x="1108"/>
        <item x="378"/>
        <item x="680"/>
        <item x="331"/>
        <item x="1074"/>
        <item x="644"/>
        <item x="742"/>
        <item x="267"/>
        <item x="246"/>
        <item x="788"/>
        <item x="750"/>
        <item x="592"/>
        <item x="760"/>
        <item x="670"/>
        <item x="398"/>
        <item x="580"/>
        <item x="917"/>
        <item x="799"/>
        <item x="1010"/>
        <item x="276"/>
        <item x="587"/>
        <item x="361"/>
        <item x="756"/>
        <item x="703"/>
        <item x="263"/>
        <item x="1016"/>
        <item x="962"/>
        <item x="86"/>
        <item x="766"/>
        <item x="1072"/>
        <item x="449"/>
        <item x="1114"/>
        <item x="144"/>
        <item x="1015"/>
        <item x="638"/>
        <item x="632"/>
        <item x="415"/>
        <item x="332"/>
        <item x="612"/>
        <item x="884"/>
        <item x="253"/>
        <item x="759"/>
        <item x="62"/>
        <item x="785"/>
        <item x="677"/>
        <item x="82"/>
        <item x="1003"/>
        <item x="167"/>
        <item x="792"/>
        <item x="975"/>
        <item x="44"/>
        <item x="41"/>
        <item x="736"/>
        <item x="230"/>
        <item x="728"/>
        <item x="733"/>
        <item x="419"/>
        <item x="49"/>
        <item x="392"/>
        <item x="181"/>
        <item x="874"/>
        <item x="960"/>
        <item x="1085"/>
        <item x="854"/>
        <item x="895"/>
        <item x="75"/>
        <item x="147"/>
        <item x="918"/>
        <item x="117"/>
        <item x="696"/>
        <item x="565"/>
        <item x="529"/>
        <item x="352"/>
        <item x="262"/>
        <item x="698"/>
        <item x="478"/>
        <item x="724"/>
        <item x="255"/>
        <item x="1079"/>
        <item x="672"/>
        <item x="268"/>
        <item x="329"/>
        <item x="782"/>
        <item x="373"/>
        <item x="562"/>
        <item x="866"/>
        <item x="60"/>
        <item x="722"/>
        <item x="1132"/>
        <item x="296"/>
        <item x="830"/>
        <item x="981"/>
        <item x="1104"/>
        <item x="359"/>
        <item x="134"/>
        <item x="989"/>
        <item x="422"/>
        <item x="641"/>
        <item x="26"/>
        <item x="712"/>
        <item x="625"/>
        <item x="1064"/>
        <item x="429"/>
        <item x="289"/>
        <item x="413"/>
        <item x="1073"/>
        <item x="225"/>
        <item x="374"/>
        <item x="197"/>
        <item x="604"/>
        <item x="969"/>
        <item x="531"/>
        <item x="17"/>
        <item x="704"/>
        <item x="950"/>
        <item x="341"/>
        <item x="621"/>
        <item x="235"/>
        <item x="835"/>
        <item x="844"/>
        <item x="720"/>
        <item x="781"/>
        <item x="218"/>
        <item x="11"/>
        <item x="803"/>
        <item x="763"/>
        <item x="1131"/>
        <item x="295"/>
        <item x="367"/>
        <item x="389"/>
        <item x="985"/>
        <item x="767"/>
        <item x="1066"/>
        <item x="1078"/>
        <item x="714"/>
        <item x="248"/>
        <item x="333"/>
        <item x="293"/>
        <item x="578"/>
        <item x="1115"/>
        <item x="1034"/>
        <item x="544"/>
        <item x="1052"/>
        <item x="974"/>
        <item x="752"/>
        <item x="96"/>
        <item x="37"/>
        <item x="973"/>
        <item x="489"/>
        <item x="363"/>
        <item x="889"/>
        <item x="903"/>
        <item x="684"/>
        <item x="839"/>
        <item x="1075"/>
        <item x="1096"/>
        <item x="77"/>
        <item x="814"/>
        <item x="1091"/>
        <item x="806"/>
        <item x="1026"/>
        <item x="336"/>
        <item x="980"/>
        <item x="1001"/>
        <item x="1135"/>
        <item x="548"/>
        <item x="350"/>
        <item x="52"/>
        <item x="357"/>
        <item x="967"/>
        <item x="1097"/>
        <item x="290"/>
        <item x="282"/>
        <item x="70"/>
        <item x="1128"/>
        <item x="937"/>
        <item x="491"/>
        <item x="48"/>
        <item x="448"/>
        <item x="195"/>
        <item x="31"/>
        <item x="527"/>
        <item x="484"/>
        <item x="833"/>
        <item x="243"/>
        <item x="487"/>
        <item x="344"/>
        <item x="32"/>
        <item x="2"/>
        <item x="739"/>
        <item x="372"/>
        <item x="430"/>
        <item x="626"/>
        <item x="556"/>
        <item x="984"/>
        <item x="956"/>
        <item x="931"/>
        <item x="927"/>
        <item x="27"/>
        <item x="952"/>
        <item x="339"/>
        <item x="297"/>
        <item x="770"/>
        <item x="542"/>
        <item x="930"/>
        <item x="922"/>
        <item x="536"/>
        <item x="57"/>
        <item x="238"/>
        <item x="815"/>
        <item x="569"/>
        <item x="1047"/>
        <item x="251"/>
        <item x="264"/>
        <item x="900"/>
        <item x="152"/>
        <item x="271"/>
        <item x="1100"/>
        <item x="1095"/>
        <item x="1"/>
        <item x="826"/>
        <item x="495"/>
        <item x="605"/>
        <item x="953"/>
        <item x="713"/>
        <item x="825"/>
        <item x="707"/>
        <item x="132"/>
        <item x="659"/>
        <item x="636"/>
        <item x="564"/>
        <item x="193"/>
        <item x="933"/>
        <item x="1081"/>
        <item x="51"/>
        <item x="692"/>
        <item x="549"/>
        <item x="796"/>
        <item x="970"/>
        <item x="138"/>
        <item x="55"/>
        <item x="1142"/>
        <item x="335"/>
        <item x="128"/>
        <item x="734"/>
        <item x="179"/>
        <item x="223"/>
        <item x="119"/>
        <item x="608"/>
        <item x="261"/>
        <item x="386"/>
        <item x="765"/>
        <item x="391"/>
        <item x="871"/>
        <item x="992"/>
        <item x="876"/>
        <item x="779"/>
        <item x="29"/>
        <item x="145"/>
        <item x="663"/>
        <item x="1027"/>
        <item x="59"/>
        <item x="136"/>
        <item x="283"/>
        <item x="862"/>
        <item x="873"/>
        <item x="762"/>
        <item x="326"/>
        <item x="811"/>
        <item x="208"/>
        <item x="455"/>
        <item x="304"/>
        <item x="519"/>
        <item x="753"/>
        <item x="12"/>
        <item x="602"/>
        <item x="618"/>
        <item x="824"/>
        <item x="435"/>
        <item x="516"/>
        <item x="653"/>
        <item x="447"/>
        <item x="399"/>
        <item x="349"/>
        <item x="1004"/>
        <item x="674"/>
        <item x="510"/>
        <item x="330"/>
        <item x="379"/>
        <item x="881"/>
        <item x="546"/>
        <item x="522"/>
        <item x="583"/>
        <item x="71"/>
        <item x="964"/>
        <item x="384"/>
        <item x="469"/>
        <item x="345"/>
        <item x="454"/>
        <item x="902"/>
        <item x="965"/>
        <item x="1129"/>
        <item x="456"/>
        <item x="1098"/>
        <item x="829"/>
        <item x="573"/>
        <item x="631"/>
        <item x="999"/>
        <item x="794"/>
        <item x="547"/>
        <item x="1019"/>
        <item x="232"/>
        <item x="1109"/>
        <item x="907"/>
        <item x="285"/>
        <item x="1042"/>
        <item x="228"/>
        <item x="1133"/>
        <item x="365"/>
        <item x="1118"/>
        <item x="783"/>
        <item x="593"/>
        <item x="559"/>
        <item x="33"/>
        <item x="10"/>
        <item x="606"/>
        <item x="159"/>
        <item x="184"/>
        <item x="622"/>
        <item x="710"/>
        <item x="192"/>
        <item x="942"/>
        <item x="279"/>
        <item x="277"/>
        <item x="353"/>
        <item x="607"/>
        <item x="694"/>
        <item x="662"/>
        <item x="998"/>
        <item x="446"/>
        <item x="630"/>
        <item x="106"/>
        <item x="1049"/>
        <item x="1038"/>
        <item x="480"/>
        <item x="846"/>
        <item x="83"/>
        <item x="1036"/>
        <item x="322"/>
        <item x="637"/>
        <item x="535"/>
        <item x="472"/>
        <item x="5"/>
        <item x="678"/>
        <item x="85"/>
        <item x="377"/>
        <item x="265"/>
        <item x="528"/>
        <item x="81"/>
        <item x="458"/>
        <item x="904"/>
        <item x="1056"/>
        <item x="1000"/>
        <item x="328"/>
        <item x="1122"/>
        <item x="509"/>
        <item x="867"/>
        <item x="986"/>
        <item x="972"/>
        <item x="298"/>
        <item x="910"/>
        <item x="468"/>
        <item x="103"/>
        <item x="249"/>
        <item x="916"/>
        <item x="375"/>
        <item x="940"/>
        <item x="79"/>
        <item x="538"/>
        <item x="757"/>
        <item x="820"/>
        <item x="553"/>
        <item x="715"/>
        <item x="716"/>
        <item x="1101"/>
        <item x="1063"/>
        <item x="56"/>
        <item x="804"/>
        <item x="566"/>
        <item x="411"/>
        <item x="170"/>
        <item x="1007"/>
        <item x="417"/>
        <item x="97"/>
        <item x="514"/>
        <item x="1008"/>
        <item x="318"/>
        <item x="673"/>
        <item x="14"/>
        <item x="1031"/>
        <item x="1110"/>
        <item x="856"/>
        <item x="123"/>
        <item x="66"/>
        <item x="1022"/>
        <item x="46"/>
        <item x="599"/>
        <item x="600"/>
        <item x="477"/>
        <item x="90"/>
        <item x="111"/>
        <item x="971"/>
        <item x="492"/>
        <item x="58"/>
        <item x="585"/>
        <item x="588"/>
        <item x="72"/>
        <item x="112"/>
        <item x="324"/>
        <item x="883"/>
        <item x="242"/>
        <item x="493"/>
        <item x="21"/>
        <item x="850"/>
        <item x="404"/>
        <item x="828"/>
        <item x="178"/>
        <item x="1124"/>
        <item x="506"/>
        <item x="864"/>
        <item x="838"/>
        <item x="758"/>
        <item x="270"/>
        <item x="1112"/>
        <item x="812"/>
        <item x="133"/>
        <item x="1092"/>
        <item x="24"/>
        <item x="110"/>
        <item x="20"/>
        <item x="892"/>
        <item x="187"/>
        <item x="25"/>
        <item x="695"/>
        <item x="912"/>
        <item x="412"/>
        <item x="738"/>
        <item x="718"/>
        <item x="34"/>
        <item x="920"/>
        <item x="191"/>
        <item x="861"/>
        <item x="461"/>
        <item x="654"/>
        <item x="646"/>
        <item x="1057"/>
        <item x="1012"/>
        <item x="699"/>
        <item x="494"/>
        <item x="1006"/>
        <item x="537"/>
        <item x="114"/>
        <item x="183"/>
        <item x="482"/>
        <item x="776"/>
        <item x="657"/>
        <item x="475"/>
        <item x="463"/>
        <item x="130"/>
        <item x="1059"/>
        <item x="589"/>
        <item x="875"/>
        <item x="613"/>
        <item x="395"/>
        <item x="1087"/>
        <item x="880"/>
        <item x="749"/>
        <item x="1088"/>
        <item x="149"/>
        <item x="591"/>
        <item x="945"/>
        <item x="620"/>
        <item x="38"/>
        <item x="280"/>
        <item x="338"/>
        <item x="995"/>
        <item x="669"/>
        <item x="74"/>
        <item x="370"/>
        <item x="774"/>
        <item x="137"/>
        <item x="727"/>
        <item x="957"/>
        <item x="1068"/>
        <item x="772"/>
        <item x="229"/>
        <item x="1119"/>
        <item x="1044"/>
        <item x="30"/>
        <item x="427"/>
        <item x="667"/>
        <item x="89"/>
        <item x="923"/>
        <item x="1094"/>
        <item x="664"/>
        <item x="175"/>
        <item x="1147"/>
        <item x="909"/>
        <item x="431"/>
        <item x="791"/>
        <item x="156"/>
        <item x="793"/>
        <item x="434"/>
        <item x="118"/>
        <item x="1126"/>
        <item x="800"/>
        <item x="310"/>
        <item x="504"/>
        <item x="76"/>
        <item x="518"/>
        <item x="532"/>
        <item x="645"/>
        <item x="946"/>
        <item x="0"/>
        <item x="550"/>
        <item x="460"/>
        <item x="1071"/>
        <item x="1082"/>
        <item x="157"/>
        <item x="611"/>
        <item x="15"/>
        <item x="219"/>
        <item x="853"/>
        <item x="1062"/>
        <item x="245"/>
        <item x="921"/>
        <item x="436"/>
        <item x="598"/>
        <item x="189"/>
        <item x="858"/>
        <item x="842"/>
        <item x="314"/>
        <item x="741"/>
        <item x="665"/>
        <item x="1086"/>
        <item x="649"/>
        <item x="155"/>
        <item x="1144"/>
        <item x="108"/>
        <item x="737"/>
        <item x="299"/>
        <item x="376"/>
        <item x="166"/>
        <item x="67"/>
        <item x="502"/>
        <item x="348"/>
        <item x="313"/>
        <item x="459"/>
        <item x="501"/>
        <item x="726"/>
        <item x="508"/>
        <item x="651"/>
        <item x="423"/>
        <item x="215"/>
        <item x="45"/>
        <item x="857"/>
        <item x="234"/>
        <item x="555"/>
        <item x="143"/>
        <item x="870"/>
        <item x="47"/>
        <item x="164"/>
        <item x="576"/>
        <item x="393"/>
        <item x="802"/>
        <item x="887"/>
        <item x="221"/>
        <item x="893"/>
        <item x="595"/>
        <item x="188"/>
        <item x="135"/>
        <item x="196"/>
        <item x="746"/>
        <item x="287"/>
        <item x="450"/>
        <item x="479"/>
        <item x="260"/>
        <item x="346"/>
        <item x="180"/>
        <item x="194"/>
        <item x="744"/>
        <item x="107"/>
        <item x="497"/>
        <item x="778"/>
        <item x="748"/>
        <item x="205"/>
        <item x="691"/>
        <item x="94"/>
        <item x="383"/>
        <item x="467"/>
        <item x="1125"/>
        <item t="default"/>
      </items>
    </pivotField>
    <pivotField dataField="1" numFmtId="164" showAll="0"/>
    <pivotField dataField="1" numFmtId="2" showAll="0"/>
    <pivotField showAll="0">
      <items count="4">
        <item x="0"/>
        <item x="2"/>
        <item x="1"/>
        <item t="default"/>
      </items>
    </pivotField>
    <pivotField axis="axisRow" showAll="0">
      <items count="13">
        <item x="6"/>
        <item x="8"/>
        <item x="4"/>
        <item x="11"/>
        <item x="0"/>
        <item x="2"/>
        <item x="10"/>
        <item x="9"/>
        <item x="5"/>
        <item x="1"/>
        <item x="3"/>
        <item x="7"/>
        <item t="default"/>
      </items>
    </pivotField>
    <pivotField showAll="0"/>
    <pivotField dataField="1" showAll="0"/>
    <pivotField showAll="0"/>
    <pivotField showAll="0"/>
    <pivotField showAll="0"/>
    <pivotField showAll="0">
      <items count="4">
        <item x="0"/>
        <item x="1"/>
        <item x="2"/>
        <item t="default"/>
      </items>
    </pivotField>
    <pivotField showAll="0"/>
    <pivotField showAll="0"/>
  </pivotFields>
  <rowFields count="1">
    <field x="12"/>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Sum of Quantity" fld="6" baseField="0" baseItem="0"/>
    <dataField name="Sum of Cost price" fld="14" baseField="0" baseItem="0"/>
    <dataField name="Sum of Sales" fld="8" baseField="0" baseItem="0"/>
    <dataField name="Sum of Profit" fld="9" baseField="0" baseItem="0"/>
    <dataField name="Sum of Profit Margi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902E76-977A-47C7-BC6B-B70E432E8BB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3:B94" firstHeaderRow="1" firstDataRow="1" firstDataCol="0"/>
  <pivotFields count="21">
    <pivotField showAll="0"/>
    <pivotField numFmtId="14" showAll="0"/>
    <pivotField showAll="0">
      <items count="5">
        <item x="0"/>
        <item x="2"/>
        <item x="1"/>
        <item x="3"/>
        <item t="default"/>
      </items>
    </pivotField>
    <pivotField showAll="0">
      <items count="7">
        <item x="0"/>
        <item x="1"/>
        <item x="4"/>
        <item x="2"/>
        <item x="3"/>
        <item x="5"/>
        <item t="default"/>
      </items>
    </pivotField>
    <pivotField showAll="0">
      <items count="5">
        <item x="1"/>
        <item x="3"/>
        <item x="2"/>
        <item x="0"/>
        <item t="default"/>
      </items>
    </pivotField>
    <pivotField showAll="0"/>
    <pivotField numFmtId="1" showAll="0"/>
    <pivotField showAll="0"/>
    <pivotField dataField="1"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63816F-348E-490E-AAEA-6B10A93BCF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8:B99" firstHeaderRow="1" firstDataRow="1" firstDataCol="0"/>
  <pivotFields count="21">
    <pivotField showAll="0"/>
    <pivotField numFmtId="14" showAll="0"/>
    <pivotField showAll="0">
      <items count="5">
        <item x="0"/>
        <item x="2"/>
        <item x="1"/>
        <item x="3"/>
        <item t="default"/>
      </items>
    </pivotField>
    <pivotField showAll="0">
      <items count="7">
        <item x="0"/>
        <item x="1"/>
        <item x="4"/>
        <item x="2"/>
        <item x="3"/>
        <item x="5"/>
        <item t="default"/>
      </items>
    </pivotField>
    <pivotField showAll="0">
      <items count="5">
        <item x="1"/>
        <item x="3"/>
        <item x="2"/>
        <item x="0"/>
        <item t="default"/>
      </items>
    </pivotField>
    <pivotField showAll="0"/>
    <pivotField numFmtId="1" showAll="0"/>
    <pivotField showAll="0"/>
    <pivotField showAll="0"/>
    <pivotField dataField="1" numFmtId="164" showAll="0"/>
    <pivotField numFmtId="2"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894E04-8BC4-4BD9-8166-0DB8B880B81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3:C54" firstHeaderRow="1" firstDataRow="1" firstDataCol="1"/>
  <pivotFields count="21">
    <pivotField showAll="0"/>
    <pivotField numFmtId="14" showAll="0"/>
    <pivotField showAll="0">
      <items count="5">
        <item x="0"/>
        <item x="2"/>
        <item x="1"/>
        <item x="3"/>
        <item t="default"/>
      </items>
    </pivotField>
    <pivotField showAll="0">
      <items count="7">
        <item x="0"/>
        <item x="1"/>
        <item x="4"/>
        <item x="2"/>
        <item x="3"/>
        <item x="5"/>
        <item t="default"/>
      </items>
    </pivotField>
    <pivotField showAll="0">
      <items count="5">
        <item x="1"/>
        <item x="3"/>
        <item x="2"/>
        <item x="0"/>
        <item t="default"/>
      </items>
    </pivotField>
    <pivotField axis="axisRow" showAll="0" measureFilter="1" sortType="descending">
      <items count="18">
        <item x="3"/>
        <item x="8"/>
        <item x="4"/>
        <item x="15"/>
        <item x="2"/>
        <item x="12"/>
        <item x="16"/>
        <item x="7"/>
        <item x="0"/>
        <item x="9"/>
        <item x="5"/>
        <item x="13"/>
        <item x="6"/>
        <item x="14"/>
        <item x="1"/>
        <item x="10"/>
        <item x="11"/>
        <item t="default"/>
      </items>
      <autoSortScope>
        <pivotArea dataOnly="0" outline="0" fieldPosition="0">
          <references count="1">
            <reference field="4294967294" count="1" selected="0">
              <x v="0"/>
            </reference>
          </references>
        </pivotArea>
      </autoSortScope>
    </pivotField>
    <pivotField numFmtId="1" showAll="0"/>
    <pivotField showAll="0"/>
    <pivotField dataField="1" showAll="0">
      <items count="1149">
        <item x="40"/>
        <item x="202"/>
        <item x="512"/>
        <item x="272"/>
        <item x="388"/>
        <item x="810"/>
        <item x="438"/>
        <item x="444"/>
        <item x="805"/>
        <item x="302"/>
        <item x="554"/>
        <item x="643"/>
        <item x="1137"/>
        <item x="849"/>
        <item x="414"/>
        <item x="382"/>
        <item x="928"/>
        <item x="586"/>
        <item x="571"/>
        <item x="131"/>
        <item x="69"/>
        <item x="561"/>
        <item x="64"/>
        <item x="687"/>
        <item x="437"/>
        <item x="174"/>
        <item x="319"/>
        <item x="966"/>
        <item x="165"/>
        <item x="1048"/>
        <item x="797"/>
        <item x="8"/>
        <item x="505"/>
        <item x="789"/>
        <item x="816"/>
        <item x="855"/>
        <item x="517"/>
        <item x="1009"/>
        <item x="88"/>
        <item x="259"/>
        <item x="786"/>
        <item x="676"/>
        <item x="206"/>
        <item x="176"/>
        <item x="80"/>
        <item x="28"/>
        <item x="919"/>
        <item x="994"/>
        <item x="199"/>
        <item x="1077"/>
        <item x="216"/>
        <item x="640"/>
        <item x="312"/>
        <item x="231"/>
        <item x="847"/>
        <item x="142"/>
        <item x="905"/>
        <item x="837"/>
        <item x="323"/>
        <item x="1113"/>
        <item x="466"/>
        <item x="401"/>
        <item x="617"/>
        <item x="1014"/>
        <item x="1093"/>
        <item x="938"/>
        <item x="577"/>
        <item x="153"/>
        <item x="1067"/>
        <item x="515"/>
        <item x="308"/>
        <item x="1045"/>
        <item x="891"/>
        <item x="151"/>
        <item x="701"/>
        <item x="914"/>
        <item x="1055"/>
        <item x="808"/>
        <item x="898"/>
        <item x="42"/>
        <item x="915"/>
        <item x="53"/>
        <item x="993"/>
        <item x="944"/>
        <item x="574"/>
        <item x="410"/>
        <item x="274"/>
        <item x="220"/>
        <item x="723"/>
        <item x="558"/>
        <item x="987"/>
        <item x="354"/>
        <item x="226"/>
        <item x="292"/>
        <item x="305"/>
        <item x="863"/>
        <item x="237"/>
        <item x="490"/>
        <item x="831"/>
        <item x="1030"/>
        <item x="1076"/>
        <item x="948"/>
        <item x="301"/>
        <item x="303"/>
        <item x="954"/>
        <item x="465"/>
        <item x="988"/>
        <item x="233"/>
        <item x="801"/>
        <item x="321"/>
        <item x="1143"/>
        <item x="533"/>
        <item x="441"/>
        <item x="408"/>
        <item x="813"/>
        <item x="601"/>
        <item x="551"/>
        <item x="182"/>
        <item x="769"/>
        <item x="721"/>
        <item x="709"/>
        <item x="213"/>
        <item x="381"/>
        <item x="525"/>
        <item x="894"/>
        <item x="104"/>
        <item x="934"/>
        <item x="633"/>
        <item x="690"/>
        <item x="73"/>
        <item x="996"/>
        <item x="309"/>
        <item x="258"/>
        <item x="146"/>
        <item x="943"/>
        <item x="1084"/>
        <item x="896"/>
        <item x="432"/>
        <item x="1080"/>
        <item x="859"/>
        <item x="579"/>
        <item x="740"/>
        <item x="798"/>
        <item x="610"/>
        <item x="639"/>
        <item x="563"/>
        <item x="624"/>
        <item x="911"/>
        <item x="1028"/>
        <item x="224"/>
        <item x="425"/>
        <item x="594"/>
        <item x="366"/>
        <item x="485"/>
        <item x="1069"/>
        <item x="1146"/>
        <item x="1130"/>
        <item x="647"/>
        <item x="963"/>
        <item x="160"/>
        <item x="834"/>
        <item x="1102"/>
        <item x="356"/>
        <item x="405"/>
        <item x="991"/>
        <item x="983"/>
        <item x="368"/>
        <item x="99"/>
        <item x="78"/>
        <item x="1035"/>
        <item x="209"/>
        <item x="1002"/>
        <item x="474"/>
        <item x="840"/>
        <item x="1050"/>
        <item x="256"/>
        <item x="98"/>
        <item x="54"/>
        <item x="129"/>
        <item x="162"/>
        <item x="683"/>
        <item x="1089"/>
        <item x="775"/>
        <item x="214"/>
        <item x="545"/>
        <item x="511"/>
        <item x="1083"/>
        <item x="212"/>
        <item x="16"/>
        <item x="23"/>
        <item x="168"/>
        <item x="1107"/>
        <item x="941"/>
        <item x="190"/>
        <item x="50"/>
        <item x="823"/>
        <item x="173"/>
        <item x="821"/>
        <item x="627"/>
        <item x="380"/>
        <item x="327"/>
        <item x="1136"/>
        <item x="955"/>
        <item x="439"/>
        <item x="464"/>
        <item x="711"/>
        <item x="947"/>
        <item x="471"/>
        <item x="139"/>
        <item x="961"/>
        <item x="1138"/>
        <item x="1033"/>
        <item x="252"/>
        <item x="343"/>
        <item x="615"/>
        <item x="483"/>
        <item x="817"/>
        <item x="121"/>
        <item x="397"/>
        <item x="729"/>
        <item x="1023"/>
        <item x="949"/>
        <item x="1111"/>
        <item x="1025"/>
        <item x="498"/>
        <item x="200"/>
        <item x="294"/>
        <item x="470"/>
        <item x="717"/>
        <item x="832"/>
        <item x="777"/>
        <item x="1058"/>
        <item x="570"/>
        <item x="113"/>
        <item x="396"/>
        <item x="403"/>
        <item x="890"/>
        <item x="445"/>
        <item x="481"/>
        <item x="500"/>
        <item x="457"/>
        <item x="926"/>
        <item x="872"/>
        <item x="1090"/>
        <item x="68"/>
        <item x="1017"/>
        <item x="1060"/>
        <item x="751"/>
        <item x="171"/>
        <item x="358"/>
        <item x="126"/>
        <item x="140"/>
        <item x="534"/>
        <item x="888"/>
        <item x="764"/>
        <item x="418"/>
        <item x="240"/>
        <item x="9"/>
        <item x="169"/>
        <item x="868"/>
        <item x="284"/>
        <item x="102"/>
        <item x="91"/>
        <item x="523"/>
        <item x="623"/>
        <item x="125"/>
        <item x="424"/>
        <item x="827"/>
        <item x="443"/>
        <item x="784"/>
        <item x="572"/>
        <item x="476"/>
        <item x="320"/>
        <item x="105"/>
        <item x="869"/>
        <item x="552"/>
        <item x="671"/>
        <item x="688"/>
        <item x="513"/>
        <item x="141"/>
        <item x="433"/>
        <item x="543"/>
        <item x="227"/>
        <item x="1117"/>
        <item x="247"/>
        <item x="385"/>
        <item x="150"/>
        <item x="36"/>
        <item x="635"/>
        <item x="700"/>
        <item x="109"/>
        <item x="935"/>
        <item x="39"/>
        <item x="697"/>
        <item x="1040"/>
        <item x="416"/>
        <item x="899"/>
        <item x="315"/>
        <item x="836"/>
        <item x="371"/>
        <item x="685"/>
        <item x="22"/>
        <item x="307"/>
        <item x="124"/>
        <item x="1018"/>
        <item x="390"/>
        <item x="951"/>
        <item x="116"/>
        <item x="409"/>
        <item x="843"/>
        <item x="1013"/>
        <item x="787"/>
        <item x="809"/>
        <item x="1005"/>
        <item x="1020"/>
        <item x="172"/>
        <item x="316"/>
        <item x="929"/>
        <item x="976"/>
        <item x="575"/>
        <item x="453"/>
        <item x="291"/>
        <item x="442"/>
        <item x="906"/>
        <item x="997"/>
        <item x="1061"/>
        <item x="780"/>
        <item x="686"/>
        <item x="851"/>
        <item x="163"/>
        <item x="244"/>
        <item x="959"/>
        <item x="897"/>
        <item x="360"/>
        <item x="1039"/>
        <item x="682"/>
        <item x="648"/>
        <item x="63"/>
        <item x="790"/>
        <item x="281"/>
        <item x="273"/>
        <item x="979"/>
        <item x="675"/>
        <item x="387"/>
        <item x="679"/>
        <item x="1065"/>
        <item x="560"/>
        <item x="539"/>
        <item x="278"/>
        <item x="407"/>
        <item x="901"/>
        <item x="865"/>
        <item x="860"/>
        <item x="1037"/>
        <item x="1032"/>
        <item x="351"/>
        <item x="603"/>
        <item x="93"/>
        <item x="520"/>
        <item x="18"/>
        <item x="1011"/>
        <item x="420"/>
        <item x="161"/>
        <item x="924"/>
        <item x="908"/>
        <item x="526"/>
        <item x="958"/>
        <item x="878"/>
        <item x="1123"/>
        <item x="939"/>
        <item x="616"/>
        <item x="3"/>
        <item x="211"/>
        <item x="773"/>
        <item x="334"/>
        <item x="4"/>
        <item x="852"/>
        <item x="286"/>
        <item x="982"/>
        <item x="524"/>
        <item x="725"/>
        <item x="364"/>
        <item x="932"/>
        <item x="1053"/>
        <item x="530"/>
        <item x="288"/>
        <item x="628"/>
        <item x="668"/>
        <item x="693"/>
        <item x="771"/>
        <item x="186"/>
        <item x="1041"/>
        <item x="13"/>
        <item x="819"/>
        <item x="402"/>
        <item x="660"/>
        <item x="203"/>
        <item x="1120"/>
        <item x="755"/>
        <item x="84"/>
        <item x="452"/>
        <item x="845"/>
        <item x="486"/>
        <item x="254"/>
        <item x="43"/>
        <item x="732"/>
        <item x="462"/>
        <item x="1106"/>
        <item x="886"/>
        <item x="95"/>
        <item x="977"/>
        <item x="222"/>
        <item x="1134"/>
        <item x="7"/>
        <item x="936"/>
        <item x="347"/>
        <item x="421"/>
        <item x="507"/>
        <item x="1139"/>
        <item x="92"/>
        <item x="1046"/>
        <item x="1105"/>
        <item x="337"/>
        <item x="706"/>
        <item x="148"/>
        <item x="822"/>
        <item x="708"/>
        <item x="369"/>
        <item x="913"/>
        <item x="584"/>
        <item x="65"/>
        <item x="743"/>
        <item x="634"/>
        <item x="400"/>
        <item x="754"/>
        <item x="473"/>
        <item x="306"/>
        <item x="488"/>
        <item x="1116"/>
        <item x="61"/>
        <item x="735"/>
        <item x="496"/>
        <item x="342"/>
        <item x="311"/>
        <item x="362"/>
        <item x="275"/>
        <item x="6"/>
        <item x="210"/>
        <item x="127"/>
        <item x="428"/>
        <item x="702"/>
        <item x="87"/>
        <item x="818"/>
        <item x="619"/>
        <item x="158"/>
        <item x="650"/>
        <item x="300"/>
        <item x="177"/>
        <item x="115"/>
        <item x="1051"/>
        <item x="681"/>
        <item x="426"/>
        <item x="990"/>
        <item x="655"/>
        <item x="652"/>
        <item x="658"/>
        <item x="201"/>
        <item x="250"/>
        <item x="768"/>
        <item x="590"/>
        <item x="257"/>
        <item x="795"/>
        <item x="1043"/>
        <item x="394"/>
        <item x="730"/>
        <item x="567"/>
        <item x="925"/>
        <item x="1070"/>
        <item x="198"/>
        <item x="689"/>
        <item x="1029"/>
        <item x="807"/>
        <item x="877"/>
        <item x="629"/>
        <item x="557"/>
        <item x="731"/>
        <item x="568"/>
        <item x="596"/>
        <item x="1140"/>
        <item x="882"/>
        <item x="614"/>
        <item x="540"/>
        <item x="340"/>
        <item x="1103"/>
        <item x="101"/>
        <item x="885"/>
        <item x="269"/>
        <item x="19"/>
        <item x="841"/>
        <item x="581"/>
        <item x="100"/>
        <item x="239"/>
        <item x="185"/>
        <item x="217"/>
        <item x="1024"/>
        <item x="747"/>
        <item x="1099"/>
        <item x="317"/>
        <item x="848"/>
        <item x="241"/>
        <item x="236"/>
        <item x="1145"/>
        <item x="719"/>
        <item x="978"/>
        <item x="499"/>
        <item x="656"/>
        <item x="666"/>
        <item x="355"/>
        <item x="1121"/>
        <item x="120"/>
        <item x="35"/>
        <item x="1021"/>
        <item x="761"/>
        <item x="122"/>
        <item x="440"/>
        <item x="582"/>
        <item x="879"/>
        <item x="968"/>
        <item x="503"/>
        <item x="597"/>
        <item x="705"/>
        <item x="521"/>
        <item x="609"/>
        <item x="207"/>
        <item x="204"/>
        <item x="745"/>
        <item x="154"/>
        <item x="541"/>
        <item x="661"/>
        <item x="642"/>
        <item x="1054"/>
        <item x="1141"/>
        <item x="1127"/>
        <item x="325"/>
        <item x="266"/>
        <item x="406"/>
        <item x="451"/>
        <item x="1108"/>
        <item x="378"/>
        <item x="680"/>
        <item x="331"/>
        <item x="1074"/>
        <item x="644"/>
        <item x="742"/>
        <item x="267"/>
        <item x="246"/>
        <item x="788"/>
        <item x="750"/>
        <item x="592"/>
        <item x="760"/>
        <item x="670"/>
        <item x="398"/>
        <item x="580"/>
        <item x="917"/>
        <item x="799"/>
        <item x="1010"/>
        <item x="276"/>
        <item x="587"/>
        <item x="361"/>
        <item x="756"/>
        <item x="703"/>
        <item x="263"/>
        <item x="1016"/>
        <item x="962"/>
        <item x="86"/>
        <item x="766"/>
        <item x="1072"/>
        <item x="449"/>
        <item x="1114"/>
        <item x="144"/>
        <item x="1015"/>
        <item x="638"/>
        <item x="632"/>
        <item x="415"/>
        <item x="332"/>
        <item x="612"/>
        <item x="884"/>
        <item x="253"/>
        <item x="759"/>
        <item x="62"/>
        <item x="785"/>
        <item x="677"/>
        <item x="82"/>
        <item x="1003"/>
        <item x="167"/>
        <item x="792"/>
        <item x="975"/>
        <item x="44"/>
        <item x="41"/>
        <item x="736"/>
        <item x="230"/>
        <item x="728"/>
        <item x="733"/>
        <item x="419"/>
        <item x="49"/>
        <item x="392"/>
        <item x="181"/>
        <item x="874"/>
        <item x="960"/>
        <item x="1085"/>
        <item x="854"/>
        <item x="895"/>
        <item x="75"/>
        <item x="147"/>
        <item x="918"/>
        <item x="117"/>
        <item x="696"/>
        <item x="565"/>
        <item x="529"/>
        <item x="352"/>
        <item x="262"/>
        <item x="698"/>
        <item x="478"/>
        <item x="724"/>
        <item x="255"/>
        <item x="1079"/>
        <item x="672"/>
        <item x="268"/>
        <item x="329"/>
        <item x="782"/>
        <item x="373"/>
        <item x="562"/>
        <item x="866"/>
        <item x="60"/>
        <item x="722"/>
        <item x="1132"/>
        <item x="296"/>
        <item x="830"/>
        <item x="981"/>
        <item x="1104"/>
        <item x="359"/>
        <item x="134"/>
        <item x="989"/>
        <item x="422"/>
        <item x="641"/>
        <item x="26"/>
        <item x="712"/>
        <item x="625"/>
        <item x="1064"/>
        <item x="429"/>
        <item x="289"/>
        <item x="413"/>
        <item x="1073"/>
        <item x="225"/>
        <item x="374"/>
        <item x="197"/>
        <item x="604"/>
        <item x="969"/>
        <item x="531"/>
        <item x="17"/>
        <item x="704"/>
        <item x="950"/>
        <item x="341"/>
        <item x="621"/>
        <item x="235"/>
        <item x="835"/>
        <item x="844"/>
        <item x="720"/>
        <item x="781"/>
        <item x="218"/>
        <item x="11"/>
        <item x="803"/>
        <item x="763"/>
        <item x="1131"/>
        <item x="295"/>
        <item x="367"/>
        <item x="389"/>
        <item x="985"/>
        <item x="767"/>
        <item x="1066"/>
        <item x="1078"/>
        <item x="714"/>
        <item x="248"/>
        <item x="333"/>
        <item x="293"/>
        <item x="578"/>
        <item x="1115"/>
        <item x="1034"/>
        <item x="544"/>
        <item x="1052"/>
        <item x="974"/>
        <item x="752"/>
        <item x="96"/>
        <item x="37"/>
        <item x="973"/>
        <item x="489"/>
        <item x="363"/>
        <item x="889"/>
        <item x="903"/>
        <item x="684"/>
        <item x="839"/>
        <item x="1075"/>
        <item x="1096"/>
        <item x="77"/>
        <item x="814"/>
        <item x="1091"/>
        <item x="806"/>
        <item x="1026"/>
        <item x="336"/>
        <item x="980"/>
        <item x="1001"/>
        <item x="1135"/>
        <item x="548"/>
        <item x="350"/>
        <item x="52"/>
        <item x="357"/>
        <item x="967"/>
        <item x="1097"/>
        <item x="290"/>
        <item x="282"/>
        <item x="70"/>
        <item x="1128"/>
        <item x="937"/>
        <item x="491"/>
        <item x="48"/>
        <item x="448"/>
        <item x="195"/>
        <item x="31"/>
        <item x="527"/>
        <item x="484"/>
        <item x="833"/>
        <item x="243"/>
        <item x="487"/>
        <item x="344"/>
        <item x="32"/>
        <item x="2"/>
        <item x="739"/>
        <item x="372"/>
        <item x="430"/>
        <item x="626"/>
        <item x="556"/>
        <item x="984"/>
        <item x="956"/>
        <item x="931"/>
        <item x="927"/>
        <item x="27"/>
        <item x="952"/>
        <item x="339"/>
        <item x="297"/>
        <item x="770"/>
        <item x="542"/>
        <item x="930"/>
        <item x="922"/>
        <item x="536"/>
        <item x="57"/>
        <item x="238"/>
        <item x="815"/>
        <item x="569"/>
        <item x="1047"/>
        <item x="251"/>
        <item x="264"/>
        <item x="900"/>
        <item x="152"/>
        <item x="271"/>
        <item x="1100"/>
        <item x="1095"/>
        <item x="1"/>
        <item x="826"/>
        <item x="495"/>
        <item x="605"/>
        <item x="953"/>
        <item x="713"/>
        <item x="825"/>
        <item x="707"/>
        <item x="132"/>
        <item x="659"/>
        <item x="636"/>
        <item x="564"/>
        <item x="193"/>
        <item x="933"/>
        <item x="1081"/>
        <item x="51"/>
        <item x="692"/>
        <item x="549"/>
        <item x="796"/>
        <item x="970"/>
        <item x="138"/>
        <item x="55"/>
        <item x="1142"/>
        <item x="335"/>
        <item x="128"/>
        <item x="734"/>
        <item x="179"/>
        <item x="223"/>
        <item x="119"/>
        <item x="608"/>
        <item x="261"/>
        <item x="386"/>
        <item x="765"/>
        <item x="391"/>
        <item x="871"/>
        <item x="992"/>
        <item x="876"/>
        <item x="779"/>
        <item x="29"/>
        <item x="145"/>
        <item x="663"/>
        <item x="1027"/>
        <item x="59"/>
        <item x="136"/>
        <item x="283"/>
        <item x="862"/>
        <item x="873"/>
        <item x="762"/>
        <item x="326"/>
        <item x="811"/>
        <item x="208"/>
        <item x="455"/>
        <item x="304"/>
        <item x="519"/>
        <item x="753"/>
        <item x="12"/>
        <item x="602"/>
        <item x="618"/>
        <item x="824"/>
        <item x="435"/>
        <item x="516"/>
        <item x="653"/>
        <item x="447"/>
        <item x="399"/>
        <item x="349"/>
        <item x="1004"/>
        <item x="674"/>
        <item x="510"/>
        <item x="330"/>
        <item x="379"/>
        <item x="881"/>
        <item x="546"/>
        <item x="522"/>
        <item x="583"/>
        <item x="71"/>
        <item x="964"/>
        <item x="384"/>
        <item x="469"/>
        <item x="345"/>
        <item x="454"/>
        <item x="902"/>
        <item x="965"/>
        <item x="1129"/>
        <item x="456"/>
        <item x="1098"/>
        <item x="829"/>
        <item x="573"/>
        <item x="631"/>
        <item x="999"/>
        <item x="794"/>
        <item x="547"/>
        <item x="1019"/>
        <item x="232"/>
        <item x="1109"/>
        <item x="907"/>
        <item x="285"/>
        <item x="1042"/>
        <item x="228"/>
        <item x="1133"/>
        <item x="365"/>
        <item x="1118"/>
        <item x="783"/>
        <item x="593"/>
        <item x="559"/>
        <item x="33"/>
        <item x="10"/>
        <item x="606"/>
        <item x="159"/>
        <item x="184"/>
        <item x="622"/>
        <item x="710"/>
        <item x="192"/>
        <item x="942"/>
        <item x="279"/>
        <item x="277"/>
        <item x="353"/>
        <item x="607"/>
        <item x="694"/>
        <item x="662"/>
        <item x="998"/>
        <item x="446"/>
        <item x="630"/>
        <item x="106"/>
        <item x="1049"/>
        <item x="1038"/>
        <item x="480"/>
        <item x="846"/>
        <item x="83"/>
        <item x="1036"/>
        <item x="322"/>
        <item x="637"/>
        <item x="535"/>
        <item x="472"/>
        <item x="5"/>
        <item x="678"/>
        <item x="85"/>
        <item x="377"/>
        <item x="265"/>
        <item x="528"/>
        <item x="81"/>
        <item x="458"/>
        <item x="904"/>
        <item x="1056"/>
        <item x="1000"/>
        <item x="328"/>
        <item x="1122"/>
        <item x="509"/>
        <item x="867"/>
        <item x="986"/>
        <item x="972"/>
        <item x="298"/>
        <item x="910"/>
        <item x="468"/>
        <item x="103"/>
        <item x="249"/>
        <item x="916"/>
        <item x="375"/>
        <item x="940"/>
        <item x="79"/>
        <item x="538"/>
        <item x="757"/>
        <item x="820"/>
        <item x="553"/>
        <item x="715"/>
        <item x="716"/>
        <item x="1101"/>
        <item x="1063"/>
        <item x="56"/>
        <item x="804"/>
        <item x="566"/>
        <item x="411"/>
        <item x="170"/>
        <item x="1007"/>
        <item x="417"/>
        <item x="97"/>
        <item x="514"/>
        <item x="1008"/>
        <item x="318"/>
        <item x="673"/>
        <item x="14"/>
        <item x="1031"/>
        <item x="1110"/>
        <item x="856"/>
        <item x="123"/>
        <item x="66"/>
        <item x="1022"/>
        <item x="46"/>
        <item x="599"/>
        <item x="600"/>
        <item x="477"/>
        <item x="90"/>
        <item x="111"/>
        <item x="971"/>
        <item x="492"/>
        <item x="58"/>
        <item x="585"/>
        <item x="588"/>
        <item x="72"/>
        <item x="112"/>
        <item x="324"/>
        <item x="883"/>
        <item x="242"/>
        <item x="493"/>
        <item x="21"/>
        <item x="850"/>
        <item x="404"/>
        <item x="828"/>
        <item x="178"/>
        <item x="1124"/>
        <item x="506"/>
        <item x="864"/>
        <item x="838"/>
        <item x="758"/>
        <item x="270"/>
        <item x="1112"/>
        <item x="812"/>
        <item x="133"/>
        <item x="1092"/>
        <item x="24"/>
        <item x="110"/>
        <item x="20"/>
        <item x="892"/>
        <item x="187"/>
        <item x="25"/>
        <item x="695"/>
        <item x="912"/>
        <item x="412"/>
        <item x="738"/>
        <item x="718"/>
        <item x="34"/>
        <item x="920"/>
        <item x="191"/>
        <item x="861"/>
        <item x="461"/>
        <item x="654"/>
        <item x="646"/>
        <item x="1057"/>
        <item x="1012"/>
        <item x="699"/>
        <item x="494"/>
        <item x="1006"/>
        <item x="537"/>
        <item x="114"/>
        <item x="183"/>
        <item x="482"/>
        <item x="776"/>
        <item x="657"/>
        <item x="475"/>
        <item x="463"/>
        <item x="130"/>
        <item x="1059"/>
        <item x="589"/>
        <item x="875"/>
        <item x="613"/>
        <item x="395"/>
        <item x="1087"/>
        <item x="880"/>
        <item x="749"/>
        <item x="1088"/>
        <item x="149"/>
        <item x="591"/>
        <item x="945"/>
        <item x="620"/>
        <item x="38"/>
        <item x="280"/>
        <item x="338"/>
        <item x="995"/>
        <item x="669"/>
        <item x="74"/>
        <item x="370"/>
        <item x="774"/>
        <item x="137"/>
        <item x="727"/>
        <item x="957"/>
        <item x="1068"/>
        <item x="772"/>
        <item x="229"/>
        <item x="1119"/>
        <item x="1044"/>
        <item x="30"/>
        <item x="427"/>
        <item x="667"/>
        <item x="89"/>
        <item x="923"/>
        <item x="1094"/>
        <item x="664"/>
        <item x="175"/>
        <item x="1147"/>
        <item x="909"/>
        <item x="431"/>
        <item x="791"/>
        <item x="156"/>
        <item x="793"/>
        <item x="434"/>
        <item x="118"/>
        <item x="1126"/>
        <item x="800"/>
        <item x="310"/>
        <item x="504"/>
        <item x="76"/>
        <item x="518"/>
        <item x="532"/>
        <item x="645"/>
        <item x="946"/>
        <item x="0"/>
        <item x="550"/>
        <item x="460"/>
        <item x="1071"/>
        <item x="1082"/>
        <item x="157"/>
        <item x="611"/>
        <item x="15"/>
        <item x="219"/>
        <item x="853"/>
        <item x="1062"/>
        <item x="245"/>
        <item x="921"/>
        <item x="436"/>
        <item x="598"/>
        <item x="189"/>
        <item x="858"/>
        <item x="842"/>
        <item x="314"/>
        <item x="741"/>
        <item x="665"/>
        <item x="1086"/>
        <item x="649"/>
        <item x="155"/>
        <item x="1144"/>
        <item x="108"/>
        <item x="737"/>
        <item x="299"/>
        <item x="376"/>
        <item x="166"/>
        <item x="67"/>
        <item x="502"/>
        <item x="348"/>
        <item x="313"/>
        <item x="459"/>
        <item x="501"/>
        <item x="726"/>
        <item x="508"/>
        <item x="651"/>
        <item x="423"/>
        <item x="215"/>
        <item x="45"/>
        <item x="857"/>
        <item x="234"/>
        <item x="555"/>
        <item x="143"/>
        <item x="870"/>
        <item x="47"/>
        <item x="164"/>
        <item x="576"/>
        <item x="393"/>
        <item x="802"/>
        <item x="887"/>
        <item x="221"/>
        <item x="893"/>
        <item x="595"/>
        <item x="188"/>
        <item x="135"/>
        <item x="196"/>
        <item x="746"/>
        <item x="287"/>
        <item x="450"/>
        <item x="479"/>
        <item x="260"/>
        <item x="346"/>
        <item x="180"/>
        <item x="194"/>
        <item x="744"/>
        <item x="107"/>
        <item x="497"/>
        <item x="778"/>
        <item x="748"/>
        <item x="205"/>
        <item x="691"/>
        <item x="94"/>
        <item x="383"/>
        <item x="467"/>
        <item x="1125"/>
        <item t="default"/>
      </items>
    </pivotField>
    <pivotField numFmtId="164" showAll="0"/>
    <pivotField numFmtId="2" showAll="0"/>
    <pivotField showAll="0"/>
    <pivotField showAll="0"/>
    <pivotField showAll="0"/>
    <pivotField showAll="0"/>
    <pivotField showAll="0"/>
    <pivotField showAll="0"/>
    <pivotField showAll="0"/>
    <pivotField showAll="0"/>
    <pivotField showAll="0"/>
    <pivotField showAll="0"/>
  </pivotFields>
  <rowFields count="1">
    <field x="5"/>
  </rowFields>
  <rowItems count="11">
    <i>
      <x v="5"/>
    </i>
    <i>
      <x v="14"/>
    </i>
    <i>
      <x v="3"/>
    </i>
    <i>
      <x v="9"/>
    </i>
    <i>
      <x v="8"/>
    </i>
    <i>
      <x v="12"/>
    </i>
    <i>
      <x v="11"/>
    </i>
    <i>
      <x v="2"/>
    </i>
    <i>
      <x v="7"/>
    </i>
    <i>
      <x v="6"/>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4609F6-0242-4BCF-BBF7-2946408105A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0:B91" firstHeaderRow="1" firstDataRow="1" firstDataCol="0"/>
  <pivotFields count="21">
    <pivotField showAll="0"/>
    <pivotField numFmtId="14" showAll="0"/>
    <pivotField showAll="0">
      <items count="5">
        <item x="0"/>
        <item x="2"/>
        <item x="1"/>
        <item x="3"/>
        <item t="default"/>
      </items>
    </pivotField>
    <pivotField showAll="0">
      <items count="7">
        <item x="0"/>
        <item x="1"/>
        <item x="4"/>
        <item x="2"/>
        <item x="3"/>
        <item x="5"/>
        <item t="default"/>
      </items>
    </pivotField>
    <pivotField showAll="0">
      <items count="5">
        <item x="1"/>
        <item x="3"/>
        <item x="2"/>
        <item x="0"/>
        <item t="default"/>
      </items>
    </pivotField>
    <pivotField showAll="0"/>
    <pivotField numFmtId="1" showAll="0"/>
    <pivotField showAll="0"/>
    <pivotField showAll="0"/>
    <pivotField numFmtId="164" showAll="0"/>
    <pivotField dataField="1" numFmtId="2"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rofit Margin" fld="10" subtotal="average" baseField="0" baseItem="0" numFmtId="2"/>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C84A6C-471B-4BB7-8776-8B4AF0C713E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2:D67" firstHeaderRow="0" firstDataRow="1" firstDataCol="1"/>
  <pivotFields count="21">
    <pivotField showAll="0"/>
    <pivotField numFmtId="14" showAll="0"/>
    <pivotField showAll="0">
      <items count="5">
        <item x="0"/>
        <item x="2"/>
        <item x="1"/>
        <item x="3"/>
        <item t="default"/>
      </items>
    </pivotField>
    <pivotField showAll="0">
      <items count="7">
        <item x="0"/>
        <item x="1"/>
        <item x="4"/>
        <item x="2"/>
        <item x="3"/>
        <item x="5"/>
        <item t="default"/>
      </items>
    </pivotField>
    <pivotField axis="axisRow" showAll="0">
      <items count="5">
        <item x="1"/>
        <item x="3"/>
        <item x="2"/>
        <item x="0"/>
        <item t="default"/>
      </items>
    </pivotField>
    <pivotField showAll="0"/>
    <pivotField numFmtId="1" showAll="0"/>
    <pivotField showAll="0"/>
    <pivotField showAll="0"/>
    <pivotField dataField="1" numFmtId="164" showAll="0"/>
    <pivotField dataField="1" numFmtId="2"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Sum of Profit" fld="9" baseField="0" baseItem="0"/>
    <dataField name="Average of Profit Margin" fld="10" subtotal="average" baseField="4" baseItem="2"/>
  </dataFields>
  <formats count="2">
    <format dxfId="3">
      <pivotArea dataOnly="0" labelOnly="1" outline="0" axis="axisValues" fieldPosition="0"/>
    </format>
    <format dxfId="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485B0B-1286-4B85-83C2-2B3EB52CD2FB}" name="PivotTable1" cacheId="0" applyNumberFormats="0" applyBorderFormats="0" applyFontFormats="0" applyPatternFormats="0" applyAlignmentFormats="0" applyWidthHeightFormats="1" dataCaption="Values" updatedVersion="8" minRefreshableVersion="3" showDrill="0" showDataTips="0" useAutoFormatting="1" itemPrintTitles="1" createdVersion="8" indent="0" outline="1" outlineData="1" multipleFieldFilters="0" chartFormat="17">
  <location ref="B4:D9" firstHeaderRow="0" firstDataRow="1" firstDataCol="1"/>
  <pivotFields count="21">
    <pivotField showAll="0"/>
    <pivotField numFmtId="14" showAll="0"/>
    <pivotField axis="axisRow" showAll="0" sortType="descending">
      <items count="5">
        <item x="0"/>
        <item x="2"/>
        <item x="1"/>
        <item x="3"/>
        <item t="default"/>
      </items>
      <autoSortScope>
        <pivotArea dataOnly="0" outline="0" fieldPosition="0">
          <references count="1">
            <reference field="4294967294" count="1" selected="0">
              <x v="1"/>
            </reference>
          </references>
        </pivotArea>
      </autoSortScope>
    </pivotField>
    <pivotField showAll="0">
      <items count="7">
        <item x="0"/>
        <item x="1"/>
        <item x="4"/>
        <item x="2"/>
        <item x="3"/>
        <item x="5"/>
        <item t="default"/>
      </items>
    </pivotField>
    <pivotField showAll="0">
      <items count="5">
        <item x="1"/>
        <item x="3"/>
        <item x="2"/>
        <item x="0"/>
        <item t="default"/>
      </items>
    </pivotField>
    <pivotField showAll="0"/>
    <pivotField numFmtId="1" showAll="0"/>
    <pivotField showAll="0"/>
    <pivotField dataField="1" showAll="0"/>
    <pivotField dataField="1" numFmtId="164" showAll="0"/>
    <pivotField numFmtId="2" showAll="0"/>
    <pivotField showAll="0"/>
    <pivotField showAll="0"/>
    <pivotField showAll="0"/>
    <pivotField showAll="0"/>
    <pivotField showAll="0"/>
    <pivotField showAll="0"/>
    <pivotField showAll="0"/>
    <pivotField showAll="0"/>
    <pivotField showAll="0"/>
    <pivotField showAll="0"/>
  </pivotFields>
  <rowFields count="1">
    <field x="2"/>
  </rowFields>
  <rowItems count="5">
    <i>
      <x v="1"/>
    </i>
    <i>
      <x v="2"/>
    </i>
    <i>
      <x v="3"/>
    </i>
    <i>
      <x/>
    </i>
    <i t="grand">
      <x/>
    </i>
  </rowItems>
  <colFields count="1">
    <field x="-2"/>
  </colFields>
  <colItems count="2">
    <i>
      <x/>
    </i>
    <i i="1">
      <x v="1"/>
    </i>
  </colItems>
  <dataFields count="2">
    <dataField name="Sum of Sales" fld="8" baseField="0" baseItem="0"/>
    <dataField name="Sum of Profit" fld="9"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F36CE2-F250-4925-AEA8-EE2BF61B25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24:D37" firstHeaderRow="0" firstDataRow="1" firstDataCol="1"/>
  <pivotFields count="21">
    <pivotField showAll="0"/>
    <pivotField numFmtId="14" showAll="0"/>
    <pivotField showAll="0">
      <items count="5">
        <item x="0"/>
        <item x="2"/>
        <item x="1"/>
        <item x="3"/>
        <item t="default"/>
      </items>
    </pivotField>
    <pivotField showAll="0">
      <items count="7">
        <item x="0"/>
        <item x="1"/>
        <item x="4"/>
        <item x="2"/>
        <item x="3"/>
        <item x="5"/>
        <item t="default"/>
      </items>
    </pivotField>
    <pivotField showAll="0">
      <items count="5">
        <item x="1"/>
        <item x="3"/>
        <item x="2"/>
        <item x="0"/>
        <item t="default"/>
      </items>
    </pivotField>
    <pivotField showAll="0"/>
    <pivotField numFmtId="1" showAll="0"/>
    <pivotField showAll="0"/>
    <pivotField dataField="1" showAll="0"/>
    <pivotField dataField="1" numFmtId="164" showAll="0"/>
    <pivotField numFmtId="2" showAll="0"/>
    <pivotField showAll="0"/>
    <pivotField axis="axisRow" showAll="0">
      <items count="13">
        <item x="6"/>
        <item x="8"/>
        <item x="4"/>
        <item x="11"/>
        <item x="0"/>
        <item x="2"/>
        <item x="10"/>
        <item x="9"/>
        <item x="5"/>
        <item x="1"/>
        <item x="3"/>
        <item x="7"/>
        <item t="default"/>
      </items>
    </pivotField>
    <pivotField showAll="0"/>
    <pivotField showAll="0"/>
    <pivotField showAll="0"/>
    <pivotField showAll="0"/>
    <pivotField showAll="0"/>
    <pivotField showAll="0"/>
    <pivotField showAll="0"/>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8" baseField="0" baseItem="0"/>
    <dataField name="Sum of Profit" fld="9" baseField="0" baseItem="0"/>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473175-7B2C-4ACB-993B-D5241406076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7:C112" firstHeaderRow="1" firstDataRow="1" firstDataCol="1"/>
  <pivotFields count="21">
    <pivotField showAll="0"/>
    <pivotField numFmtId="14"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7">
        <item x="0"/>
        <item x="1"/>
        <item x="4"/>
        <item x="2"/>
        <item x="3"/>
        <item x="5"/>
        <item t="default"/>
      </items>
    </pivotField>
    <pivotField showAll="0">
      <items count="5">
        <item x="1"/>
        <item x="3"/>
        <item x="2"/>
        <item x="0"/>
        <item t="default"/>
      </items>
    </pivotField>
    <pivotField showAll="0"/>
    <pivotField numFmtId="1" showAll="0"/>
    <pivotField showAll="0"/>
    <pivotField dataField="1" showAll="0">
      <items count="1149">
        <item x="40"/>
        <item x="202"/>
        <item x="512"/>
        <item x="272"/>
        <item x="388"/>
        <item x="810"/>
        <item x="438"/>
        <item x="444"/>
        <item x="805"/>
        <item x="302"/>
        <item x="554"/>
        <item x="643"/>
        <item x="1137"/>
        <item x="849"/>
        <item x="414"/>
        <item x="382"/>
        <item x="928"/>
        <item x="586"/>
        <item x="571"/>
        <item x="131"/>
        <item x="69"/>
        <item x="561"/>
        <item x="64"/>
        <item x="687"/>
        <item x="437"/>
        <item x="174"/>
        <item x="319"/>
        <item x="966"/>
        <item x="165"/>
        <item x="1048"/>
        <item x="797"/>
        <item x="8"/>
        <item x="505"/>
        <item x="789"/>
        <item x="816"/>
        <item x="855"/>
        <item x="517"/>
        <item x="1009"/>
        <item x="88"/>
        <item x="259"/>
        <item x="786"/>
        <item x="676"/>
        <item x="206"/>
        <item x="176"/>
        <item x="80"/>
        <item x="28"/>
        <item x="919"/>
        <item x="994"/>
        <item x="199"/>
        <item x="1077"/>
        <item x="216"/>
        <item x="640"/>
        <item x="312"/>
        <item x="231"/>
        <item x="847"/>
        <item x="142"/>
        <item x="905"/>
        <item x="837"/>
        <item x="323"/>
        <item x="1113"/>
        <item x="466"/>
        <item x="401"/>
        <item x="617"/>
        <item x="1014"/>
        <item x="1093"/>
        <item x="938"/>
        <item x="577"/>
        <item x="153"/>
        <item x="1067"/>
        <item x="515"/>
        <item x="308"/>
        <item x="1045"/>
        <item x="891"/>
        <item x="151"/>
        <item x="701"/>
        <item x="914"/>
        <item x="1055"/>
        <item x="808"/>
        <item x="898"/>
        <item x="42"/>
        <item x="915"/>
        <item x="53"/>
        <item x="993"/>
        <item x="944"/>
        <item x="574"/>
        <item x="410"/>
        <item x="274"/>
        <item x="220"/>
        <item x="723"/>
        <item x="558"/>
        <item x="987"/>
        <item x="354"/>
        <item x="226"/>
        <item x="292"/>
        <item x="305"/>
        <item x="863"/>
        <item x="237"/>
        <item x="490"/>
        <item x="831"/>
        <item x="1030"/>
        <item x="1076"/>
        <item x="948"/>
        <item x="301"/>
        <item x="303"/>
        <item x="954"/>
        <item x="465"/>
        <item x="988"/>
        <item x="233"/>
        <item x="801"/>
        <item x="321"/>
        <item x="1143"/>
        <item x="533"/>
        <item x="441"/>
        <item x="408"/>
        <item x="813"/>
        <item x="601"/>
        <item x="551"/>
        <item x="182"/>
        <item x="769"/>
        <item x="721"/>
        <item x="709"/>
        <item x="213"/>
        <item x="381"/>
        <item x="525"/>
        <item x="894"/>
        <item x="104"/>
        <item x="934"/>
        <item x="633"/>
        <item x="690"/>
        <item x="73"/>
        <item x="996"/>
        <item x="309"/>
        <item x="258"/>
        <item x="146"/>
        <item x="943"/>
        <item x="1084"/>
        <item x="896"/>
        <item x="432"/>
        <item x="1080"/>
        <item x="859"/>
        <item x="579"/>
        <item x="740"/>
        <item x="798"/>
        <item x="610"/>
        <item x="639"/>
        <item x="563"/>
        <item x="624"/>
        <item x="911"/>
        <item x="1028"/>
        <item x="224"/>
        <item x="425"/>
        <item x="594"/>
        <item x="366"/>
        <item x="485"/>
        <item x="1069"/>
        <item x="1146"/>
        <item x="1130"/>
        <item x="647"/>
        <item x="963"/>
        <item x="160"/>
        <item x="834"/>
        <item x="1102"/>
        <item x="356"/>
        <item x="405"/>
        <item x="991"/>
        <item x="983"/>
        <item x="368"/>
        <item x="99"/>
        <item x="78"/>
        <item x="1035"/>
        <item x="209"/>
        <item x="1002"/>
        <item x="474"/>
        <item x="840"/>
        <item x="1050"/>
        <item x="256"/>
        <item x="98"/>
        <item x="54"/>
        <item x="129"/>
        <item x="162"/>
        <item x="683"/>
        <item x="1089"/>
        <item x="775"/>
        <item x="214"/>
        <item x="545"/>
        <item x="511"/>
        <item x="1083"/>
        <item x="212"/>
        <item x="16"/>
        <item x="23"/>
        <item x="168"/>
        <item x="1107"/>
        <item x="941"/>
        <item x="190"/>
        <item x="50"/>
        <item x="823"/>
        <item x="173"/>
        <item x="821"/>
        <item x="627"/>
        <item x="380"/>
        <item x="327"/>
        <item x="1136"/>
        <item x="955"/>
        <item x="439"/>
        <item x="464"/>
        <item x="711"/>
        <item x="947"/>
        <item x="471"/>
        <item x="139"/>
        <item x="961"/>
        <item x="1138"/>
        <item x="1033"/>
        <item x="252"/>
        <item x="343"/>
        <item x="615"/>
        <item x="483"/>
        <item x="817"/>
        <item x="121"/>
        <item x="397"/>
        <item x="729"/>
        <item x="1023"/>
        <item x="949"/>
        <item x="1111"/>
        <item x="1025"/>
        <item x="498"/>
        <item x="200"/>
        <item x="294"/>
        <item x="470"/>
        <item x="717"/>
        <item x="832"/>
        <item x="777"/>
        <item x="1058"/>
        <item x="570"/>
        <item x="113"/>
        <item x="396"/>
        <item x="403"/>
        <item x="890"/>
        <item x="445"/>
        <item x="481"/>
        <item x="500"/>
        <item x="457"/>
        <item x="926"/>
        <item x="872"/>
        <item x="1090"/>
        <item x="68"/>
        <item x="1017"/>
        <item x="1060"/>
        <item x="751"/>
        <item x="171"/>
        <item x="358"/>
        <item x="126"/>
        <item x="140"/>
        <item x="534"/>
        <item x="888"/>
        <item x="764"/>
        <item x="418"/>
        <item x="240"/>
        <item x="9"/>
        <item x="169"/>
        <item x="868"/>
        <item x="284"/>
        <item x="102"/>
        <item x="91"/>
        <item x="523"/>
        <item x="623"/>
        <item x="125"/>
        <item x="424"/>
        <item x="827"/>
        <item x="443"/>
        <item x="784"/>
        <item x="572"/>
        <item x="476"/>
        <item x="320"/>
        <item x="105"/>
        <item x="869"/>
        <item x="552"/>
        <item x="671"/>
        <item x="688"/>
        <item x="513"/>
        <item x="141"/>
        <item x="433"/>
        <item x="543"/>
        <item x="227"/>
        <item x="1117"/>
        <item x="247"/>
        <item x="385"/>
        <item x="150"/>
        <item x="36"/>
        <item x="635"/>
        <item x="700"/>
        <item x="109"/>
        <item x="935"/>
        <item x="39"/>
        <item x="697"/>
        <item x="1040"/>
        <item x="416"/>
        <item x="899"/>
        <item x="315"/>
        <item x="836"/>
        <item x="371"/>
        <item x="685"/>
        <item x="22"/>
        <item x="307"/>
        <item x="124"/>
        <item x="1018"/>
        <item x="390"/>
        <item x="951"/>
        <item x="116"/>
        <item x="409"/>
        <item x="843"/>
        <item x="1013"/>
        <item x="787"/>
        <item x="809"/>
        <item x="1005"/>
        <item x="1020"/>
        <item x="172"/>
        <item x="316"/>
        <item x="929"/>
        <item x="976"/>
        <item x="575"/>
        <item x="453"/>
        <item x="291"/>
        <item x="442"/>
        <item x="906"/>
        <item x="997"/>
        <item x="1061"/>
        <item x="780"/>
        <item x="686"/>
        <item x="851"/>
        <item x="163"/>
        <item x="244"/>
        <item x="959"/>
        <item x="897"/>
        <item x="360"/>
        <item x="1039"/>
        <item x="682"/>
        <item x="648"/>
        <item x="63"/>
        <item x="790"/>
        <item x="281"/>
        <item x="273"/>
        <item x="979"/>
        <item x="675"/>
        <item x="387"/>
        <item x="679"/>
        <item x="1065"/>
        <item x="560"/>
        <item x="539"/>
        <item x="278"/>
        <item x="407"/>
        <item x="901"/>
        <item x="865"/>
        <item x="860"/>
        <item x="1037"/>
        <item x="1032"/>
        <item x="351"/>
        <item x="603"/>
        <item x="93"/>
        <item x="520"/>
        <item x="18"/>
        <item x="1011"/>
        <item x="420"/>
        <item x="161"/>
        <item x="924"/>
        <item x="908"/>
        <item x="526"/>
        <item x="958"/>
        <item x="878"/>
        <item x="1123"/>
        <item x="939"/>
        <item x="616"/>
        <item x="3"/>
        <item x="211"/>
        <item x="773"/>
        <item x="334"/>
        <item x="4"/>
        <item x="852"/>
        <item x="286"/>
        <item x="982"/>
        <item x="524"/>
        <item x="725"/>
        <item x="364"/>
        <item x="932"/>
        <item x="1053"/>
        <item x="530"/>
        <item x="288"/>
        <item x="628"/>
        <item x="668"/>
        <item x="693"/>
        <item x="771"/>
        <item x="186"/>
        <item x="1041"/>
        <item x="13"/>
        <item x="819"/>
        <item x="402"/>
        <item x="660"/>
        <item x="203"/>
        <item x="1120"/>
        <item x="755"/>
        <item x="84"/>
        <item x="452"/>
        <item x="845"/>
        <item x="486"/>
        <item x="254"/>
        <item x="43"/>
        <item x="732"/>
        <item x="462"/>
        <item x="1106"/>
        <item x="886"/>
        <item x="95"/>
        <item x="977"/>
        <item x="222"/>
        <item x="1134"/>
        <item x="7"/>
        <item x="936"/>
        <item x="347"/>
        <item x="421"/>
        <item x="507"/>
        <item x="1139"/>
        <item x="92"/>
        <item x="1046"/>
        <item x="1105"/>
        <item x="337"/>
        <item x="706"/>
        <item x="148"/>
        <item x="822"/>
        <item x="708"/>
        <item x="369"/>
        <item x="913"/>
        <item x="584"/>
        <item x="65"/>
        <item x="743"/>
        <item x="634"/>
        <item x="400"/>
        <item x="754"/>
        <item x="473"/>
        <item x="306"/>
        <item x="488"/>
        <item x="1116"/>
        <item x="61"/>
        <item x="735"/>
        <item x="496"/>
        <item x="342"/>
        <item x="311"/>
        <item x="362"/>
        <item x="275"/>
        <item x="6"/>
        <item x="210"/>
        <item x="127"/>
        <item x="428"/>
        <item x="702"/>
        <item x="87"/>
        <item x="818"/>
        <item x="619"/>
        <item x="158"/>
        <item x="650"/>
        <item x="300"/>
        <item x="177"/>
        <item x="115"/>
        <item x="1051"/>
        <item x="681"/>
        <item x="426"/>
        <item x="990"/>
        <item x="655"/>
        <item x="652"/>
        <item x="658"/>
        <item x="201"/>
        <item x="250"/>
        <item x="768"/>
        <item x="590"/>
        <item x="257"/>
        <item x="795"/>
        <item x="1043"/>
        <item x="394"/>
        <item x="730"/>
        <item x="567"/>
        <item x="925"/>
        <item x="1070"/>
        <item x="198"/>
        <item x="689"/>
        <item x="1029"/>
        <item x="807"/>
        <item x="877"/>
        <item x="629"/>
        <item x="557"/>
        <item x="731"/>
        <item x="568"/>
        <item x="596"/>
        <item x="1140"/>
        <item x="882"/>
        <item x="614"/>
        <item x="540"/>
        <item x="340"/>
        <item x="1103"/>
        <item x="101"/>
        <item x="885"/>
        <item x="269"/>
        <item x="19"/>
        <item x="841"/>
        <item x="581"/>
        <item x="100"/>
        <item x="239"/>
        <item x="185"/>
        <item x="217"/>
        <item x="1024"/>
        <item x="747"/>
        <item x="1099"/>
        <item x="317"/>
        <item x="848"/>
        <item x="241"/>
        <item x="236"/>
        <item x="1145"/>
        <item x="719"/>
        <item x="978"/>
        <item x="499"/>
        <item x="656"/>
        <item x="666"/>
        <item x="355"/>
        <item x="1121"/>
        <item x="120"/>
        <item x="35"/>
        <item x="1021"/>
        <item x="761"/>
        <item x="122"/>
        <item x="440"/>
        <item x="582"/>
        <item x="879"/>
        <item x="968"/>
        <item x="503"/>
        <item x="597"/>
        <item x="705"/>
        <item x="521"/>
        <item x="609"/>
        <item x="207"/>
        <item x="204"/>
        <item x="745"/>
        <item x="154"/>
        <item x="541"/>
        <item x="661"/>
        <item x="642"/>
        <item x="1054"/>
        <item x="1141"/>
        <item x="1127"/>
        <item x="325"/>
        <item x="266"/>
        <item x="406"/>
        <item x="451"/>
        <item x="1108"/>
        <item x="378"/>
        <item x="680"/>
        <item x="331"/>
        <item x="1074"/>
        <item x="644"/>
        <item x="742"/>
        <item x="267"/>
        <item x="246"/>
        <item x="788"/>
        <item x="750"/>
        <item x="592"/>
        <item x="760"/>
        <item x="670"/>
        <item x="398"/>
        <item x="580"/>
        <item x="917"/>
        <item x="799"/>
        <item x="1010"/>
        <item x="276"/>
        <item x="587"/>
        <item x="361"/>
        <item x="756"/>
        <item x="703"/>
        <item x="263"/>
        <item x="1016"/>
        <item x="962"/>
        <item x="86"/>
        <item x="766"/>
        <item x="1072"/>
        <item x="449"/>
        <item x="1114"/>
        <item x="144"/>
        <item x="1015"/>
        <item x="638"/>
        <item x="632"/>
        <item x="415"/>
        <item x="332"/>
        <item x="612"/>
        <item x="884"/>
        <item x="253"/>
        <item x="759"/>
        <item x="62"/>
        <item x="785"/>
        <item x="677"/>
        <item x="82"/>
        <item x="1003"/>
        <item x="167"/>
        <item x="792"/>
        <item x="975"/>
        <item x="44"/>
        <item x="41"/>
        <item x="736"/>
        <item x="230"/>
        <item x="728"/>
        <item x="733"/>
        <item x="419"/>
        <item x="49"/>
        <item x="392"/>
        <item x="181"/>
        <item x="874"/>
        <item x="960"/>
        <item x="1085"/>
        <item x="854"/>
        <item x="895"/>
        <item x="75"/>
        <item x="147"/>
        <item x="918"/>
        <item x="117"/>
        <item x="696"/>
        <item x="565"/>
        <item x="529"/>
        <item x="352"/>
        <item x="262"/>
        <item x="698"/>
        <item x="478"/>
        <item x="724"/>
        <item x="255"/>
        <item x="1079"/>
        <item x="672"/>
        <item x="268"/>
        <item x="329"/>
        <item x="782"/>
        <item x="373"/>
        <item x="562"/>
        <item x="866"/>
        <item x="60"/>
        <item x="722"/>
        <item x="1132"/>
        <item x="296"/>
        <item x="830"/>
        <item x="981"/>
        <item x="1104"/>
        <item x="359"/>
        <item x="134"/>
        <item x="989"/>
        <item x="422"/>
        <item x="641"/>
        <item x="26"/>
        <item x="712"/>
        <item x="625"/>
        <item x="1064"/>
        <item x="429"/>
        <item x="289"/>
        <item x="413"/>
        <item x="1073"/>
        <item x="225"/>
        <item x="374"/>
        <item x="197"/>
        <item x="604"/>
        <item x="969"/>
        <item x="531"/>
        <item x="17"/>
        <item x="704"/>
        <item x="950"/>
        <item x="341"/>
        <item x="621"/>
        <item x="235"/>
        <item x="835"/>
        <item x="844"/>
        <item x="720"/>
        <item x="781"/>
        <item x="218"/>
        <item x="11"/>
        <item x="803"/>
        <item x="763"/>
        <item x="1131"/>
        <item x="295"/>
        <item x="367"/>
        <item x="389"/>
        <item x="985"/>
        <item x="767"/>
        <item x="1066"/>
        <item x="1078"/>
        <item x="714"/>
        <item x="248"/>
        <item x="333"/>
        <item x="293"/>
        <item x="578"/>
        <item x="1115"/>
        <item x="1034"/>
        <item x="544"/>
        <item x="1052"/>
        <item x="974"/>
        <item x="752"/>
        <item x="96"/>
        <item x="37"/>
        <item x="973"/>
        <item x="489"/>
        <item x="363"/>
        <item x="889"/>
        <item x="903"/>
        <item x="684"/>
        <item x="839"/>
        <item x="1075"/>
        <item x="1096"/>
        <item x="77"/>
        <item x="814"/>
        <item x="1091"/>
        <item x="806"/>
        <item x="1026"/>
        <item x="336"/>
        <item x="980"/>
        <item x="1001"/>
        <item x="1135"/>
        <item x="548"/>
        <item x="350"/>
        <item x="52"/>
        <item x="357"/>
        <item x="967"/>
        <item x="1097"/>
        <item x="290"/>
        <item x="282"/>
        <item x="70"/>
        <item x="1128"/>
        <item x="937"/>
        <item x="491"/>
        <item x="48"/>
        <item x="448"/>
        <item x="195"/>
        <item x="31"/>
        <item x="527"/>
        <item x="484"/>
        <item x="833"/>
        <item x="243"/>
        <item x="487"/>
        <item x="344"/>
        <item x="32"/>
        <item x="2"/>
        <item x="739"/>
        <item x="372"/>
        <item x="430"/>
        <item x="626"/>
        <item x="556"/>
        <item x="984"/>
        <item x="956"/>
        <item x="931"/>
        <item x="927"/>
        <item x="27"/>
        <item x="952"/>
        <item x="339"/>
        <item x="297"/>
        <item x="770"/>
        <item x="542"/>
        <item x="930"/>
        <item x="922"/>
        <item x="536"/>
        <item x="57"/>
        <item x="238"/>
        <item x="815"/>
        <item x="569"/>
        <item x="1047"/>
        <item x="251"/>
        <item x="264"/>
        <item x="900"/>
        <item x="152"/>
        <item x="271"/>
        <item x="1100"/>
        <item x="1095"/>
        <item x="1"/>
        <item x="826"/>
        <item x="495"/>
        <item x="605"/>
        <item x="953"/>
        <item x="713"/>
        <item x="825"/>
        <item x="707"/>
        <item x="132"/>
        <item x="659"/>
        <item x="636"/>
        <item x="564"/>
        <item x="193"/>
        <item x="933"/>
        <item x="1081"/>
        <item x="51"/>
        <item x="692"/>
        <item x="549"/>
        <item x="796"/>
        <item x="970"/>
        <item x="138"/>
        <item x="55"/>
        <item x="1142"/>
        <item x="335"/>
        <item x="128"/>
        <item x="734"/>
        <item x="179"/>
        <item x="223"/>
        <item x="119"/>
        <item x="608"/>
        <item x="261"/>
        <item x="386"/>
        <item x="765"/>
        <item x="391"/>
        <item x="871"/>
        <item x="992"/>
        <item x="876"/>
        <item x="779"/>
        <item x="29"/>
        <item x="145"/>
        <item x="663"/>
        <item x="1027"/>
        <item x="59"/>
        <item x="136"/>
        <item x="283"/>
        <item x="862"/>
        <item x="873"/>
        <item x="762"/>
        <item x="326"/>
        <item x="811"/>
        <item x="208"/>
        <item x="455"/>
        <item x="304"/>
        <item x="519"/>
        <item x="753"/>
        <item x="12"/>
        <item x="602"/>
        <item x="618"/>
        <item x="824"/>
        <item x="435"/>
        <item x="516"/>
        <item x="653"/>
        <item x="447"/>
        <item x="399"/>
        <item x="349"/>
        <item x="1004"/>
        <item x="674"/>
        <item x="510"/>
        <item x="330"/>
        <item x="379"/>
        <item x="881"/>
        <item x="546"/>
        <item x="522"/>
        <item x="583"/>
        <item x="71"/>
        <item x="964"/>
        <item x="384"/>
        <item x="469"/>
        <item x="345"/>
        <item x="454"/>
        <item x="902"/>
        <item x="965"/>
        <item x="1129"/>
        <item x="456"/>
        <item x="1098"/>
        <item x="829"/>
        <item x="573"/>
        <item x="631"/>
        <item x="999"/>
        <item x="794"/>
        <item x="547"/>
        <item x="1019"/>
        <item x="232"/>
        <item x="1109"/>
        <item x="907"/>
        <item x="285"/>
        <item x="1042"/>
        <item x="228"/>
        <item x="1133"/>
        <item x="365"/>
        <item x="1118"/>
        <item x="783"/>
        <item x="593"/>
        <item x="559"/>
        <item x="33"/>
        <item x="10"/>
        <item x="606"/>
        <item x="159"/>
        <item x="184"/>
        <item x="622"/>
        <item x="710"/>
        <item x="192"/>
        <item x="942"/>
        <item x="279"/>
        <item x="277"/>
        <item x="353"/>
        <item x="607"/>
        <item x="694"/>
        <item x="662"/>
        <item x="998"/>
        <item x="446"/>
        <item x="630"/>
        <item x="106"/>
        <item x="1049"/>
        <item x="1038"/>
        <item x="480"/>
        <item x="846"/>
        <item x="83"/>
        <item x="1036"/>
        <item x="322"/>
        <item x="637"/>
        <item x="535"/>
        <item x="472"/>
        <item x="5"/>
        <item x="678"/>
        <item x="85"/>
        <item x="377"/>
        <item x="265"/>
        <item x="528"/>
        <item x="81"/>
        <item x="458"/>
        <item x="904"/>
        <item x="1056"/>
        <item x="1000"/>
        <item x="328"/>
        <item x="1122"/>
        <item x="509"/>
        <item x="867"/>
        <item x="986"/>
        <item x="972"/>
        <item x="298"/>
        <item x="910"/>
        <item x="468"/>
        <item x="103"/>
        <item x="249"/>
        <item x="916"/>
        <item x="375"/>
        <item x="940"/>
        <item x="79"/>
        <item x="538"/>
        <item x="757"/>
        <item x="820"/>
        <item x="553"/>
        <item x="715"/>
        <item x="716"/>
        <item x="1101"/>
        <item x="1063"/>
        <item x="56"/>
        <item x="804"/>
        <item x="566"/>
        <item x="411"/>
        <item x="170"/>
        <item x="1007"/>
        <item x="417"/>
        <item x="97"/>
        <item x="514"/>
        <item x="1008"/>
        <item x="318"/>
        <item x="673"/>
        <item x="14"/>
        <item x="1031"/>
        <item x="1110"/>
        <item x="856"/>
        <item x="123"/>
        <item x="66"/>
        <item x="1022"/>
        <item x="46"/>
        <item x="599"/>
        <item x="600"/>
        <item x="477"/>
        <item x="90"/>
        <item x="111"/>
        <item x="971"/>
        <item x="492"/>
        <item x="58"/>
        <item x="585"/>
        <item x="588"/>
        <item x="72"/>
        <item x="112"/>
        <item x="324"/>
        <item x="883"/>
        <item x="242"/>
        <item x="493"/>
        <item x="21"/>
        <item x="850"/>
        <item x="404"/>
        <item x="828"/>
        <item x="178"/>
        <item x="1124"/>
        <item x="506"/>
        <item x="864"/>
        <item x="838"/>
        <item x="758"/>
        <item x="270"/>
        <item x="1112"/>
        <item x="812"/>
        <item x="133"/>
        <item x="1092"/>
        <item x="24"/>
        <item x="110"/>
        <item x="20"/>
        <item x="892"/>
        <item x="187"/>
        <item x="25"/>
        <item x="695"/>
        <item x="912"/>
        <item x="412"/>
        <item x="738"/>
        <item x="718"/>
        <item x="34"/>
        <item x="920"/>
        <item x="191"/>
        <item x="861"/>
        <item x="461"/>
        <item x="654"/>
        <item x="646"/>
        <item x="1057"/>
        <item x="1012"/>
        <item x="699"/>
        <item x="494"/>
        <item x="1006"/>
        <item x="537"/>
        <item x="114"/>
        <item x="183"/>
        <item x="482"/>
        <item x="776"/>
        <item x="657"/>
        <item x="475"/>
        <item x="463"/>
        <item x="130"/>
        <item x="1059"/>
        <item x="589"/>
        <item x="875"/>
        <item x="613"/>
        <item x="395"/>
        <item x="1087"/>
        <item x="880"/>
        <item x="749"/>
        <item x="1088"/>
        <item x="149"/>
        <item x="591"/>
        <item x="945"/>
        <item x="620"/>
        <item x="38"/>
        <item x="280"/>
        <item x="338"/>
        <item x="995"/>
        <item x="669"/>
        <item x="74"/>
        <item x="370"/>
        <item x="774"/>
        <item x="137"/>
        <item x="727"/>
        <item x="957"/>
        <item x="1068"/>
        <item x="772"/>
        <item x="229"/>
        <item x="1119"/>
        <item x="1044"/>
        <item x="30"/>
        <item x="427"/>
        <item x="667"/>
        <item x="89"/>
        <item x="923"/>
        <item x="1094"/>
        <item x="664"/>
        <item x="175"/>
        <item x="1147"/>
        <item x="909"/>
        <item x="431"/>
        <item x="791"/>
        <item x="156"/>
        <item x="793"/>
        <item x="434"/>
        <item x="118"/>
        <item x="1126"/>
        <item x="800"/>
        <item x="310"/>
        <item x="504"/>
        <item x="76"/>
        <item x="518"/>
        <item x="532"/>
        <item x="645"/>
        <item x="946"/>
        <item x="0"/>
        <item x="550"/>
        <item x="460"/>
        <item x="1071"/>
        <item x="1082"/>
        <item x="157"/>
        <item x="611"/>
        <item x="15"/>
        <item x="219"/>
        <item x="853"/>
        <item x="1062"/>
        <item x="245"/>
        <item x="921"/>
        <item x="436"/>
        <item x="598"/>
        <item x="189"/>
        <item x="858"/>
        <item x="842"/>
        <item x="314"/>
        <item x="741"/>
        <item x="665"/>
        <item x="1086"/>
        <item x="649"/>
        <item x="155"/>
        <item x="1144"/>
        <item x="108"/>
        <item x="737"/>
        <item x="299"/>
        <item x="376"/>
        <item x="166"/>
        <item x="67"/>
        <item x="502"/>
        <item x="348"/>
        <item x="313"/>
        <item x="459"/>
        <item x="501"/>
        <item x="726"/>
        <item x="508"/>
        <item x="651"/>
        <item x="423"/>
        <item x="215"/>
        <item x="45"/>
        <item x="857"/>
        <item x="234"/>
        <item x="555"/>
        <item x="143"/>
        <item x="870"/>
        <item x="47"/>
        <item x="164"/>
        <item x="576"/>
        <item x="393"/>
        <item x="802"/>
        <item x="887"/>
        <item x="221"/>
        <item x="893"/>
        <item x="595"/>
        <item x="188"/>
        <item x="135"/>
        <item x="196"/>
        <item x="746"/>
        <item x="287"/>
        <item x="450"/>
        <item x="479"/>
        <item x="260"/>
        <item x="346"/>
        <item x="180"/>
        <item x="194"/>
        <item x="744"/>
        <item x="107"/>
        <item x="497"/>
        <item x="778"/>
        <item x="748"/>
        <item x="205"/>
        <item x="691"/>
        <item x="94"/>
        <item x="383"/>
        <item x="467"/>
        <item x="1125"/>
        <item t="default"/>
      </items>
    </pivotField>
    <pivotField numFmtId="164" showAll="0"/>
    <pivotField numFmtId="2" showAll="0"/>
    <pivotField showAll="0"/>
    <pivotField showAll="0"/>
    <pivotField showAll="0"/>
    <pivotField showAll="0"/>
    <pivotField showAll="0"/>
    <pivotField showAll="0"/>
    <pivotField showAll="0"/>
    <pivotField showAll="0"/>
    <pivotField showAll="0"/>
    <pivotField showAll="0"/>
  </pivotFields>
  <rowFields count="1">
    <field x="2"/>
  </rowFields>
  <rowItems count="5">
    <i>
      <x v="1"/>
    </i>
    <i>
      <x v="2"/>
    </i>
    <i>
      <x v="3"/>
    </i>
    <i>
      <x/>
    </i>
    <i t="grand">
      <x/>
    </i>
  </rowItems>
  <colItems count="1">
    <i/>
  </colItems>
  <dataFields count="1">
    <dataField name="Sum of Sales" fld="8" baseField="2" baseItem="1"/>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3" format="9">
      <pivotArea type="data" outline="0" fieldPosition="0">
        <references count="2">
          <reference field="4294967294" count="1" selected="0">
            <x v="0"/>
          </reference>
          <reference field="2" count="1" selected="0">
            <x v="3"/>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EFCDC71-03BC-441C-8EA9-22D0E32E84AE}" sourceName="Product_Category">
  <pivotTables>
    <pivotTable tabId="5" name="PivotTable1"/>
    <pivotTable tabId="8" name="PivotTable6"/>
    <pivotTable tabId="8" name="PivotTable7"/>
    <pivotTable tabId="5" name="PivotTable12"/>
    <pivotTable tabId="5" name="PivotTable14"/>
    <pivotTable tabId="5" name="PivotTable2"/>
    <pivotTable tabId="5" name="PivotTable3"/>
    <pivotTable tabId="5" name="PivotTable8"/>
    <pivotTable tabId="8" name="PivotTable1"/>
    <pivotTable tabId="5" name="PivotTable4"/>
    <pivotTable tabId="5" name="PivotTable5"/>
    <pivotTable tabId="5" name="PivotTable6"/>
    <pivotTable tabId="5" name="PivotTable7"/>
  </pivotTables>
  <data>
    <tabular pivotCacheId="1378339657">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84651E9-CD4F-4FF3-81F5-BA6A3B8F3FA9}" sourceName="City">
  <pivotTables>
    <pivotTable tabId="5" name="PivotTable1"/>
    <pivotTable tabId="8" name="PivotTable6"/>
    <pivotTable tabId="8" name="PivotTable7"/>
    <pivotTable tabId="5" name="PivotTable12"/>
    <pivotTable tabId="5" name="PivotTable14"/>
    <pivotTable tabId="5" name="PivotTable2"/>
    <pivotTable tabId="5" name="PivotTable3"/>
    <pivotTable tabId="5" name="PivotTable8"/>
    <pivotTable tabId="8" name="PivotTable1"/>
    <pivotTable tabId="5" name="PivotTable4"/>
    <pivotTable tabId="5" name="PivotTable5"/>
    <pivotTable tabId="5" name="PivotTable6"/>
    <pivotTable tabId="5" name="PivotTable7"/>
  </pivotTables>
  <data>
    <tabular pivotCacheId="1378339657">
      <items count="6">
        <i x="0" s="1"/>
        <i x="1" s="1"/>
        <i x="4"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A337CB-5FFA-41C3-BE7A-528B6176DE2E}" sourceName="Region">
  <pivotTables>
    <pivotTable tabId="5" name="PivotTable2"/>
    <pivotTable tabId="8" name="PivotTable6"/>
    <pivotTable tabId="8" name="PivotTable7"/>
    <pivotTable tabId="5" name="PivotTable1"/>
    <pivotTable tabId="5" name="PivotTable12"/>
    <pivotTable tabId="5" name="PivotTable14"/>
    <pivotTable tabId="5" name="PivotTable3"/>
    <pivotTable tabId="5" name="PivotTable8"/>
    <pivotTable tabId="8" name="PivotTable1"/>
    <pivotTable tabId="5" name="PivotTable4"/>
    <pivotTable tabId="5" name="PivotTable5"/>
    <pivotTable tabId="5" name="PivotTable6"/>
    <pivotTable tabId="5" name="PivotTable7"/>
  </pivotTables>
  <data>
    <tabular pivotCacheId="1378339657">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0F43A1E9-BCC2-4367-818A-120D52C297CE}" cache="Slicer_Product_Category" caption="Product_Category" style="SlicerStyleDark3" rowHeight="234950"/>
  <slicer name="City" xr10:uid="{59A389CA-C795-4A42-B378-B46FFC0BE909}" cache="Slicer_City" caption="City" style="SlicerStyleDark3" rowHeight="234950"/>
  <slicer name="Region" xr10:uid="{7B6EAFFA-DB4F-4846-B3FB-B9FE832947E8}" cache="Slicer_Region" caption="Region"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EC5BAB-0417-46DB-8F08-A98270CF19BA}" name="Table1" displayName="Table1" ref="A1:J1201" totalsRowShown="0" headerRowDxfId="36" headerRowBorderDxfId="35" tableBorderDxfId="34">
  <autoFilter ref="A1:J1201" xr:uid="{27EC5BAB-0417-46DB-8F08-A98270CF19BA}"/>
  <tableColumns count="10">
    <tableColumn id="1" xr3:uid="{F0D608EF-34A0-4F68-98FB-8E2E273B7B16}" name="Order_ID"/>
    <tableColumn id="2" xr3:uid="{074003F4-A873-4838-8C61-84D3B3EE862E}" name="Order_Date" dataDxfId="33"/>
    <tableColumn id="3" xr3:uid="{76FD5C59-2A11-448F-8215-46583C0E2A85}" name="Region"/>
    <tableColumn id="4" xr3:uid="{8C6C4BF3-2467-4E1A-B9F3-71EE79D92723}" name="City"/>
    <tableColumn id="5" xr3:uid="{BEB80621-3B88-4E57-A5DF-E53BC2B0E704}" name="Product_Category"/>
    <tableColumn id="6" xr3:uid="{C376527C-53CB-41B5-9363-7852B560B09C}" name="Product_Name"/>
    <tableColumn id="7" xr3:uid="{87314067-9A77-4E4E-A822-E3E15B50FAE8}" name="Quantity"/>
    <tableColumn id="8" xr3:uid="{0EAAD36E-13D6-47C8-BE37-56D25CD1A49B}" name="Price"/>
    <tableColumn id="9" xr3:uid="{7FA81D59-0D9E-41EB-AB5D-74C7E97A0B9C}" name="Sales"/>
    <tableColumn id="10" xr3:uid="{E916476F-8ABC-4A67-BEC6-D837F1A5A6D3}" name="Profit" dataDxfId="3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B1E465-7156-4ED0-91E8-7F70F63B94B2}" name="Table13" displayName="Table13" ref="A1:U1201" totalsRowShown="0" headerRowDxfId="31" headerRowBorderDxfId="30" tableBorderDxfId="29">
  <autoFilter ref="A1:U1201" xr:uid="{92B1E465-7156-4ED0-91E8-7F70F63B94B2}"/>
  <tableColumns count="21">
    <tableColumn id="1" xr3:uid="{F926A4F0-197D-4A75-B670-140E63BBD641}" name="Order_ID"/>
    <tableColumn id="2" xr3:uid="{525B6342-3B34-470D-9562-1609415E4613}" name="Order_Date" dataDxfId="28"/>
    <tableColumn id="3" xr3:uid="{23A18D74-C162-404A-A336-15C7DBE347A6}" name="Region"/>
    <tableColumn id="4" xr3:uid="{ABE6E769-5691-43A9-9165-D6926BC15188}" name="City"/>
    <tableColumn id="5" xr3:uid="{411E322D-063C-49DA-8AD4-545A16082B20}" name="Product_Category"/>
    <tableColumn id="6" xr3:uid="{71D1D7D6-3F18-48C6-B8F4-3F484B6E7933}" name="Product_Name"/>
    <tableColumn id="7" xr3:uid="{A6B476A6-F9EB-4441-9EB2-7C75AF4245F5}" name="Quantity" dataDxfId="27"/>
    <tableColumn id="8" xr3:uid="{89F7059D-51E4-46BE-99CD-247EA75C4DF7}" name="Price"/>
    <tableColumn id="9" xr3:uid="{3A302B5E-55D2-4D96-A2A1-E09924C86970}" name="Sales"/>
    <tableColumn id="10" xr3:uid="{1C945ECE-03E6-42A9-B079-BB0B2572E3FF}" name="Profit" dataDxfId="26"/>
    <tableColumn id="11" xr3:uid="{522C7066-0A91-469B-B9BC-8391F5086A9E}" name="Profit Margin" dataDxfId="25">
      <calculatedColumnFormula>Table13[[#This Row],[Profit]]/Table13[[#This Row],[Sales]]</calculatedColumnFormula>
    </tableColumn>
    <tableColumn id="12" xr3:uid="{700F960C-25F8-4896-BB0A-7B258E612B2E}" name="Revenue" dataDxfId="24">
      <calculatedColumnFormula>IF(I2&gt;20000,"High",IF(I2&gt;10000,"Medium","Low"))</calculatedColumnFormula>
    </tableColumn>
    <tableColumn id="13" xr3:uid="{60AB5901-9E72-491D-A72D-1F2890B80D38}" name="Month column" dataDxfId="23">
      <calculatedColumnFormula>TEXT(B2,"mmm")</calculatedColumnFormula>
    </tableColumn>
    <tableColumn id="14" xr3:uid="{0396BE0E-778B-4BA9-AA5C-50F4049EEB12}" name="Year" dataDxfId="22">
      <calculatedColumnFormula>YEAR(Table13[[#This Row],[Order_Date]])</calculatedColumnFormula>
    </tableColumn>
    <tableColumn id="15" xr3:uid="{1F9BFC1F-2A58-46DE-879D-A74D28064197}" name="Cost price" dataDxfId="21">
      <calculatedColumnFormula>Table13[[#This Row],[Price]]*0.7</calculatedColumnFormula>
    </tableColumn>
    <tableColumn id="16" xr3:uid="{F339ECFB-6718-4C5F-81E3-5BE7E12DB17F}" name="Actual Profit" dataDxfId="20">
      <calculatedColumnFormula>I2 - (G2 *O2)</calculatedColumnFormula>
    </tableColumn>
    <tableColumn id="17" xr3:uid="{7D29ECAD-E243-4B0F-A147-63B1B0CA8C7F}" name="Discount" dataDxfId="19">
      <calculatedColumnFormula>IF(G2&gt;5,0.1,0.05)</calculatedColumnFormula>
    </tableColumn>
    <tableColumn id="18" xr3:uid="{6D8D902C-C636-41D8-9B5D-1DD770BC5E0C}" name="Net Sales" dataDxfId="18">
      <calculatedColumnFormula>I2*(1-K2)</calculatedColumnFormula>
    </tableColumn>
    <tableColumn id="19" xr3:uid="{F7AC583C-C508-4939-B2B4-9DF4EDC064B4}" name="Order Size" dataDxfId="17">
      <calculatedColumnFormula>IF(Table13[[#This Row],[Quantity]]&lt;=3,"Small",IF(Table13[[#This Row],[Quantity]]&lt;=6,"Medium","Bulk"))</calculatedColumnFormula>
    </tableColumn>
    <tableColumn id="20" xr3:uid="{DC3EFE99-22BE-4FBC-ABE3-EFCB9C1CFA86}" name="Regional type" dataDxfId="16">
      <calculatedColumnFormula>IF(C2="North","High Demand","Normal")</calculatedColumnFormula>
    </tableColumn>
    <tableColumn id="21" xr3:uid="{10EF8E60-4E63-4660-A3E8-09A0BDB0FE36}" name="Customer value score" dataDxfId="15">
      <calculatedColumnFormula>IF(I2&gt;20000,"High Value",IF(I2&gt;10000,"Medium Value","low Value"))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199281-D4CC-4CEF-A788-5F979C056913}" name="Table6" displayName="Table6" ref="C4:D25" headerRowCount="0">
  <tableColumns count="2">
    <tableColumn id="1" xr3:uid="{087B4D15-49BA-487A-BE9E-46C990DBA363}" name="Column1" totalsRowLabel="Total"/>
    <tableColumn id="2" xr3:uid="{4EF8B8B3-F020-4FD4-A127-0537E274EEFC}" name="Column2" totalsRowFunction="count"/>
  </tableColumns>
  <tableStyleInfo name="TableStyleMedium23"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1"/>
  <sheetViews>
    <sheetView workbookViewId="0">
      <selection activeCell="F10" sqref="F10"/>
    </sheetView>
  </sheetViews>
  <sheetFormatPr defaultRowHeight="14.4" x14ac:dyDescent="0.3"/>
  <cols>
    <col min="1" max="1" width="13" bestFit="1" customWidth="1"/>
    <col min="2" max="2" width="18.109375" style="1" bestFit="1" customWidth="1"/>
    <col min="3" max="3" width="8.6640625" customWidth="1"/>
    <col min="4" max="4" width="9.21875" bestFit="1" customWidth="1"/>
    <col min="5" max="5" width="18.109375" customWidth="1"/>
    <col min="6" max="6" width="15.5546875" customWidth="1"/>
    <col min="7" max="7" width="10.21875" customWidth="1"/>
    <col min="8" max="8" width="12.21875" customWidth="1"/>
    <col min="9" max="9" width="12.5546875" customWidth="1"/>
    <col min="10" max="10" width="16.109375" customWidth="1"/>
  </cols>
  <sheetData>
    <row r="1" spans="1:10" x14ac:dyDescent="0.3">
      <c r="A1" s="3" t="s">
        <v>0</v>
      </c>
      <c r="B1" s="4" t="s">
        <v>1</v>
      </c>
      <c r="C1" s="3" t="s">
        <v>2</v>
      </c>
      <c r="D1" s="3" t="s">
        <v>3</v>
      </c>
      <c r="E1" s="3" t="s">
        <v>4</v>
      </c>
      <c r="F1" s="3" t="s">
        <v>5</v>
      </c>
      <c r="G1" s="3" t="s">
        <v>6</v>
      </c>
      <c r="H1" s="3" t="s">
        <v>7</v>
      </c>
      <c r="I1" s="3" t="s">
        <v>8</v>
      </c>
      <c r="J1" s="3" t="s">
        <v>9</v>
      </c>
    </row>
    <row r="2" spans="1:10" x14ac:dyDescent="0.3">
      <c r="A2" t="s">
        <v>10</v>
      </c>
      <c r="B2" s="1">
        <v>45048</v>
      </c>
      <c r="C2" t="s">
        <v>1210</v>
      </c>
      <c r="D2" t="s">
        <v>1214</v>
      </c>
      <c r="E2" t="s">
        <v>1219</v>
      </c>
      <c r="F2" t="s">
        <v>1223</v>
      </c>
      <c r="G2">
        <v>8</v>
      </c>
      <c r="H2">
        <v>3972</v>
      </c>
      <c r="I2">
        <v>31776</v>
      </c>
      <c r="J2" s="2">
        <v>5766.22</v>
      </c>
    </row>
    <row r="3" spans="1:10" x14ac:dyDescent="0.3">
      <c r="A3" t="s">
        <v>11</v>
      </c>
      <c r="B3" s="1">
        <v>45057</v>
      </c>
      <c r="C3" t="s">
        <v>1211</v>
      </c>
      <c r="D3" t="s">
        <v>1215</v>
      </c>
      <c r="E3" t="s">
        <v>1219</v>
      </c>
      <c r="F3" t="s">
        <v>1223</v>
      </c>
      <c r="G3">
        <v>5</v>
      </c>
      <c r="H3">
        <v>3371</v>
      </c>
      <c r="I3">
        <v>16855</v>
      </c>
      <c r="J3" s="2">
        <v>1757.76</v>
      </c>
    </row>
    <row r="4" spans="1:10" x14ac:dyDescent="0.3">
      <c r="A4" t="s">
        <v>12</v>
      </c>
      <c r="B4" s="1">
        <v>45203</v>
      </c>
      <c r="C4" t="s">
        <v>1212</v>
      </c>
      <c r="D4" t="s">
        <v>1216</v>
      </c>
      <c r="E4" t="s">
        <v>1220</v>
      </c>
      <c r="F4" t="s">
        <v>1224</v>
      </c>
      <c r="G4">
        <v>6</v>
      </c>
      <c r="H4">
        <v>2633</v>
      </c>
      <c r="I4">
        <v>15798</v>
      </c>
      <c r="J4" s="2">
        <v>1752.16</v>
      </c>
    </row>
    <row r="5" spans="1:10" x14ac:dyDescent="0.3">
      <c r="A5" t="s">
        <v>13</v>
      </c>
      <c r="B5" s="1">
        <v>45096</v>
      </c>
      <c r="C5" t="s">
        <v>1213</v>
      </c>
      <c r="D5" t="s">
        <v>1216</v>
      </c>
      <c r="E5" t="s">
        <v>1220</v>
      </c>
      <c r="F5" t="s">
        <v>1225</v>
      </c>
      <c r="G5">
        <v>9</v>
      </c>
      <c r="H5">
        <v>674</v>
      </c>
      <c r="I5">
        <v>6066</v>
      </c>
      <c r="J5" s="2">
        <v>1116.23</v>
      </c>
    </row>
    <row r="6" spans="1:10" x14ac:dyDescent="0.3">
      <c r="A6" t="s">
        <v>14</v>
      </c>
      <c r="B6" s="1">
        <v>45246</v>
      </c>
      <c r="C6" t="s">
        <v>1212</v>
      </c>
      <c r="D6" t="s">
        <v>1214</v>
      </c>
      <c r="E6" t="s">
        <v>1221</v>
      </c>
      <c r="F6" t="s">
        <v>1226</v>
      </c>
      <c r="G6">
        <v>3</v>
      </c>
      <c r="H6">
        <v>2099</v>
      </c>
      <c r="I6">
        <v>6297</v>
      </c>
      <c r="J6" s="2">
        <v>1054.24</v>
      </c>
    </row>
    <row r="7" spans="1:10" x14ac:dyDescent="0.3">
      <c r="A7" t="s">
        <v>15</v>
      </c>
      <c r="B7" s="1">
        <v>45015</v>
      </c>
      <c r="C7" t="s">
        <v>1213</v>
      </c>
      <c r="D7" t="s">
        <v>1217</v>
      </c>
      <c r="E7" t="s">
        <v>1222</v>
      </c>
      <c r="F7" t="s">
        <v>1227</v>
      </c>
      <c r="G7">
        <v>7</v>
      </c>
      <c r="H7">
        <v>3088</v>
      </c>
      <c r="I7">
        <v>21616</v>
      </c>
      <c r="J7" s="2">
        <v>1968.33</v>
      </c>
    </row>
    <row r="8" spans="1:10" x14ac:dyDescent="0.3">
      <c r="A8" t="s">
        <v>16</v>
      </c>
      <c r="B8" s="1">
        <v>45190</v>
      </c>
      <c r="C8" t="s">
        <v>1210</v>
      </c>
      <c r="D8" t="s">
        <v>1214</v>
      </c>
      <c r="E8" t="s">
        <v>1220</v>
      </c>
      <c r="F8" t="s">
        <v>1228</v>
      </c>
      <c r="G8">
        <v>5</v>
      </c>
      <c r="H8">
        <v>1563</v>
      </c>
      <c r="I8">
        <v>7815</v>
      </c>
      <c r="J8" s="2">
        <v>945.41</v>
      </c>
    </row>
    <row r="9" spans="1:10" x14ac:dyDescent="0.3">
      <c r="A9" t="s">
        <v>17</v>
      </c>
      <c r="B9" s="1">
        <v>44928</v>
      </c>
      <c r="C9" t="s">
        <v>1211</v>
      </c>
      <c r="D9" t="s">
        <v>1217</v>
      </c>
      <c r="E9" t="s">
        <v>1220</v>
      </c>
      <c r="F9" t="s">
        <v>1228</v>
      </c>
      <c r="G9">
        <v>4</v>
      </c>
      <c r="H9">
        <v>1785</v>
      </c>
      <c r="I9">
        <v>7140</v>
      </c>
      <c r="J9" s="2">
        <v>1375.37</v>
      </c>
    </row>
    <row r="10" spans="1:10" x14ac:dyDescent="0.3">
      <c r="A10" t="s">
        <v>18</v>
      </c>
      <c r="B10" s="1">
        <v>45196</v>
      </c>
      <c r="C10" t="s">
        <v>1210</v>
      </c>
      <c r="D10" t="s">
        <v>1216</v>
      </c>
      <c r="E10" t="s">
        <v>1221</v>
      </c>
      <c r="F10" t="s">
        <v>1229</v>
      </c>
      <c r="G10">
        <v>2</v>
      </c>
      <c r="H10">
        <v>361</v>
      </c>
      <c r="I10">
        <v>722</v>
      </c>
      <c r="J10" s="2">
        <v>106.26</v>
      </c>
    </row>
    <row r="11" spans="1:10" x14ac:dyDescent="0.3">
      <c r="A11" t="s">
        <v>19</v>
      </c>
      <c r="B11" s="1">
        <v>45206</v>
      </c>
      <c r="C11" t="s">
        <v>1211</v>
      </c>
      <c r="D11" t="s">
        <v>1218</v>
      </c>
      <c r="E11" t="s">
        <v>1222</v>
      </c>
      <c r="F11" t="s">
        <v>1230</v>
      </c>
      <c r="G11">
        <v>8</v>
      </c>
      <c r="H11">
        <v>537</v>
      </c>
      <c r="I11">
        <v>4296</v>
      </c>
      <c r="J11" s="2">
        <v>737.83</v>
      </c>
    </row>
    <row r="12" spans="1:10" x14ac:dyDescent="0.3">
      <c r="A12" t="s">
        <v>20</v>
      </c>
      <c r="B12" s="1">
        <v>45271</v>
      </c>
      <c r="C12" t="s">
        <v>1210</v>
      </c>
      <c r="D12" t="s">
        <v>1218</v>
      </c>
      <c r="E12" t="s">
        <v>1221</v>
      </c>
      <c r="F12" t="s">
        <v>1226</v>
      </c>
      <c r="G12">
        <v>9</v>
      </c>
      <c r="H12">
        <v>2262</v>
      </c>
      <c r="I12">
        <v>20358</v>
      </c>
      <c r="J12" s="2">
        <v>2200.61</v>
      </c>
    </row>
    <row r="13" spans="1:10" x14ac:dyDescent="0.3">
      <c r="A13" t="s">
        <v>21</v>
      </c>
      <c r="B13" s="1">
        <v>45007</v>
      </c>
      <c r="C13" t="s">
        <v>1213</v>
      </c>
      <c r="D13" t="s">
        <v>1214</v>
      </c>
      <c r="E13" t="s">
        <v>1221</v>
      </c>
      <c r="F13" t="s">
        <v>1231</v>
      </c>
      <c r="G13">
        <v>8</v>
      </c>
      <c r="H13">
        <v>1695</v>
      </c>
      <c r="I13">
        <v>13560</v>
      </c>
      <c r="J13" s="2">
        <v>1117.26</v>
      </c>
    </row>
    <row r="14" spans="1:10" x14ac:dyDescent="0.3">
      <c r="A14" t="s">
        <v>22</v>
      </c>
      <c r="B14" s="1">
        <v>44967</v>
      </c>
      <c r="C14" t="s">
        <v>1213</v>
      </c>
      <c r="D14" t="s">
        <v>1218</v>
      </c>
      <c r="E14" t="s">
        <v>1219</v>
      </c>
      <c r="F14" t="s">
        <v>1232</v>
      </c>
      <c r="G14">
        <v>5</v>
      </c>
      <c r="H14">
        <v>3761</v>
      </c>
      <c r="I14">
        <v>18805</v>
      </c>
      <c r="J14" s="2">
        <v>2650.36</v>
      </c>
    </row>
    <row r="15" spans="1:10" x14ac:dyDescent="0.3">
      <c r="A15" t="s">
        <v>23</v>
      </c>
      <c r="B15" s="1">
        <v>44988</v>
      </c>
      <c r="C15" t="s">
        <v>1213</v>
      </c>
      <c r="D15" t="s">
        <v>1215</v>
      </c>
      <c r="E15" t="s">
        <v>1221</v>
      </c>
      <c r="F15" t="s">
        <v>1226</v>
      </c>
      <c r="G15">
        <v>2</v>
      </c>
      <c r="H15">
        <v>3304</v>
      </c>
      <c r="I15">
        <v>6608</v>
      </c>
      <c r="J15" s="2">
        <v>600.04</v>
      </c>
    </row>
    <row r="16" spans="1:10" x14ac:dyDescent="0.3">
      <c r="A16" t="s">
        <v>24</v>
      </c>
      <c r="B16" s="1">
        <v>45153</v>
      </c>
      <c r="C16" t="s">
        <v>1212</v>
      </c>
      <c r="D16" t="s">
        <v>1214</v>
      </c>
      <c r="E16" t="s">
        <v>1219</v>
      </c>
      <c r="F16" t="s">
        <v>1223</v>
      </c>
      <c r="G16">
        <v>8</v>
      </c>
      <c r="H16">
        <v>2973</v>
      </c>
      <c r="I16">
        <v>23784</v>
      </c>
      <c r="J16" s="2">
        <v>5489.97</v>
      </c>
    </row>
    <row r="17" spans="1:10" x14ac:dyDescent="0.3">
      <c r="A17" t="s">
        <v>25</v>
      </c>
      <c r="B17" s="1">
        <v>45133</v>
      </c>
      <c r="C17" t="s">
        <v>1210</v>
      </c>
      <c r="D17" t="s">
        <v>1217</v>
      </c>
      <c r="E17" t="s">
        <v>1222</v>
      </c>
      <c r="G17">
        <v>7</v>
      </c>
      <c r="H17">
        <v>4693</v>
      </c>
      <c r="I17">
        <v>32851</v>
      </c>
      <c r="J17" s="2">
        <v>5385.77</v>
      </c>
    </row>
    <row r="18" spans="1:10" x14ac:dyDescent="0.3">
      <c r="A18" t="s">
        <v>26</v>
      </c>
      <c r="B18" s="1">
        <v>44978</v>
      </c>
      <c r="C18" t="s">
        <v>1212</v>
      </c>
      <c r="D18" t="s">
        <v>1216</v>
      </c>
      <c r="E18" t="s">
        <v>1220</v>
      </c>
      <c r="F18" t="s">
        <v>1224</v>
      </c>
      <c r="G18">
        <v>3</v>
      </c>
      <c r="H18">
        <v>1063</v>
      </c>
      <c r="I18">
        <v>3189</v>
      </c>
      <c r="J18" s="2">
        <v>600.14</v>
      </c>
    </row>
    <row r="19" spans="1:10" x14ac:dyDescent="0.3">
      <c r="A19" t="s">
        <v>27</v>
      </c>
      <c r="B19" s="1">
        <v>44962</v>
      </c>
      <c r="C19" t="s">
        <v>1212</v>
      </c>
      <c r="E19" t="s">
        <v>1220</v>
      </c>
      <c r="F19" t="s">
        <v>1228</v>
      </c>
      <c r="G19">
        <v>7</v>
      </c>
      <c r="H19">
        <v>1878</v>
      </c>
      <c r="I19">
        <v>13146</v>
      </c>
      <c r="J19" s="2">
        <v>2740.2</v>
      </c>
    </row>
    <row r="20" spans="1:10" x14ac:dyDescent="0.3">
      <c r="A20" t="s">
        <v>28</v>
      </c>
      <c r="B20" s="1">
        <v>45060</v>
      </c>
      <c r="C20" t="s">
        <v>1213</v>
      </c>
      <c r="D20" t="s">
        <v>1216</v>
      </c>
      <c r="E20" t="s">
        <v>1219</v>
      </c>
      <c r="F20" t="s">
        <v>1233</v>
      </c>
      <c r="G20">
        <v>2</v>
      </c>
      <c r="H20">
        <v>2929</v>
      </c>
      <c r="I20">
        <v>5858</v>
      </c>
      <c r="J20" s="2">
        <v>1273.4100000000001</v>
      </c>
    </row>
    <row r="21" spans="1:10" x14ac:dyDescent="0.3">
      <c r="A21" t="s">
        <v>29</v>
      </c>
      <c r="B21" s="1">
        <v>45274</v>
      </c>
      <c r="C21" t="s">
        <v>1212</v>
      </c>
      <c r="D21" t="s">
        <v>1218</v>
      </c>
      <c r="E21" t="s">
        <v>1221</v>
      </c>
      <c r="F21" t="s">
        <v>1226</v>
      </c>
      <c r="G21">
        <v>4</v>
      </c>
      <c r="H21">
        <v>2181</v>
      </c>
      <c r="I21">
        <v>8724</v>
      </c>
      <c r="J21" s="2">
        <v>1497.81</v>
      </c>
    </row>
    <row r="22" spans="1:10" x14ac:dyDescent="0.3">
      <c r="A22" t="s">
        <v>30</v>
      </c>
      <c r="B22" s="1">
        <v>45185</v>
      </c>
      <c r="C22" t="s">
        <v>1210</v>
      </c>
      <c r="D22" t="s">
        <v>1214</v>
      </c>
      <c r="E22" t="s">
        <v>1222</v>
      </c>
      <c r="F22" t="s">
        <v>1234</v>
      </c>
      <c r="G22">
        <v>9</v>
      </c>
      <c r="H22">
        <v>2875</v>
      </c>
      <c r="I22">
        <v>25875</v>
      </c>
      <c r="J22" s="2">
        <v>3620.86</v>
      </c>
    </row>
    <row r="23" spans="1:10" x14ac:dyDescent="0.3">
      <c r="A23" t="s">
        <v>31</v>
      </c>
      <c r="B23" s="1">
        <v>45241</v>
      </c>
      <c r="C23" t="s">
        <v>1211</v>
      </c>
      <c r="D23" t="s">
        <v>1218</v>
      </c>
      <c r="E23" t="s">
        <v>1222</v>
      </c>
      <c r="F23" t="s">
        <v>1230</v>
      </c>
      <c r="G23">
        <v>5</v>
      </c>
      <c r="H23">
        <v>4979</v>
      </c>
      <c r="I23">
        <v>24895</v>
      </c>
      <c r="J23" s="2">
        <v>3024.78</v>
      </c>
    </row>
    <row r="24" spans="1:10" x14ac:dyDescent="0.3">
      <c r="A24" t="s">
        <v>32</v>
      </c>
      <c r="B24" s="1">
        <v>45221</v>
      </c>
      <c r="C24" t="s">
        <v>1211</v>
      </c>
      <c r="D24" t="s">
        <v>1214</v>
      </c>
      <c r="E24" t="s">
        <v>1221</v>
      </c>
      <c r="F24" t="s">
        <v>1231</v>
      </c>
      <c r="G24">
        <v>1</v>
      </c>
      <c r="H24">
        <v>4859</v>
      </c>
      <c r="I24">
        <v>4859</v>
      </c>
      <c r="J24" s="2">
        <v>592.65</v>
      </c>
    </row>
    <row r="25" spans="1:10" x14ac:dyDescent="0.3">
      <c r="A25" t="s">
        <v>33</v>
      </c>
      <c r="B25" s="1">
        <v>45039</v>
      </c>
      <c r="C25" t="s">
        <v>1211</v>
      </c>
      <c r="D25" t="s">
        <v>1217</v>
      </c>
      <c r="E25" t="s">
        <v>1222</v>
      </c>
      <c r="F25" t="s">
        <v>1234</v>
      </c>
      <c r="G25">
        <v>1</v>
      </c>
      <c r="H25">
        <v>3199</v>
      </c>
      <c r="I25">
        <v>3199</v>
      </c>
      <c r="J25" s="2">
        <v>275.98</v>
      </c>
    </row>
    <row r="26" spans="1:10" x14ac:dyDescent="0.3">
      <c r="A26" t="s">
        <v>34</v>
      </c>
      <c r="B26" s="1">
        <v>44979</v>
      </c>
      <c r="C26" t="s">
        <v>1213</v>
      </c>
      <c r="D26" t="s">
        <v>1217</v>
      </c>
      <c r="E26" t="s">
        <v>1221</v>
      </c>
      <c r="F26" t="s">
        <v>1229</v>
      </c>
      <c r="G26">
        <v>7</v>
      </c>
      <c r="H26">
        <v>3674</v>
      </c>
      <c r="I26">
        <v>25718</v>
      </c>
      <c r="J26" s="2">
        <v>5033.53</v>
      </c>
    </row>
    <row r="27" spans="1:10" x14ac:dyDescent="0.3">
      <c r="A27" t="s">
        <v>35</v>
      </c>
      <c r="B27" s="1">
        <v>45049</v>
      </c>
      <c r="C27" t="s">
        <v>1212</v>
      </c>
      <c r="D27" t="s">
        <v>1215</v>
      </c>
      <c r="E27" t="s">
        <v>1221</v>
      </c>
      <c r="F27" t="s">
        <v>1229</v>
      </c>
      <c r="G27">
        <v>7</v>
      </c>
      <c r="H27">
        <v>3710</v>
      </c>
      <c r="I27">
        <v>25970</v>
      </c>
      <c r="J27" s="2">
        <v>5440.07</v>
      </c>
    </row>
    <row r="28" spans="1:10" x14ac:dyDescent="0.3">
      <c r="A28" t="s">
        <v>36</v>
      </c>
      <c r="B28" s="1">
        <v>45070</v>
      </c>
      <c r="C28" t="s">
        <v>1212</v>
      </c>
      <c r="D28" t="s">
        <v>1218</v>
      </c>
      <c r="E28" t="s">
        <v>1221</v>
      </c>
      <c r="F28" t="s">
        <v>1229</v>
      </c>
      <c r="G28">
        <v>6</v>
      </c>
      <c r="H28">
        <v>2130</v>
      </c>
      <c r="I28">
        <v>12780</v>
      </c>
      <c r="J28" s="2">
        <v>2796.18</v>
      </c>
    </row>
    <row r="29" spans="1:10" x14ac:dyDescent="0.3">
      <c r="A29" t="s">
        <v>37</v>
      </c>
      <c r="B29" s="1">
        <v>45074</v>
      </c>
      <c r="C29" t="s">
        <v>1213</v>
      </c>
      <c r="D29" t="s">
        <v>1214</v>
      </c>
      <c r="E29" t="s">
        <v>1221</v>
      </c>
      <c r="F29" t="s">
        <v>1235</v>
      </c>
      <c r="G29">
        <v>6</v>
      </c>
      <c r="H29">
        <v>2711</v>
      </c>
      <c r="I29">
        <v>16266</v>
      </c>
      <c r="J29" s="2">
        <v>1414.03</v>
      </c>
    </row>
    <row r="30" spans="1:10" x14ac:dyDescent="0.3">
      <c r="A30" t="s">
        <v>38</v>
      </c>
      <c r="B30" s="1">
        <v>45125</v>
      </c>
      <c r="C30" t="s">
        <v>1213</v>
      </c>
      <c r="D30" t="s">
        <v>1218</v>
      </c>
      <c r="E30" t="s">
        <v>1221</v>
      </c>
      <c r="F30" t="s">
        <v>1235</v>
      </c>
      <c r="G30">
        <v>3</v>
      </c>
      <c r="H30">
        <v>346</v>
      </c>
      <c r="I30">
        <v>1038</v>
      </c>
      <c r="J30" s="2">
        <v>144.57</v>
      </c>
    </row>
    <row r="31" spans="1:10" x14ac:dyDescent="0.3">
      <c r="A31" t="s">
        <v>39</v>
      </c>
      <c r="B31" s="1">
        <v>45193</v>
      </c>
      <c r="C31" t="s">
        <v>1213</v>
      </c>
      <c r="D31" t="s">
        <v>1218</v>
      </c>
      <c r="E31" t="s">
        <v>1222</v>
      </c>
      <c r="F31" t="s">
        <v>1236</v>
      </c>
      <c r="G31">
        <v>7</v>
      </c>
      <c r="H31">
        <v>2585</v>
      </c>
      <c r="I31">
        <v>18095</v>
      </c>
      <c r="J31" s="2">
        <v>4024.52</v>
      </c>
    </row>
    <row r="32" spans="1:10" x14ac:dyDescent="0.3">
      <c r="A32" t="s">
        <v>40</v>
      </c>
      <c r="B32" s="1">
        <v>45189</v>
      </c>
      <c r="C32" t="s">
        <v>1213</v>
      </c>
      <c r="D32" t="s">
        <v>1217</v>
      </c>
      <c r="E32" t="s">
        <v>1222</v>
      </c>
      <c r="F32" t="s">
        <v>1230</v>
      </c>
      <c r="G32">
        <v>7</v>
      </c>
      <c r="H32">
        <v>4261</v>
      </c>
      <c r="I32">
        <v>29827</v>
      </c>
      <c r="J32" s="2">
        <v>5914.2</v>
      </c>
    </row>
    <row r="33" spans="1:10" x14ac:dyDescent="0.3">
      <c r="A33" t="s">
        <v>41</v>
      </c>
      <c r="B33" s="1">
        <v>45230</v>
      </c>
      <c r="C33" t="s">
        <v>1211</v>
      </c>
      <c r="D33" t="s">
        <v>1216</v>
      </c>
      <c r="E33" t="s">
        <v>1221</v>
      </c>
      <c r="F33" t="s">
        <v>1231</v>
      </c>
      <c r="G33">
        <v>4</v>
      </c>
      <c r="H33">
        <v>3843</v>
      </c>
      <c r="I33">
        <v>15372</v>
      </c>
      <c r="J33" s="2">
        <v>1911.37</v>
      </c>
    </row>
    <row r="34" spans="1:10" x14ac:dyDescent="0.3">
      <c r="A34" t="s">
        <v>42</v>
      </c>
      <c r="B34" s="1">
        <v>45073</v>
      </c>
      <c r="C34" t="s">
        <v>1213</v>
      </c>
      <c r="D34" t="s">
        <v>1214</v>
      </c>
      <c r="E34" t="s">
        <v>1222</v>
      </c>
      <c r="G34">
        <v>7</v>
      </c>
      <c r="H34">
        <v>2256</v>
      </c>
      <c r="I34">
        <v>15792</v>
      </c>
      <c r="J34" s="2">
        <v>2012.03</v>
      </c>
    </row>
    <row r="35" spans="1:10" x14ac:dyDescent="0.3">
      <c r="A35" t="s">
        <v>43</v>
      </c>
      <c r="B35" s="1">
        <v>45042</v>
      </c>
      <c r="C35" t="s">
        <v>1210</v>
      </c>
      <c r="D35" t="s">
        <v>1218</v>
      </c>
      <c r="E35" t="s">
        <v>1221</v>
      </c>
      <c r="F35" t="s">
        <v>1226</v>
      </c>
      <c r="G35">
        <v>6</v>
      </c>
      <c r="H35">
        <v>3391</v>
      </c>
      <c r="I35">
        <v>20346</v>
      </c>
      <c r="J35" s="2">
        <v>4698.32</v>
      </c>
    </row>
    <row r="36" spans="1:10" x14ac:dyDescent="0.3">
      <c r="A36" t="s">
        <v>44</v>
      </c>
      <c r="B36" s="1">
        <v>45153</v>
      </c>
      <c r="C36" t="s">
        <v>1213</v>
      </c>
      <c r="E36" t="s">
        <v>1221</v>
      </c>
      <c r="F36" t="s">
        <v>1226</v>
      </c>
      <c r="G36">
        <v>6</v>
      </c>
      <c r="H36">
        <v>4399</v>
      </c>
      <c r="I36">
        <v>26394</v>
      </c>
      <c r="J36" s="2">
        <v>4832.5600000000004</v>
      </c>
    </row>
    <row r="37" spans="1:10" x14ac:dyDescent="0.3">
      <c r="A37" t="s">
        <v>45</v>
      </c>
      <c r="B37" s="1">
        <v>45089</v>
      </c>
      <c r="C37" t="s">
        <v>1213</v>
      </c>
      <c r="D37" t="s">
        <v>1215</v>
      </c>
      <c r="E37" t="s">
        <v>1219</v>
      </c>
      <c r="F37" t="s">
        <v>1232</v>
      </c>
      <c r="G37">
        <v>2</v>
      </c>
      <c r="H37">
        <v>4633</v>
      </c>
      <c r="I37">
        <v>9266</v>
      </c>
      <c r="J37" s="2">
        <v>1506.23</v>
      </c>
    </row>
    <row r="38" spans="1:10" x14ac:dyDescent="0.3">
      <c r="A38" t="s">
        <v>46</v>
      </c>
      <c r="B38" s="1">
        <v>45061</v>
      </c>
      <c r="C38" t="s">
        <v>1210</v>
      </c>
      <c r="D38" t="s">
        <v>1218</v>
      </c>
      <c r="E38" t="s">
        <v>1222</v>
      </c>
      <c r="F38" t="s">
        <v>1236</v>
      </c>
      <c r="G38">
        <v>1</v>
      </c>
      <c r="H38">
        <v>4693</v>
      </c>
      <c r="I38">
        <v>4693</v>
      </c>
      <c r="J38" s="2">
        <v>635.04999999999995</v>
      </c>
    </row>
    <row r="39" spans="1:10" x14ac:dyDescent="0.3">
      <c r="A39" t="s">
        <v>47</v>
      </c>
      <c r="B39" s="1">
        <v>45164</v>
      </c>
      <c r="C39" t="s">
        <v>1211</v>
      </c>
      <c r="D39" t="s">
        <v>1215</v>
      </c>
      <c r="E39" t="s">
        <v>1221</v>
      </c>
      <c r="F39" t="s">
        <v>1231</v>
      </c>
      <c r="G39">
        <v>3</v>
      </c>
      <c r="H39">
        <v>4765</v>
      </c>
      <c r="I39">
        <v>14295</v>
      </c>
      <c r="J39" s="2">
        <v>1788.08</v>
      </c>
    </row>
    <row r="40" spans="1:10" x14ac:dyDescent="0.3">
      <c r="A40" t="s">
        <v>48</v>
      </c>
      <c r="B40" s="1">
        <v>45203</v>
      </c>
      <c r="C40" t="s">
        <v>1211</v>
      </c>
      <c r="D40" t="s">
        <v>1218</v>
      </c>
      <c r="E40" t="s">
        <v>1219</v>
      </c>
      <c r="F40" t="s">
        <v>1233</v>
      </c>
      <c r="G40">
        <v>8</v>
      </c>
      <c r="H40">
        <v>3554</v>
      </c>
      <c r="I40">
        <v>28432</v>
      </c>
      <c r="J40" s="2">
        <v>4374.18</v>
      </c>
    </row>
    <row r="41" spans="1:10" x14ac:dyDescent="0.3">
      <c r="A41" t="s">
        <v>49</v>
      </c>
      <c r="B41" s="1">
        <v>45230</v>
      </c>
      <c r="C41" t="s">
        <v>1210</v>
      </c>
      <c r="D41" t="s">
        <v>1216</v>
      </c>
      <c r="E41" t="s">
        <v>1221</v>
      </c>
      <c r="F41" t="s">
        <v>1235</v>
      </c>
      <c r="G41">
        <v>1</v>
      </c>
      <c r="H41">
        <v>4748</v>
      </c>
      <c r="I41">
        <v>4748</v>
      </c>
      <c r="J41" s="2">
        <v>565.64</v>
      </c>
    </row>
    <row r="42" spans="1:10" x14ac:dyDescent="0.3">
      <c r="A42" t="s">
        <v>50</v>
      </c>
      <c r="B42" s="1">
        <v>45084</v>
      </c>
      <c r="C42" t="s">
        <v>1212</v>
      </c>
      <c r="D42" t="s">
        <v>1215</v>
      </c>
      <c r="E42" t="s">
        <v>1219</v>
      </c>
      <c r="F42" t="s">
        <v>1223</v>
      </c>
      <c r="G42">
        <v>1</v>
      </c>
      <c r="H42">
        <v>216</v>
      </c>
      <c r="I42">
        <v>216</v>
      </c>
      <c r="J42" s="2">
        <v>53.8</v>
      </c>
    </row>
    <row r="43" spans="1:10" x14ac:dyDescent="0.3">
      <c r="A43" t="s">
        <v>51</v>
      </c>
      <c r="B43" s="1">
        <v>45228</v>
      </c>
      <c r="C43" t="s">
        <v>1212</v>
      </c>
      <c r="D43" t="s">
        <v>1214</v>
      </c>
      <c r="E43" t="s">
        <v>1220</v>
      </c>
      <c r="F43" t="s">
        <v>1237</v>
      </c>
      <c r="G43">
        <v>9</v>
      </c>
      <c r="H43">
        <v>1260</v>
      </c>
      <c r="I43">
        <v>11340</v>
      </c>
      <c r="J43" s="2">
        <v>2696.81</v>
      </c>
    </row>
    <row r="44" spans="1:10" x14ac:dyDescent="0.3">
      <c r="A44" t="s">
        <v>52</v>
      </c>
      <c r="B44" s="1">
        <v>45087</v>
      </c>
      <c r="C44" t="s">
        <v>1213</v>
      </c>
      <c r="D44" t="s">
        <v>1214</v>
      </c>
      <c r="E44" t="s">
        <v>1221</v>
      </c>
      <c r="F44" t="s">
        <v>1231</v>
      </c>
      <c r="G44">
        <v>4</v>
      </c>
      <c r="H44">
        <v>390</v>
      </c>
      <c r="I44">
        <v>1560</v>
      </c>
      <c r="J44" s="2">
        <v>205.87</v>
      </c>
    </row>
    <row r="45" spans="1:10" x14ac:dyDescent="0.3">
      <c r="A45" t="s">
        <v>53</v>
      </c>
      <c r="B45" s="1">
        <v>45100</v>
      </c>
      <c r="C45" t="s">
        <v>1213</v>
      </c>
      <c r="D45" t="s">
        <v>1217</v>
      </c>
      <c r="E45" t="s">
        <v>1221</v>
      </c>
      <c r="F45" t="s">
        <v>1229</v>
      </c>
      <c r="G45">
        <v>9</v>
      </c>
      <c r="H45">
        <v>769</v>
      </c>
      <c r="I45">
        <v>6921</v>
      </c>
      <c r="J45" s="2">
        <v>1647.91</v>
      </c>
    </row>
    <row r="46" spans="1:10" x14ac:dyDescent="0.3">
      <c r="A46" t="s">
        <v>54</v>
      </c>
      <c r="B46" s="1">
        <v>45081</v>
      </c>
      <c r="C46" t="s">
        <v>1211</v>
      </c>
      <c r="D46" t="s">
        <v>1217</v>
      </c>
      <c r="E46" t="s">
        <v>1221</v>
      </c>
      <c r="F46" t="s">
        <v>1235</v>
      </c>
      <c r="G46">
        <v>6</v>
      </c>
      <c r="H46">
        <v>1886</v>
      </c>
      <c r="I46">
        <v>11316</v>
      </c>
      <c r="J46" s="2">
        <v>1174.76</v>
      </c>
    </row>
    <row r="47" spans="1:10" x14ac:dyDescent="0.3">
      <c r="A47" t="s">
        <v>55</v>
      </c>
      <c r="B47" s="1">
        <v>45096</v>
      </c>
      <c r="C47" t="s">
        <v>1210</v>
      </c>
      <c r="D47" t="s">
        <v>1217</v>
      </c>
      <c r="E47" t="s">
        <v>1220</v>
      </c>
      <c r="G47">
        <v>8</v>
      </c>
      <c r="H47">
        <v>4541</v>
      </c>
      <c r="I47">
        <v>36328</v>
      </c>
      <c r="J47" s="2">
        <v>5126.37</v>
      </c>
    </row>
    <row r="48" spans="1:10" x14ac:dyDescent="0.3">
      <c r="A48" t="s">
        <v>56</v>
      </c>
      <c r="B48" s="1">
        <v>45239</v>
      </c>
      <c r="C48" t="s">
        <v>1213</v>
      </c>
      <c r="D48" t="s">
        <v>1215</v>
      </c>
      <c r="E48" t="s">
        <v>1219</v>
      </c>
      <c r="F48" t="s">
        <v>1233</v>
      </c>
      <c r="G48">
        <v>9</v>
      </c>
      <c r="H48">
        <v>2655</v>
      </c>
      <c r="I48">
        <v>23895</v>
      </c>
      <c r="J48" s="2">
        <v>5621.32</v>
      </c>
    </row>
    <row r="49" spans="1:10" x14ac:dyDescent="0.3">
      <c r="A49" t="s">
        <v>57</v>
      </c>
      <c r="B49" s="1">
        <v>45069</v>
      </c>
      <c r="C49" t="s">
        <v>1213</v>
      </c>
      <c r="D49" t="s">
        <v>1217</v>
      </c>
      <c r="E49" t="s">
        <v>1221</v>
      </c>
      <c r="F49" t="s">
        <v>1231</v>
      </c>
      <c r="G49">
        <v>8</v>
      </c>
      <c r="H49">
        <v>4695</v>
      </c>
      <c r="I49">
        <v>37560</v>
      </c>
      <c r="J49" s="2">
        <v>3328.97</v>
      </c>
    </row>
    <row r="50" spans="1:10" x14ac:dyDescent="0.3">
      <c r="A50" t="s">
        <v>58</v>
      </c>
      <c r="B50" s="1">
        <v>45079</v>
      </c>
      <c r="C50" t="s">
        <v>1211</v>
      </c>
      <c r="D50" t="s">
        <v>1215</v>
      </c>
      <c r="E50" t="s">
        <v>1220</v>
      </c>
      <c r="F50" t="s">
        <v>1224</v>
      </c>
      <c r="G50">
        <v>7</v>
      </c>
      <c r="H50">
        <v>2182</v>
      </c>
      <c r="I50">
        <v>15274</v>
      </c>
      <c r="J50" s="2">
        <v>1315.25</v>
      </c>
    </row>
    <row r="51" spans="1:10" x14ac:dyDescent="0.3">
      <c r="A51" t="s">
        <v>59</v>
      </c>
      <c r="B51" s="1">
        <v>45197</v>
      </c>
      <c r="C51" t="s">
        <v>1211</v>
      </c>
      <c r="D51" t="s">
        <v>1214</v>
      </c>
      <c r="E51" t="s">
        <v>1220</v>
      </c>
      <c r="F51" t="s">
        <v>1225</v>
      </c>
      <c r="G51">
        <v>6</v>
      </c>
      <c r="H51">
        <v>1915</v>
      </c>
      <c r="I51">
        <v>11490</v>
      </c>
      <c r="J51" s="2">
        <v>995.06</v>
      </c>
    </row>
    <row r="52" spans="1:10" x14ac:dyDescent="0.3">
      <c r="A52" t="s">
        <v>60</v>
      </c>
      <c r="B52" s="1">
        <v>45034</v>
      </c>
      <c r="C52" t="s">
        <v>1212</v>
      </c>
      <c r="D52" t="s">
        <v>1216</v>
      </c>
      <c r="E52" t="s">
        <v>1221</v>
      </c>
      <c r="F52" t="s">
        <v>1231</v>
      </c>
      <c r="G52">
        <v>1</v>
      </c>
      <c r="H52">
        <v>3324</v>
      </c>
      <c r="I52">
        <v>3324</v>
      </c>
      <c r="J52" s="2">
        <v>419.36</v>
      </c>
    </row>
    <row r="53" spans="1:10" x14ac:dyDescent="0.3">
      <c r="A53" t="s">
        <v>61</v>
      </c>
      <c r="B53" s="1">
        <v>45234</v>
      </c>
      <c r="C53" t="s">
        <v>1213</v>
      </c>
      <c r="D53" t="s">
        <v>1215</v>
      </c>
      <c r="E53" t="s">
        <v>1220</v>
      </c>
      <c r="F53" t="s">
        <v>1228</v>
      </c>
      <c r="G53">
        <v>4</v>
      </c>
      <c r="H53">
        <v>4342</v>
      </c>
      <c r="I53">
        <v>17368</v>
      </c>
      <c r="J53" s="2">
        <v>3454.79</v>
      </c>
    </row>
    <row r="54" spans="1:10" x14ac:dyDescent="0.3">
      <c r="A54" t="s">
        <v>62</v>
      </c>
      <c r="B54" s="1">
        <v>45201</v>
      </c>
      <c r="C54" t="s">
        <v>1213</v>
      </c>
      <c r="D54" t="s">
        <v>1217</v>
      </c>
      <c r="E54" t="s">
        <v>1220</v>
      </c>
      <c r="F54" t="s">
        <v>1224</v>
      </c>
      <c r="G54">
        <v>3</v>
      </c>
      <c r="H54">
        <v>4952</v>
      </c>
      <c r="I54">
        <v>14856</v>
      </c>
      <c r="J54" s="2">
        <v>2195.71</v>
      </c>
    </row>
    <row r="55" spans="1:10" x14ac:dyDescent="0.3">
      <c r="A55" t="s">
        <v>63</v>
      </c>
      <c r="B55" s="1">
        <v>45053</v>
      </c>
      <c r="C55" t="s">
        <v>1212</v>
      </c>
      <c r="D55" t="s">
        <v>1216</v>
      </c>
      <c r="E55" t="s">
        <v>1219</v>
      </c>
      <c r="F55" t="s">
        <v>1233</v>
      </c>
      <c r="G55">
        <v>5</v>
      </c>
      <c r="H55">
        <v>316</v>
      </c>
      <c r="I55">
        <v>1580</v>
      </c>
      <c r="J55" s="2">
        <v>148.12</v>
      </c>
    </row>
    <row r="56" spans="1:10" x14ac:dyDescent="0.3">
      <c r="A56" t="s">
        <v>64</v>
      </c>
      <c r="B56" s="1">
        <v>45044</v>
      </c>
      <c r="C56" t="s">
        <v>1213</v>
      </c>
      <c r="D56" t="s">
        <v>1218</v>
      </c>
      <c r="E56" t="s">
        <v>1222</v>
      </c>
      <c r="F56" t="s">
        <v>1234</v>
      </c>
      <c r="G56">
        <v>1</v>
      </c>
      <c r="H56">
        <v>3049</v>
      </c>
      <c r="I56">
        <v>3049</v>
      </c>
      <c r="J56" s="2">
        <v>368.21</v>
      </c>
    </row>
    <row r="57" spans="1:10" x14ac:dyDescent="0.3">
      <c r="A57" t="s">
        <v>65</v>
      </c>
      <c r="B57" s="1">
        <v>45118</v>
      </c>
      <c r="C57" t="s">
        <v>1210</v>
      </c>
      <c r="D57" t="s">
        <v>1215</v>
      </c>
      <c r="E57" t="s">
        <v>1221</v>
      </c>
      <c r="F57" t="s">
        <v>1231</v>
      </c>
      <c r="G57">
        <v>5</v>
      </c>
      <c r="H57">
        <v>3543</v>
      </c>
      <c r="I57">
        <v>17715</v>
      </c>
      <c r="J57" s="2">
        <v>2973.26</v>
      </c>
    </row>
    <row r="58" spans="1:10" x14ac:dyDescent="0.3">
      <c r="A58" t="s">
        <v>66</v>
      </c>
      <c r="B58" s="1">
        <v>45012</v>
      </c>
      <c r="C58" t="s">
        <v>1212</v>
      </c>
      <c r="D58" t="s">
        <v>1215</v>
      </c>
      <c r="E58" t="s">
        <v>1220</v>
      </c>
      <c r="F58" t="s">
        <v>1228</v>
      </c>
      <c r="G58">
        <v>7</v>
      </c>
      <c r="H58">
        <v>3347</v>
      </c>
      <c r="I58">
        <v>23429</v>
      </c>
      <c r="J58" s="2">
        <v>4128.8100000000004</v>
      </c>
    </row>
    <row r="59" spans="1:10" x14ac:dyDescent="0.3">
      <c r="A59" t="s">
        <v>67</v>
      </c>
      <c r="B59" s="1">
        <v>45164</v>
      </c>
      <c r="C59" t="s">
        <v>1211</v>
      </c>
      <c r="D59" t="s">
        <v>1216</v>
      </c>
      <c r="E59" t="s">
        <v>1220</v>
      </c>
      <c r="F59" t="s">
        <v>1224</v>
      </c>
      <c r="G59">
        <v>5</v>
      </c>
      <c r="H59">
        <v>3318</v>
      </c>
      <c r="I59">
        <v>16590</v>
      </c>
      <c r="J59" s="2">
        <v>1442.07</v>
      </c>
    </row>
    <row r="60" spans="1:10" x14ac:dyDescent="0.3">
      <c r="A60" t="s">
        <v>68</v>
      </c>
      <c r="B60" s="1">
        <v>45180</v>
      </c>
      <c r="C60" t="s">
        <v>1211</v>
      </c>
      <c r="D60" t="s">
        <v>1215</v>
      </c>
      <c r="E60" t="s">
        <v>1222</v>
      </c>
      <c r="F60" t="s">
        <v>1236</v>
      </c>
      <c r="G60">
        <v>5</v>
      </c>
      <c r="H60">
        <v>4846</v>
      </c>
      <c r="I60">
        <v>24230</v>
      </c>
      <c r="J60" s="2">
        <v>3364.86</v>
      </c>
    </row>
    <row r="61" spans="1:10" x14ac:dyDescent="0.3">
      <c r="A61" t="s">
        <v>69</v>
      </c>
      <c r="B61" s="1">
        <v>45176</v>
      </c>
      <c r="C61" t="s">
        <v>1210</v>
      </c>
      <c r="D61" t="s">
        <v>1217</v>
      </c>
      <c r="E61" t="s">
        <v>1219</v>
      </c>
      <c r="F61" t="s">
        <v>1233</v>
      </c>
      <c r="G61">
        <v>6</v>
      </c>
      <c r="H61">
        <v>3049</v>
      </c>
      <c r="I61">
        <v>18294</v>
      </c>
      <c r="J61" s="2">
        <v>2274.89</v>
      </c>
    </row>
    <row r="62" spans="1:10" x14ac:dyDescent="0.3">
      <c r="A62" t="s">
        <v>70</v>
      </c>
      <c r="B62" s="1">
        <v>44942</v>
      </c>
      <c r="C62" t="s">
        <v>1213</v>
      </c>
      <c r="D62" t="s">
        <v>1217</v>
      </c>
      <c r="E62" t="s">
        <v>1221</v>
      </c>
      <c r="F62" t="s">
        <v>1231</v>
      </c>
      <c r="G62">
        <v>8</v>
      </c>
      <c r="H62">
        <v>1548</v>
      </c>
      <c r="I62">
        <v>12384</v>
      </c>
      <c r="J62" s="2">
        <v>2430.66</v>
      </c>
    </row>
    <row r="63" spans="1:10" x14ac:dyDescent="0.3">
      <c r="A63" t="s">
        <v>71</v>
      </c>
      <c r="B63" s="1">
        <v>45089</v>
      </c>
      <c r="C63" t="s">
        <v>1213</v>
      </c>
      <c r="D63" t="s">
        <v>1218</v>
      </c>
      <c r="E63" t="s">
        <v>1222</v>
      </c>
      <c r="F63" t="s">
        <v>1236</v>
      </c>
      <c r="G63">
        <v>4</v>
      </c>
      <c r="H63">
        <v>1887</v>
      </c>
      <c r="I63">
        <v>7548</v>
      </c>
      <c r="J63" s="2">
        <v>1472.76</v>
      </c>
    </row>
    <row r="64" spans="1:10" x14ac:dyDescent="0.3">
      <c r="A64" t="s">
        <v>72</v>
      </c>
      <c r="B64" s="1">
        <v>45249</v>
      </c>
      <c r="C64" t="s">
        <v>1212</v>
      </c>
      <c r="D64" t="s">
        <v>1218</v>
      </c>
      <c r="E64" t="s">
        <v>1222</v>
      </c>
      <c r="F64" t="s">
        <v>1234</v>
      </c>
      <c r="G64">
        <v>3</v>
      </c>
      <c r="H64">
        <v>3698</v>
      </c>
      <c r="I64">
        <v>11094</v>
      </c>
      <c r="J64" s="2">
        <v>2663.1</v>
      </c>
    </row>
    <row r="65" spans="1:10" x14ac:dyDescent="0.3">
      <c r="A65" t="s">
        <v>73</v>
      </c>
      <c r="B65" s="1">
        <v>45141</v>
      </c>
      <c r="C65" t="s">
        <v>1212</v>
      </c>
      <c r="D65" t="s">
        <v>1217</v>
      </c>
      <c r="E65" t="s">
        <v>1221</v>
      </c>
      <c r="F65" t="s">
        <v>1229</v>
      </c>
      <c r="G65">
        <v>2</v>
      </c>
      <c r="H65">
        <v>2746</v>
      </c>
      <c r="I65">
        <v>5492</v>
      </c>
      <c r="J65" s="2">
        <v>1016.59</v>
      </c>
    </row>
    <row r="66" spans="1:10" x14ac:dyDescent="0.3">
      <c r="A66" t="s">
        <v>74</v>
      </c>
      <c r="B66" s="1">
        <v>45122</v>
      </c>
      <c r="C66" t="s">
        <v>1211</v>
      </c>
      <c r="D66" t="s">
        <v>1215</v>
      </c>
      <c r="E66" t="s">
        <v>1221</v>
      </c>
      <c r="F66" t="s">
        <v>1231</v>
      </c>
      <c r="G66">
        <v>2</v>
      </c>
      <c r="H66">
        <v>314</v>
      </c>
      <c r="I66">
        <v>628</v>
      </c>
      <c r="J66" s="2">
        <v>80.33</v>
      </c>
    </row>
    <row r="67" spans="1:10" x14ac:dyDescent="0.3">
      <c r="A67" t="s">
        <v>75</v>
      </c>
      <c r="B67" s="1">
        <v>45175</v>
      </c>
      <c r="C67" t="s">
        <v>1213</v>
      </c>
      <c r="D67" t="s">
        <v>1217</v>
      </c>
      <c r="E67" t="s">
        <v>1220</v>
      </c>
      <c r="F67" t="s">
        <v>1228</v>
      </c>
      <c r="G67">
        <v>8</v>
      </c>
      <c r="H67">
        <v>928</v>
      </c>
      <c r="I67">
        <v>7424</v>
      </c>
      <c r="J67" s="2">
        <v>1607.98</v>
      </c>
    </row>
    <row r="68" spans="1:10" x14ac:dyDescent="0.3">
      <c r="A68" t="s">
        <v>76</v>
      </c>
      <c r="B68" s="1">
        <v>44962</v>
      </c>
      <c r="C68" t="s">
        <v>1211</v>
      </c>
      <c r="D68" t="s">
        <v>1218</v>
      </c>
      <c r="E68" t="s">
        <v>1222</v>
      </c>
      <c r="F68" t="s">
        <v>1234</v>
      </c>
      <c r="G68">
        <v>8</v>
      </c>
      <c r="H68">
        <v>2986</v>
      </c>
      <c r="I68">
        <v>23888</v>
      </c>
      <c r="J68" s="2">
        <v>5933.44</v>
      </c>
    </row>
    <row r="69" spans="1:10" x14ac:dyDescent="0.3">
      <c r="A69" t="s">
        <v>77</v>
      </c>
      <c r="B69" s="1">
        <v>45109</v>
      </c>
      <c r="C69" t="s">
        <v>1212</v>
      </c>
      <c r="D69" t="s">
        <v>1218</v>
      </c>
      <c r="E69" t="s">
        <v>1219</v>
      </c>
      <c r="F69" t="s">
        <v>1223</v>
      </c>
      <c r="G69">
        <v>8</v>
      </c>
      <c r="H69">
        <v>4332</v>
      </c>
      <c r="I69">
        <v>34656</v>
      </c>
      <c r="J69" s="2">
        <v>4178.18</v>
      </c>
    </row>
    <row r="70" spans="1:10" x14ac:dyDescent="0.3">
      <c r="A70" t="s">
        <v>78</v>
      </c>
      <c r="B70" s="1">
        <v>45143</v>
      </c>
      <c r="C70" t="s">
        <v>1211</v>
      </c>
      <c r="D70" t="s">
        <v>1215</v>
      </c>
      <c r="E70" t="s">
        <v>1219</v>
      </c>
      <c r="F70" t="s">
        <v>1232</v>
      </c>
      <c r="G70">
        <v>1</v>
      </c>
      <c r="H70">
        <v>4152</v>
      </c>
      <c r="I70">
        <v>4152</v>
      </c>
      <c r="J70" s="2">
        <v>688.79</v>
      </c>
    </row>
    <row r="71" spans="1:10" x14ac:dyDescent="0.3">
      <c r="A71" t="s">
        <v>79</v>
      </c>
      <c r="B71" s="1">
        <v>45002</v>
      </c>
      <c r="C71" t="s">
        <v>1212</v>
      </c>
      <c r="D71" t="s">
        <v>1216</v>
      </c>
      <c r="E71" t="s">
        <v>1219</v>
      </c>
      <c r="F71" t="s">
        <v>1238</v>
      </c>
      <c r="G71">
        <v>1</v>
      </c>
      <c r="H71">
        <v>595</v>
      </c>
      <c r="I71">
        <v>595</v>
      </c>
      <c r="J71" s="2">
        <v>144.56</v>
      </c>
    </row>
    <row r="72" spans="1:10" x14ac:dyDescent="0.3">
      <c r="A72" t="s">
        <v>80</v>
      </c>
      <c r="B72" s="1">
        <v>44995</v>
      </c>
      <c r="C72" t="s">
        <v>1210</v>
      </c>
      <c r="D72" t="s">
        <v>1216</v>
      </c>
      <c r="E72" t="s">
        <v>1220</v>
      </c>
      <c r="F72" t="s">
        <v>1237</v>
      </c>
      <c r="G72">
        <v>4</v>
      </c>
      <c r="H72">
        <v>3777</v>
      </c>
      <c r="I72">
        <v>15108</v>
      </c>
      <c r="J72" s="2">
        <v>2831.43</v>
      </c>
    </row>
    <row r="73" spans="1:10" x14ac:dyDescent="0.3">
      <c r="A73" t="s">
        <v>81</v>
      </c>
      <c r="B73" s="1">
        <v>44983</v>
      </c>
      <c r="C73" t="s">
        <v>1210</v>
      </c>
      <c r="D73" t="s">
        <v>1215</v>
      </c>
      <c r="E73" t="s">
        <v>1222</v>
      </c>
      <c r="F73" t="s">
        <v>1236</v>
      </c>
      <c r="G73">
        <v>5</v>
      </c>
      <c r="H73">
        <v>3836</v>
      </c>
      <c r="I73">
        <v>19180</v>
      </c>
      <c r="J73" s="2">
        <v>4115.42</v>
      </c>
    </row>
    <row r="74" spans="1:10" x14ac:dyDescent="0.3">
      <c r="A74" t="s">
        <v>82</v>
      </c>
      <c r="B74" s="1">
        <v>45089</v>
      </c>
      <c r="C74" t="s">
        <v>1210</v>
      </c>
      <c r="D74" t="s">
        <v>1215</v>
      </c>
      <c r="E74" t="s">
        <v>1222</v>
      </c>
      <c r="F74" t="s">
        <v>1230</v>
      </c>
      <c r="G74">
        <v>7</v>
      </c>
      <c r="H74">
        <v>3494</v>
      </c>
      <c r="I74">
        <v>24458</v>
      </c>
      <c r="J74" s="2">
        <v>2188.94</v>
      </c>
    </row>
    <row r="75" spans="1:10" x14ac:dyDescent="0.3">
      <c r="A75" t="s">
        <v>83</v>
      </c>
      <c r="B75" s="1">
        <v>45179</v>
      </c>
      <c r="C75" t="s">
        <v>1211</v>
      </c>
      <c r="D75" t="s">
        <v>1215</v>
      </c>
      <c r="E75" t="s">
        <v>1219</v>
      </c>
      <c r="F75" t="s">
        <v>1238</v>
      </c>
      <c r="G75">
        <v>2</v>
      </c>
      <c r="H75">
        <v>1153</v>
      </c>
      <c r="I75">
        <v>2306</v>
      </c>
      <c r="J75" s="2">
        <v>426.83</v>
      </c>
    </row>
    <row r="76" spans="1:10" x14ac:dyDescent="0.3">
      <c r="A76" t="s">
        <v>84</v>
      </c>
      <c r="B76" s="1">
        <v>45120</v>
      </c>
      <c r="C76" t="s">
        <v>1212</v>
      </c>
      <c r="D76" t="s">
        <v>1215</v>
      </c>
      <c r="E76" t="s">
        <v>1221</v>
      </c>
      <c r="F76" t="s">
        <v>1229</v>
      </c>
      <c r="G76">
        <v>9</v>
      </c>
      <c r="H76">
        <v>3193</v>
      </c>
      <c r="I76">
        <v>28737</v>
      </c>
      <c r="J76" s="2">
        <v>6656.14</v>
      </c>
    </row>
    <row r="77" spans="1:10" x14ac:dyDescent="0.3">
      <c r="A77" t="s">
        <v>85</v>
      </c>
      <c r="B77" s="1">
        <v>45247</v>
      </c>
      <c r="C77" t="s">
        <v>1211</v>
      </c>
      <c r="D77" t="s">
        <v>1216</v>
      </c>
      <c r="E77" t="s">
        <v>1222</v>
      </c>
      <c r="F77" t="s">
        <v>1230</v>
      </c>
      <c r="G77">
        <v>3</v>
      </c>
      <c r="H77">
        <v>3919</v>
      </c>
      <c r="I77">
        <v>11757</v>
      </c>
      <c r="J77" s="2">
        <v>1688.61</v>
      </c>
    </row>
    <row r="78" spans="1:10" x14ac:dyDescent="0.3">
      <c r="A78" t="s">
        <v>86</v>
      </c>
      <c r="B78" s="1">
        <v>45218</v>
      </c>
      <c r="C78" t="s">
        <v>1211</v>
      </c>
      <c r="D78" t="s">
        <v>1216</v>
      </c>
      <c r="E78" t="s">
        <v>1222</v>
      </c>
      <c r="F78" t="s">
        <v>1227</v>
      </c>
      <c r="G78">
        <v>7</v>
      </c>
      <c r="H78">
        <v>4512</v>
      </c>
      <c r="I78">
        <v>31584</v>
      </c>
      <c r="J78" s="2">
        <v>5704.74</v>
      </c>
    </row>
    <row r="79" spans="1:10" x14ac:dyDescent="0.3">
      <c r="A79" t="s">
        <v>87</v>
      </c>
      <c r="B79" s="1">
        <v>45272</v>
      </c>
      <c r="C79" t="s">
        <v>1210</v>
      </c>
      <c r="D79" t="s">
        <v>1214</v>
      </c>
      <c r="E79" t="s">
        <v>1219</v>
      </c>
      <c r="G79">
        <v>6</v>
      </c>
      <c r="H79">
        <v>2414</v>
      </c>
      <c r="I79">
        <v>14484</v>
      </c>
      <c r="J79" s="2">
        <v>2203.27</v>
      </c>
    </row>
    <row r="80" spans="1:10" x14ac:dyDescent="0.3">
      <c r="A80" t="s">
        <v>88</v>
      </c>
      <c r="B80" s="1">
        <v>45074</v>
      </c>
      <c r="C80" t="s">
        <v>1213</v>
      </c>
      <c r="D80" t="s">
        <v>1215</v>
      </c>
      <c r="E80" t="s">
        <v>1222</v>
      </c>
      <c r="F80" t="s">
        <v>1234</v>
      </c>
      <c r="G80">
        <v>2</v>
      </c>
      <c r="H80">
        <v>1443</v>
      </c>
      <c r="I80">
        <v>2886</v>
      </c>
      <c r="J80" s="2">
        <v>511.26</v>
      </c>
    </row>
    <row r="81" spans="1:10" x14ac:dyDescent="0.3">
      <c r="A81" t="s">
        <v>89</v>
      </c>
      <c r="B81" s="1">
        <v>45274</v>
      </c>
      <c r="C81" t="s">
        <v>1211</v>
      </c>
      <c r="D81" t="s">
        <v>1218</v>
      </c>
      <c r="E81" t="s">
        <v>1219</v>
      </c>
      <c r="F81" t="s">
        <v>1232</v>
      </c>
      <c r="G81">
        <v>7</v>
      </c>
      <c r="H81">
        <v>3272</v>
      </c>
      <c r="I81">
        <v>22904</v>
      </c>
      <c r="J81" s="2">
        <v>4484.07</v>
      </c>
    </row>
    <row r="82" spans="1:10" x14ac:dyDescent="0.3">
      <c r="A82" t="s">
        <v>90</v>
      </c>
      <c r="B82" s="1">
        <v>45043</v>
      </c>
      <c r="C82" t="s">
        <v>1211</v>
      </c>
      <c r="D82" t="s">
        <v>1217</v>
      </c>
      <c r="E82" t="s">
        <v>1219</v>
      </c>
      <c r="F82" t="s">
        <v>1223</v>
      </c>
      <c r="G82">
        <v>1</v>
      </c>
      <c r="H82">
        <v>1023</v>
      </c>
      <c r="I82">
        <v>1023</v>
      </c>
      <c r="J82" s="2">
        <v>173.73</v>
      </c>
    </row>
    <row r="83" spans="1:10" x14ac:dyDescent="0.3">
      <c r="A83" t="s">
        <v>91</v>
      </c>
      <c r="B83" s="1">
        <v>45129</v>
      </c>
      <c r="C83" t="s">
        <v>1213</v>
      </c>
      <c r="D83" t="s">
        <v>1215</v>
      </c>
      <c r="E83" t="s">
        <v>1221</v>
      </c>
      <c r="F83" t="s">
        <v>1231</v>
      </c>
      <c r="G83">
        <v>5</v>
      </c>
      <c r="H83">
        <v>4375</v>
      </c>
      <c r="I83">
        <v>21875</v>
      </c>
      <c r="J83" s="2">
        <v>3712.39</v>
      </c>
    </row>
    <row r="84" spans="1:10" x14ac:dyDescent="0.3">
      <c r="A84" t="s">
        <v>92</v>
      </c>
      <c r="B84" s="1">
        <v>45159</v>
      </c>
      <c r="C84" t="s">
        <v>1212</v>
      </c>
      <c r="D84" t="s">
        <v>1218</v>
      </c>
      <c r="E84" t="s">
        <v>1221</v>
      </c>
      <c r="F84" t="s">
        <v>1235</v>
      </c>
      <c r="G84">
        <v>3</v>
      </c>
      <c r="H84">
        <v>3712</v>
      </c>
      <c r="I84">
        <v>11136</v>
      </c>
      <c r="J84" s="2">
        <v>1881.17</v>
      </c>
    </row>
    <row r="85" spans="1:10" x14ac:dyDescent="0.3">
      <c r="A85" t="s">
        <v>93</v>
      </c>
      <c r="B85" s="1">
        <v>44938</v>
      </c>
      <c r="C85" t="s">
        <v>1211</v>
      </c>
      <c r="D85" t="s">
        <v>1216</v>
      </c>
      <c r="E85" t="s">
        <v>1222</v>
      </c>
      <c r="F85" t="s">
        <v>1230</v>
      </c>
      <c r="G85">
        <v>6</v>
      </c>
      <c r="H85">
        <v>3530</v>
      </c>
      <c r="I85">
        <v>21180</v>
      </c>
      <c r="J85" s="2">
        <v>4939.1099999999997</v>
      </c>
    </row>
    <row r="86" spans="1:10" x14ac:dyDescent="0.3">
      <c r="A86" t="s">
        <v>94</v>
      </c>
      <c r="B86" s="1">
        <v>45016</v>
      </c>
      <c r="C86" t="s">
        <v>1213</v>
      </c>
      <c r="D86" t="s">
        <v>1217</v>
      </c>
      <c r="E86" t="s">
        <v>1221</v>
      </c>
      <c r="F86" t="s">
        <v>1226</v>
      </c>
      <c r="G86">
        <v>5</v>
      </c>
      <c r="H86">
        <v>1345</v>
      </c>
      <c r="I86">
        <v>6725</v>
      </c>
      <c r="J86" s="2">
        <v>753.07</v>
      </c>
    </row>
    <row r="87" spans="1:10" x14ac:dyDescent="0.3">
      <c r="A87" t="s">
        <v>95</v>
      </c>
      <c r="B87" s="1">
        <v>45071</v>
      </c>
      <c r="C87" t="s">
        <v>1212</v>
      </c>
      <c r="D87" t="s">
        <v>1218</v>
      </c>
      <c r="E87" t="s">
        <v>1221</v>
      </c>
      <c r="F87" t="s">
        <v>1229</v>
      </c>
      <c r="G87">
        <v>5</v>
      </c>
      <c r="H87">
        <v>4336</v>
      </c>
      <c r="I87">
        <v>21680</v>
      </c>
      <c r="J87" s="2">
        <v>2692.47</v>
      </c>
    </row>
    <row r="88" spans="1:10" x14ac:dyDescent="0.3">
      <c r="A88" t="s">
        <v>96</v>
      </c>
      <c r="B88" s="1">
        <v>45182</v>
      </c>
      <c r="C88" t="s">
        <v>1212</v>
      </c>
      <c r="D88" t="s">
        <v>1218</v>
      </c>
      <c r="E88" t="s">
        <v>1222</v>
      </c>
      <c r="F88" t="s">
        <v>1236</v>
      </c>
      <c r="G88">
        <v>3</v>
      </c>
      <c r="H88">
        <v>3524</v>
      </c>
      <c r="I88">
        <v>10572</v>
      </c>
      <c r="J88" s="2">
        <v>2536.12</v>
      </c>
    </row>
    <row r="89" spans="1:10" x14ac:dyDescent="0.3">
      <c r="A89" t="s">
        <v>97</v>
      </c>
      <c r="B89" s="1">
        <v>45291</v>
      </c>
      <c r="C89" t="s">
        <v>1212</v>
      </c>
      <c r="D89" t="s">
        <v>1218</v>
      </c>
      <c r="E89" t="s">
        <v>1220</v>
      </c>
      <c r="F89" t="s">
        <v>1225</v>
      </c>
      <c r="G89">
        <v>8</v>
      </c>
      <c r="H89">
        <v>997</v>
      </c>
      <c r="I89">
        <v>7976</v>
      </c>
      <c r="J89" s="2">
        <v>1812.39</v>
      </c>
    </row>
    <row r="90" spans="1:10" x14ac:dyDescent="0.3">
      <c r="A90" t="s">
        <v>98</v>
      </c>
      <c r="B90" s="1">
        <v>45193</v>
      </c>
      <c r="C90" t="s">
        <v>1212</v>
      </c>
      <c r="D90" t="s">
        <v>1217</v>
      </c>
      <c r="E90" t="s">
        <v>1220</v>
      </c>
      <c r="F90" t="s">
        <v>1228</v>
      </c>
      <c r="G90">
        <v>2</v>
      </c>
      <c r="H90">
        <v>423</v>
      </c>
      <c r="I90">
        <v>846</v>
      </c>
      <c r="J90" s="2">
        <v>209.38</v>
      </c>
    </row>
    <row r="91" spans="1:10" x14ac:dyDescent="0.3">
      <c r="A91" t="s">
        <v>99</v>
      </c>
      <c r="B91" s="1">
        <v>45024</v>
      </c>
      <c r="C91" t="s">
        <v>1212</v>
      </c>
      <c r="D91" t="s">
        <v>1214</v>
      </c>
      <c r="E91" t="s">
        <v>1219</v>
      </c>
      <c r="F91" t="s">
        <v>1232</v>
      </c>
      <c r="G91">
        <v>6</v>
      </c>
      <c r="H91">
        <v>4984</v>
      </c>
      <c r="I91">
        <v>29904</v>
      </c>
      <c r="J91" s="2">
        <v>6654.11</v>
      </c>
    </row>
    <row r="92" spans="1:10" x14ac:dyDescent="0.3">
      <c r="A92" t="s">
        <v>100</v>
      </c>
      <c r="B92" s="1">
        <v>45123</v>
      </c>
      <c r="C92" t="s">
        <v>1210</v>
      </c>
      <c r="D92" t="s">
        <v>1215</v>
      </c>
      <c r="E92" t="s">
        <v>1219</v>
      </c>
      <c r="F92" t="s">
        <v>1232</v>
      </c>
      <c r="G92">
        <v>5</v>
      </c>
      <c r="H92">
        <v>4813</v>
      </c>
      <c r="I92">
        <v>24065</v>
      </c>
      <c r="J92" s="2">
        <v>4755.04</v>
      </c>
    </row>
    <row r="93" spans="1:10" x14ac:dyDescent="0.3">
      <c r="A93" t="s">
        <v>101</v>
      </c>
      <c r="B93" s="1">
        <v>45009</v>
      </c>
      <c r="C93" t="s">
        <v>1212</v>
      </c>
      <c r="D93" t="s">
        <v>1215</v>
      </c>
      <c r="E93" t="s">
        <v>1220</v>
      </c>
      <c r="F93" t="s">
        <v>1237</v>
      </c>
      <c r="G93">
        <v>5</v>
      </c>
      <c r="H93">
        <v>3836</v>
      </c>
      <c r="I93">
        <v>19180</v>
      </c>
      <c r="J93" s="2">
        <v>4614.8999999999996</v>
      </c>
    </row>
    <row r="94" spans="1:10" x14ac:dyDescent="0.3">
      <c r="A94" t="s">
        <v>102</v>
      </c>
      <c r="B94" s="1">
        <v>45186</v>
      </c>
      <c r="C94" t="s">
        <v>1211</v>
      </c>
      <c r="D94" t="s">
        <v>1218</v>
      </c>
      <c r="E94" t="s">
        <v>1220</v>
      </c>
      <c r="F94" t="s">
        <v>1228</v>
      </c>
      <c r="G94">
        <v>1</v>
      </c>
      <c r="H94">
        <v>4346</v>
      </c>
      <c r="I94">
        <v>4346</v>
      </c>
      <c r="J94" s="2">
        <v>550.66</v>
      </c>
    </row>
    <row r="95" spans="1:10" x14ac:dyDescent="0.3">
      <c r="A95" t="s">
        <v>103</v>
      </c>
      <c r="B95" s="1">
        <v>44965</v>
      </c>
      <c r="C95" t="s">
        <v>1211</v>
      </c>
      <c r="D95" t="s">
        <v>1217</v>
      </c>
      <c r="E95" t="s">
        <v>1222</v>
      </c>
      <c r="F95" t="s">
        <v>1236</v>
      </c>
      <c r="G95">
        <v>2</v>
      </c>
      <c r="H95">
        <v>3619</v>
      </c>
      <c r="I95">
        <v>7238</v>
      </c>
      <c r="J95" s="2">
        <v>909.63</v>
      </c>
    </row>
    <row r="96" spans="1:10" x14ac:dyDescent="0.3">
      <c r="A96" t="s">
        <v>104</v>
      </c>
      <c r="B96" s="1">
        <v>45194</v>
      </c>
      <c r="C96" t="s">
        <v>1212</v>
      </c>
      <c r="D96" t="s">
        <v>1216</v>
      </c>
      <c r="E96" t="s">
        <v>1220</v>
      </c>
      <c r="F96" t="s">
        <v>1225</v>
      </c>
      <c r="G96">
        <v>6</v>
      </c>
      <c r="H96">
        <v>970</v>
      </c>
      <c r="I96">
        <v>5820</v>
      </c>
      <c r="J96" s="2">
        <v>980.25</v>
      </c>
    </row>
    <row r="97" spans="1:10" x14ac:dyDescent="0.3">
      <c r="A97" t="s">
        <v>105</v>
      </c>
      <c r="B97" s="1">
        <v>45133</v>
      </c>
      <c r="C97" t="s">
        <v>1212</v>
      </c>
      <c r="D97" t="s">
        <v>1215</v>
      </c>
      <c r="E97" t="s">
        <v>1222</v>
      </c>
      <c r="F97" t="s">
        <v>1230</v>
      </c>
      <c r="G97">
        <v>9</v>
      </c>
      <c r="H97">
        <v>4919</v>
      </c>
      <c r="I97">
        <v>44271</v>
      </c>
      <c r="J97" s="2">
        <v>7154.54</v>
      </c>
    </row>
    <row r="98" spans="1:10" x14ac:dyDescent="0.3">
      <c r="A98" t="s">
        <v>106</v>
      </c>
      <c r="B98" s="1">
        <v>45178</v>
      </c>
      <c r="C98" t="s">
        <v>1211</v>
      </c>
      <c r="D98" t="s">
        <v>1217</v>
      </c>
      <c r="E98" t="s">
        <v>1220</v>
      </c>
      <c r="F98" t="s">
        <v>1225</v>
      </c>
      <c r="G98">
        <v>3</v>
      </c>
      <c r="H98">
        <v>2350</v>
      </c>
      <c r="I98">
        <v>7050</v>
      </c>
      <c r="J98" s="2">
        <v>727.44</v>
      </c>
    </row>
    <row r="99" spans="1:10" x14ac:dyDescent="0.3">
      <c r="A99" t="s">
        <v>107</v>
      </c>
      <c r="B99" s="1">
        <v>45175</v>
      </c>
      <c r="C99" t="s">
        <v>1211</v>
      </c>
      <c r="D99" t="s">
        <v>1218</v>
      </c>
      <c r="E99" t="s">
        <v>1220</v>
      </c>
      <c r="F99" t="s">
        <v>1225</v>
      </c>
      <c r="G99">
        <v>3</v>
      </c>
      <c r="H99">
        <v>4742</v>
      </c>
      <c r="I99">
        <v>14226</v>
      </c>
      <c r="J99" s="2">
        <v>2894.81</v>
      </c>
    </row>
    <row r="100" spans="1:10" x14ac:dyDescent="0.3">
      <c r="A100" t="s">
        <v>108</v>
      </c>
      <c r="B100" s="1">
        <v>45059</v>
      </c>
      <c r="C100" t="s">
        <v>1212</v>
      </c>
      <c r="D100" t="s">
        <v>1216</v>
      </c>
      <c r="E100" t="s">
        <v>1221</v>
      </c>
      <c r="F100" t="s">
        <v>1235</v>
      </c>
      <c r="G100">
        <v>7</v>
      </c>
      <c r="H100">
        <v>3377</v>
      </c>
      <c r="I100">
        <v>23639</v>
      </c>
      <c r="J100" s="2">
        <v>5356.64</v>
      </c>
    </row>
    <row r="101" spans="1:10" x14ac:dyDescent="0.3">
      <c r="A101" t="s">
        <v>109</v>
      </c>
      <c r="B101" s="1">
        <v>44995</v>
      </c>
      <c r="C101" t="s">
        <v>1211</v>
      </c>
      <c r="D101" t="s">
        <v>1215</v>
      </c>
      <c r="E101" t="s">
        <v>1220</v>
      </c>
      <c r="F101" t="s">
        <v>1224</v>
      </c>
      <c r="G101">
        <v>1</v>
      </c>
      <c r="H101">
        <v>3032</v>
      </c>
      <c r="I101">
        <v>3032</v>
      </c>
      <c r="J101" s="2">
        <v>375.67</v>
      </c>
    </row>
    <row r="102" spans="1:10" x14ac:dyDescent="0.3">
      <c r="A102" t="s">
        <v>110</v>
      </c>
      <c r="B102" s="1">
        <v>45262</v>
      </c>
      <c r="C102" t="s">
        <v>1210</v>
      </c>
      <c r="D102" t="s">
        <v>1214</v>
      </c>
      <c r="E102" t="s">
        <v>1220</v>
      </c>
      <c r="F102" t="s">
        <v>1228</v>
      </c>
      <c r="G102">
        <v>3</v>
      </c>
      <c r="H102">
        <v>960</v>
      </c>
      <c r="I102">
        <v>2880</v>
      </c>
      <c r="J102" s="2">
        <v>455.67</v>
      </c>
    </row>
    <row r="103" spans="1:10" x14ac:dyDescent="0.3">
      <c r="A103" t="s">
        <v>111</v>
      </c>
      <c r="B103" s="1">
        <v>45110</v>
      </c>
      <c r="C103" t="s">
        <v>1212</v>
      </c>
      <c r="D103" t="s">
        <v>1214</v>
      </c>
      <c r="E103" t="s">
        <v>1220</v>
      </c>
      <c r="F103" t="s">
        <v>1224</v>
      </c>
      <c r="G103">
        <v>8</v>
      </c>
      <c r="H103">
        <v>1099</v>
      </c>
      <c r="I103">
        <v>8792</v>
      </c>
      <c r="J103" s="2">
        <v>975.21</v>
      </c>
    </row>
    <row r="104" spans="1:10" x14ac:dyDescent="0.3">
      <c r="A104" t="s">
        <v>112</v>
      </c>
      <c r="B104" s="1">
        <v>45203</v>
      </c>
      <c r="C104" t="s">
        <v>1212</v>
      </c>
      <c r="D104" t="s">
        <v>1217</v>
      </c>
      <c r="E104" t="s">
        <v>1221</v>
      </c>
      <c r="F104" t="s">
        <v>1235</v>
      </c>
      <c r="G104">
        <v>2</v>
      </c>
      <c r="H104">
        <v>4356</v>
      </c>
      <c r="I104">
        <v>8712</v>
      </c>
      <c r="J104" s="2">
        <v>981.75</v>
      </c>
    </row>
    <row r="105" spans="1:10" x14ac:dyDescent="0.3">
      <c r="A105" t="s">
        <v>113</v>
      </c>
      <c r="B105" s="1">
        <v>44960</v>
      </c>
      <c r="C105" t="s">
        <v>1212</v>
      </c>
      <c r="D105" t="s">
        <v>1217</v>
      </c>
      <c r="E105" t="s">
        <v>1221</v>
      </c>
      <c r="F105" t="s">
        <v>1229</v>
      </c>
      <c r="G105">
        <v>6</v>
      </c>
      <c r="H105">
        <v>723</v>
      </c>
      <c r="I105">
        <v>4338</v>
      </c>
      <c r="J105" s="2">
        <v>499.2</v>
      </c>
    </row>
    <row r="106" spans="1:10" x14ac:dyDescent="0.3">
      <c r="A106" t="s">
        <v>114</v>
      </c>
      <c r="B106" s="1">
        <v>45140</v>
      </c>
      <c r="C106" t="s">
        <v>1210</v>
      </c>
      <c r="D106" t="s">
        <v>1214</v>
      </c>
      <c r="E106" t="s">
        <v>1222</v>
      </c>
      <c r="F106" t="s">
        <v>1227</v>
      </c>
      <c r="G106">
        <v>9</v>
      </c>
      <c r="H106">
        <v>2496</v>
      </c>
      <c r="I106">
        <v>22464</v>
      </c>
      <c r="J106" s="2">
        <v>3634.56</v>
      </c>
    </row>
    <row r="107" spans="1:10" x14ac:dyDescent="0.3">
      <c r="A107" t="s">
        <v>115</v>
      </c>
      <c r="B107" s="1">
        <v>45179</v>
      </c>
      <c r="C107" t="s">
        <v>1213</v>
      </c>
      <c r="D107" t="s">
        <v>1217</v>
      </c>
      <c r="E107" t="s">
        <v>1219</v>
      </c>
      <c r="F107" t="s">
        <v>1223</v>
      </c>
      <c r="G107">
        <v>1</v>
      </c>
      <c r="H107">
        <v>2255</v>
      </c>
      <c r="I107">
        <v>2255</v>
      </c>
      <c r="J107" s="2">
        <v>467.25</v>
      </c>
    </row>
    <row r="108" spans="1:10" x14ac:dyDescent="0.3">
      <c r="A108" t="s">
        <v>116</v>
      </c>
      <c r="B108" s="1">
        <v>45113</v>
      </c>
      <c r="C108" t="s">
        <v>1213</v>
      </c>
      <c r="D108" t="s">
        <v>1214</v>
      </c>
      <c r="E108" t="s">
        <v>1221</v>
      </c>
      <c r="F108" t="s">
        <v>1235</v>
      </c>
      <c r="G108">
        <v>8</v>
      </c>
      <c r="H108">
        <v>564</v>
      </c>
      <c r="I108">
        <v>4512</v>
      </c>
      <c r="J108" s="2">
        <v>408.78</v>
      </c>
    </row>
    <row r="109" spans="1:10" x14ac:dyDescent="0.3">
      <c r="A109" t="s">
        <v>117</v>
      </c>
      <c r="B109" s="1">
        <v>45200</v>
      </c>
      <c r="C109" t="s">
        <v>1211</v>
      </c>
      <c r="D109" t="s">
        <v>1214</v>
      </c>
      <c r="E109" t="s">
        <v>1219</v>
      </c>
      <c r="F109" t="s">
        <v>1238</v>
      </c>
      <c r="G109">
        <v>7</v>
      </c>
      <c r="H109">
        <v>2997</v>
      </c>
      <c r="I109">
        <v>20979</v>
      </c>
      <c r="J109" s="2">
        <v>4351.7700000000004</v>
      </c>
    </row>
    <row r="110" spans="1:10" x14ac:dyDescent="0.3">
      <c r="A110" t="s">
        <v>118</v>
      </c>
      <c r="B110" s="1">
        <v>44965</v>
      </c>
      <c r="C110" t="s">
        <v>1212</v>
      </c>
      <c r="D110" t="s">
        <v>1218</v>
      </c>
      <c r="E110" t="s">
        <v>1219</v>
      </c>
      <c r="F110" t="s">
        <v>1238</v>
      </c>
      <c r="G110">
        <v>9</v>
      </c>
      <c r="H110">
        <v>4780</v>
      </c>
      <c r="I110">
        <v>43020</v>
      </c>
      <c r="J110" s="2">
        <v>4774.71</v>
      </c>
    </row>
    <row r="111" spans="1:10" x14ac:dyDescent="0.3">
      <c r="A111" t="s">
        <v>119</v>
      </c>
      <c r="B111" s="1">
        <v>44994</v>
      </c>
      <c r="C111" t="s">
        <v>1211</v>
      </c>
      <c r="D111" t="s">
        <v>1214</v>
      </c>
      <c r="E111" t="s">
        <v>1219</v>
      </c>
      <c r="F111" t="s">
        <v>1233</v>
      </c>
      <c r="G111">
        <v>9</v>
      </c>
      <c r="H111">
        <v>3796</v>
      </c>
      <c r="I111">
        <v>34164</v>
      </c>
      <c r="J111" s="2">
        <v>6180.63</v>
      </c>
    </row>
    <row r="112" spans="1:10" x14ac:dyDescent="0.3">
      <c r="A112" t="s">
        <v>120</v>
      </c>
      <c r="B112" s="1">
        <v>44960</v>
      </c>
      <c r="C112" t="s">
        <v>1210</v>
      </c>
      <c r="D112" t="s">
        <v>1218</v>
      </c>
      <c r="E112" t="s">
        <v>1222</v>
      </c>
      <c r="F112" t="s">
        <v>1234</v>
      </c>
      <c r="G112">
        <v>2</v>
      </c>
      <c r="H112">
        <v>2358</v>
      </c>
      <c r="I112">
        <v>4716</v>
      </c>
      <c r="J112" s="2">
        <v>845.64</v>
      </c>
    </row>
    <row r="113" spans="1:10" x14ac:dyDescent="0.3">
      <c r="A113" t="s">
        <v>121</v>
      </c>
      <c r="B113" s="1">
        <v>45208</v>
      </c>
      <c r="C113" t="s">
        <v>1213</v>
      </c>
      <c r="D113" t="s">
        <v>1217</v>
      </c>
      <c r="E113" t="s">
        <v>1221</v>
      </c>
      <c r="F113" t="s">
        <v>1235</v>
      </c>
      <c r="G113">
        <v>9</v>
      </c>
      <c r="H113">
        <v>2860</v>
      </c>
      <c r="I113">
        <v>25740</v>
      </c>
      <c r="J113" s="2">
        <v>3647.98</v>
      </c>
    </row>
    <row r="114" spans="1:10" x14ac:dyDescent="0.3">
      <c r="A114" t="s">
        <v>122</v>
      </c>
      <c r="B114" s="1">
        <v>45076</v>
      </c>
      <c r="C114" t="s">
        <v>1212</v>
      </c>
      <c r="D114" t="s">
        <v>1216</v>
      </c>
      <c r="E114" t="s">
        <v>1219</v>
      </c>
      <c r="F114" t="s">
        <v>1223</v>
      </c>
      <c r="G114">
        <v>6</v>
      </c>
      <c r="H114">
        <v>4012</v>
      </c>
      <c r="I114">
        <v>24072</v>
      </c>
      <c r="J114" s="2">
        <v>5746.65</v>
      </c>
    </row>
    <row r="115" spans="1:10" x14ac:dyDescent="0.3">
      <c r="A115" t="s">
        <v>123</v>
      </c>
      <c r="B115" s="1">
        <v>45169</v>
      </c>
      <c r="C115" t="s">
        <v>1210</v>
      </c>
      <c r="D115" t="s">
        <v>1215</v>
      </c>
      <c r="E115" t="s">
        <v>1220</v>
      </c>
      <c r="F115" t="s">
        <v>1237</v>
      </c>
      <c r="G115">
        <v>8</v>
      </c>
      <c r="H115">
        <v>3070</v>
      </c>
      <c r="I115">
        <v>24560</v>
      </c>
      <c r="J115" s="2">
        <v>5481.63</v>
      </c>
    </row>
    <row r="116" spans="1:10" x14ac:dyDescent="0.3">
      <c r="A116" t="s">
        <v>124</v>
      </c>
      <c r="B116" s="1">
        <v>44930</v>
      </c>
      <c r="C116" t="s">
        <v>1210</v>
      </c>
      <c r="D116" t="s">
        <v>1218</v>
      </c>
      <c r="E116" t="s">
        <v>1221</v>
      </c>
      <c r="F116" t="s">
        <v>1226</v>
      </c>
      <c r="G116">
        <v>6</v>
      </c>
      <c r="H116">
        <v>667</v>
      </c>
      <c r="I116">
        <v>4002</v>
      </c>
      <c r="J116" s="2">
        <v>979.73</v>
      </c>
    </row>
    <row r="117" spans="1:10" x14ac:dyDescent="0.3">
      <c r="A117" t="s">
        <v>125</v>
      </c>
      <c r="B117" s="1">
        <v>44952</v>
      </c>
      <c r="C117" t="s">
        <v>1210</v>
      </c>
      <c r="D117" t="s">
        <v>1215</v>
      </c>
      <c r="E117" t="s">
        <v>1220</v>
      </c>
      <c r="F117" t="s">
        <v>1224</v>
      </c>
      <c r="G117">
        <v>6</v>
      </c>
      <c r="H117">
        <v>4489</v>
      </c>
      <c r="I117">
        <v>26934</v>
      </c>
      <c r="J117" s="2">
        <v>4704.01</v>
      </c>
    </row>
    <row r="118" spans="1:10" x14ac:dyDescent="0.3">
      <c r="A118" t="s">
        <v>126</v>
      </c>
      <c r="B118" s="1">
        <v>45138</v>
      </c>
      <c r="C118" t="s">
        <v>1212</v>
      </c>
      <c r="D118" t="s">
        <v>1216</v>
      </c>
      <c r="E118" t="s">
        <v>1221</v>
      </c>
      <c r="F118" t="s">
        <v>1231</v>
      </c>
      <c r="G118">
        <v>6</v>
      </c>
      <c r="H118">
        <v>1341</v>
      </c>
      <c r="I118">
        <v>8046</v>
      </c>
      <c r="J118" s="2">
        <v>1616.14</v>
      </c>
    </row>
    <row r="119" spans="1:10" x14ac:dyDescent="0.3">
      <c r="A119" t="s">
        <v>127</v>
      </c>
      <c r="B119" s="1">
        <v>45219</v>
      </c>
      <c r="C119" t="s">
        <v>1211</v>
      </c>
      <c r="D119" t="s">
        <v>1214</v>
      </c>
      <c r="E119" t="s">
        <v>1222</v>
      </c>
      <c r="F119" t="s">
        <v>1236</v>
      </c>
      <c r="G119">
        <v>1</v>
      </c>
      <c r="H119">
        <v>4949</v>
      </c>
      <c r="I119">
        <v>4949</v>
      </c>
      <c r="J119" s="2">
        <v>638.75</v>
      </c>
    </row>
    <row r="120" spans="1:10" x14ac:dyDescent="0.3">
      <c r="A120" t="s">
        <v>128</v>
      </c>
      <c r="B120" s="1">
        <v>44936</v>
      </c>
      <c r="C120" t="s">
        <v>1212</v>
      </c>
      <c r="D120" t="s">
        <v>1217</v>
      </c>
      <c r="E120" t="s">
        <v>1219</v>
      </c>
      <c r="F120" t="s">
        <v>1223</v>
      </c>
      <c r="G120">
        <v>3</v>
      </c>
      <c r="H120">
        <v>3944</v>
      </c>
      <c r="I120">
        <v>11832</v>
      </c>
      <c r="J120" s="2">
        <v>1689.24</v>
      </c>
    </row>
    <row r="121" spans="1:10" x14ac:dyDescent="0.3">
      <c r="A121" t="s">
        <v>129</v>
      </c>
      <c r="B121" s="1">
        <v>45245</v>
      </c>
      <c r="C121" t="s">
        <v>1212</v>
      </c>
      <c r="D121" t="s">
        <v>1218</v>
      </c>
      <c r="E121" t="s">
        <v>1221</v>
      </c>
      <c r="F121" t="s">
        <v>1229</v>
      </c>
      <c r="G121">
        <v>8</v>
      </c>
      <c r="H121">
        <v>3913</v>
      </c>
      <c r="I121">
        <v>31304</v>
      </c>
      <c r="J121" s="2">
        <v>2971.93</v>
      </c>
    </row>
    <row r="122" spans="1:10" x14ac:dyDescent="0.3">
      <c r="A122" t="s">
        <v>130</v>
      </c>
      <c r="B122" s="1">
        <v>45021</v>
      </c>
      <c r="C122" t="s">
        <v>1212</v>
      </c>
      <c r="D122" t="s">
        <v>1215</v>
      </c>
      <c r="E122" t="s">
        <v>1222</v>
      </c>
      <c r="F122" t="s">
        <v>1234</v>
      </c>
      <c r="G122">
        <v>8</v>
      </c>
      <c r="H122">
        <v>2238</v>
      </c>
      <c r="I122">
        <v>17904</v>
      </c>
      <c r="J122" s="2">
        <v>3849.88</v>
      </c>
    </row>
    <row r="123" spans="1:10" x14ac:dyDescent="0.3">
      <c r="A123" t="s">
        <v>131</v>
      </c>
      <c r="B123" s="1">
        <v>45063</v>
      </c>
      <c r="C123" t="s">
        <v>1211</v>
      </c>
      <c r="D123" t="s">
        <v>1216</v>
      </c>
      <c r="E123" t="s">
        <v>1220</v>
      </c>
      <c r="F123" t="s">
        <v>1224</v>
      </c>
      <c r="G123">
        <v>2</v>
      </c>
      <c r="H123">
        <v>4629</v>
      </c>
      <c r="I123">
        <v>9258</v>
      </c>
      <c r="J123" s="2">
        <v>2208.9499999999998</v>
      </c>
    </row>
    <row r="124" spans="1:10" x14ac:dyDescent="0.3">
      <c r="A124" t="s">
        <v>132</v>
      </c>
      <c r="B124" s="1">
        <v>45246</v>
      </c>
      <c r="C124" t="s">
        <v>1212</v>
      </c>
      <c r="D124" t="s">
        <v>1214</v>
      </c>
      <c r="E124" t="s">
        <v>1219</v>
      </c>
      <c r="F124" t="s">
        <v>1238</v>
      </c>
      <c r="G124">
        <v>1</v>
      </c>
      <c r="H124">
        <v>3591</v>
      </c>
      <c r="I124">
        <v>3591</v>
      </c>
      <c r="J124" s="2">
        <v>637.98</v>
      </c>
    </row>
    <row r="125" spans="1:10" x14ac:dyDescent="0.3">
      <c r="A125" t="s">
        <v>133</v>
      </c>
      <c r="B125" s="1">
        <v>44988</v>
      </c>
      <c r="C125" t="s">
        <v>1213</v>
      </c>
      <c r="D125" t="s">
        <v>1218</v>
      </c>
      <c r="E125" t="s">
        <v>1222</v>
      </c>
      <c r="F125" t="s">
        <v>1234</v>
      </c>
      <c r="G125">
        <v>3</v>
      </c>
      <c r="H125">
        <v>3098</v>
      </c>
      <c r="I125">
        <v>9294</v>
      </c>
      <c r="J125" s="2">
        <v>1794.52</v>
      </c>
    </row>
    <row r="126" spans="1:10" x14ac:dyDescent="0.3">
      <c r="A126" t="s">
        <v>134</v>
      </c>
      <c r="B126" s="1">
        <v>45221</v>
      </c>
      <c r="C126" t="s">
        <v>1213</v>
      </c>
      <c r="D126" t="s">
        <v>1214</v>
      </c>
      <c r="E126" t="s">
        <v>1222</v>
      </c>
      <c r="F126" t="s">
        <v>1230</v>
      </c>
      <c r="G126">
        <v>9</v>
      </c>
      <c r="H126">
        <v>2649</v>
      </c>
      <c r="I126">
        <v>23841</v>
      </c>
      <c r="J126" s="2">
        <v>5216.93</v>
      </c>
    </row>
    <row r="127" spans="1:10" x14ac:dyDescent="0.3">
      <c r="A127" t="s">
        <v>135</v>
      </c>
      <c r="B127" s="1">
        <v>45079</v>
      </c>
      <c r="C127" t="s">
        <v>1212</v>
      </c>
      <c r="D127" t="s">
        <v>1218</v>
      </c>
      <c r="E127" t="s">
        <v>1222</v>
      </c>
      <c r="F127" t="s">
        <v>1230</v>
      </c>
      <c r="G127">
        <v>1</v>
      </c>
      <c r="H127">
        <v>4870</v>
      </c>
      <c r="I127">
        <v>4870</v>
      </c>
      <c r="J127" s="2">
        <v>805.8</v>
      </c>
    </row>
    <row r="128" spans="1:10" x14ac:dyDescent="0.3">
      <c r="A128" t="s">
        <v>136</v>
      </c>
      <c r="B128" s="1">
        <v>45030</v>
      </c>
      <c r="C128" t="s">
        <v>1210</v>
      </c>
      <c r="D128" t="s">
        <v>1214</v>
      </c>
      <c r="E128" t="s">
        <v>1219</v>
      </c>
      <c r="F128" t="s">
        <v>1238</v>
      </c>
      <c r="G128">
        <v>2</v>
      </c>
      <c r="H128">
        <v>2197</v>
      </c>
      <c r="I128">
        <v>4394</v>
      </c>
      <c r="J128" s="2">
        <v>401.28</v>
      </c>
    </row>
    <row r="129" spans="1:10" x14ac:dyDescent="0.3">
      <c r="A129" t="s">
        <v>137</v>
      </c>
      <c r="B129" s="1">
        <v>44941</v>
      </c>
      <c r="C129" t="s">
        <v>1210</v>
      </c>
      <c r="D129" t="s">
        <v>1215</v>
      </c>
      <c r="E129" t="s">
        <v>1220</v>
      </c>
      <c r="F129" t="s">
        <v>1225</v>
      </c>
      <c r="G129">
        <v>3</v>
      </c>
      <c r="H129">
        <v>1402</v>
      </c>
      <c r="I129">
        <v>4206</v>
      </c>
      <c r="J129" s="2">
        <v>575.94000000000005</v>
      </c>
    </row>
    <row r="130" spans="1:10" x14ac:dyDescent="0.3">
      <c r="A130" t="s">
        <v>138</v>
      </c>
      <c r="B130" s="1">
        <v>44964</v>
      </c>
      <c r="C130" t="s">
        <v>1212</v>
      </c>
      <c r="D130" t="s">
        <v>1218</v>
      </c>
      <c r="E130" t="s">
        <v>1222</v>
      </c>
      <c r="F130" t="s">
        <v>1236</v>
      </c>
      <c r="G130">
        <v>7</v>
      </c>
      <c r="H130">
        <v>1122</v>
      </c>
      <c r="I130">
        <v>7854</v>
      </c>
      <c r="J130" s="2">
        <v>1681.24</v>
      </c>
    </row>
    <row r="131" spans="1:10" x14ac:dyDescent="0.3">
      <c r="A131" t="s">
        <v>139</v>
      </c>
      <c r="B131" s="1">
        <v>45012</v>
      </c>
      <c r="C131" t="s">
        <v>1211</v>
      </c>
      <c r="D131" t="s">
        <v>1217</v>
      </c>
      <c r="E131" t="s">
        <v>1222</v>
      </c>
      <c r="F131" t="s">
        <v>1234</v>
      </c>
      <c r="G131">
        <v>7</v>
      </c>
      <c r="H131">
        <v>2536</v>
      </c>
      <c r="I131">
        <v>17752</v>
      </c>
      <c r="J131" s="2">
        <v>1521.36</v>
      </c>
    </row>
    <row r="132" spans="1:10" x14ac:dyDescent="0.3">
      <c r="A132" t="s">
        <v>140</v>
      </c>
      <c r="B132" s="1">
        <v>45229</v>
      </c>
      <c r="C132" t="s">
        <v>1213</v>
      </c>
      <c r="D132" t="s">
        <v>1215</v>
      </c>
      <c r="E132" t="s">
        <v>1222</v>
      </c>
      <c r="F132" t="s">
        <v>1227</v>
      </c>
      <c r="G132">
        <v>1</v>
      </c>
      <c r="H132">
        <v>3053</v>
      </c>
      <c r="I132">
        <v>3053</v>
      </c>
      <c r="J132" s="2">
        <v>522.67999999999995</v>
      </c>
    </row>
    <row r="133" spans="1:10" x14ac:dyDescent="0.3">
      <c r="A133" t="s">
        <v>141</v>
      </c>
      <c r="B133" s="1">
        <v>45083</v>
      </c>
      <c r="C133" t="s">
        <v>1210</v>
      </c>
      <c r="D133" t="s">
        <v>1216</v>
      </c>
      <c r="E133" t="s">
        <v>1221</v>
      </c>
      <c r="F133" t="s">
        <v>1226</v>
      </c>
      <c r="G133">
        <v>8</v>
      </c>
      <c r="H133">
        <v>3428</v>
      </c>
      <c r="I133">
        <v>27424</v>
      </c>
      <c r="J133" s="2">
        <v>4710.79</v>
      </c>
    </row>
    <row r="134" spans="1:10" x14ac:dyDescent="0.3">
      <c r="A134" t="s">
        <v>142</v>
      </c>
      <c r="B134" s="1">
        <v>45218</v>
      </c>
      <c r="C134" t="s">
        <v>1211</v>
      </c>
      <c r="D134" t="s">
        <v>1214</v>
      </c>
      <c r="E134" t="s">
        <v>1221</v>
      </c>
      <c r="F134" t="s">
        <v>1231</v>
      </c>
      <c r="G134">
        <v>2</v>
      </c>
      <c r="H134">
        <v>294</v>
      </c>
      <c r="I134">
        <v>588</v>
      </c>
      <c r="J134" s="2">
        <v>106.86</v>
      </c>
    </row>
    <row r="135" spans="1:10" x14ac:dyDescent="0.3">
      <c r="A135" t="s">
        <v>143</v>
      </c>
      <c r="B135" s="1">
        <v>45286</v>
      </c>
      <c r="C135" t="s">
        <v>1211</v>
      </c>
      <c r="D135" t="s">
        <v>1217</v>
      </c>
      <c r="E135" t="s">
        <v>1219</v>
      </c>
      <c r="F135" t="s">
        <v>1232</v>
      </c>
      <c r="G135">
        <v>4</v>
      </c>
      <c r="H135">
        <v>4306</v>
      </c>
      <c r="I135">
        <v>17224</v>
      </c>
      <c r="J135" s="2">
        <v>4186.17</v>
      </c>
    </row>
    <row r="136" spans="1:10" x14ac:dyDescent="0.3">
      <c r="A136" t="s">
        <v>144</v>
      </c>
      <c r="B136" s="1">
        <v>45037</v>
      </c>
      <c r="C136" t="s">
        <v>1213</v>
      </c>
      <c r="D136" t="s">
        <v>1216</v>
      </c>
      <c r="E136" t="s">
        <v>1220</v>
      </c>
      <c r="F136" t="s">
        <v>1237</v>
      </c>
      <c r="G136">
        <v>8</v>
      </c>
      <c r="H136">
        <v>3205</v>
      </c>
      <c r="I136">
        <v>25640</v>
      </c>
      <c r="J136" s="2">
        <v>2490.54</v>
      </c>
    </row>
    <row r="137" spans="1:10" x14ac:dyDescent="0.3">
      <c r="A137" t="s">
        <v>145</v>
      </c>
      <c r="B137" s="1">
        <v>45053</v>
      </c>
      <c r="C137" t="s">
        <v>1211</v>
      </c>
      <c r="D137" t="s">
        <v>1218</v>
      </c>
      <c r="E137" t="s">
        <v>1219</v>
      </c>
      <c r="F137" t="s">
        <v>1223</v>
      </c>
      <c r="G137">
        <v>4</v>
      </c>
      <c r="H137">
        <v>3135</v>
      </c>
      <c r="I137">
        <v>12540</v>
      </c>
      <c r="J137" s="2">
        <v>1052.28</v>
      </c>
    </row>
    <row r="138" spans="1:10" x14ac:dyDescent="0.3">
      <c r="A138" t="s">
        <v>146</v>
      </c>
      <c r="B138" s="1">
        <v>45222</v>
      </c>
      <c r="C138" t="s">
        <v>1212</v>
      </c>
      <c r="D138" t="s">
        <v>1214</v>
      </c>
      <c r="E138" t="s">
        <v>1221</v>
      </c>
      <c r="F138" t="s">
        <v>1235</v>
      </c>
      <c r="G138">
        <v>9</v>
      </c>
      <c r="H138">
        <v>4346</v>
      </c>
      <c r="I138">
        <v>39114</v>
      </c>
      <c r="J138" s="2">
        <v>8026.02</v>
      </c>
    </row>
    <row r="139" spans="1:10" x14ac:dyDescent="0.3">
      <c r="A139" t="s">
        <v>147</v>
      </c>
      <c r="B139" s="1">
        <v>45108</v>
      </c>
      <c r="C139" t="s">
        <v>1210</v>
      </c>
      <c r="D139" t="s">
        <v>1218</v>
      </c>
      <c r="E139" t="s">
        <v>1219</v>
      </c>
      <c r="F139" t="s">
        <v>1232</v>
      </c>
      <c r="G139">
        <v>5</v>
      </c>
      <c r="H139">
        <v>3676</v>
      </c>
      <c r="I139">
        <v>18380</v>
      </c>
      <c r="J139" s="2">
        <v>1987.59</v>
      </c>
    </row>
    <row r="140" spans="1:10" x14ac:dyDescent="0.3">
      <c r="A140" t="s">
        <v>148</v>
      </c>
      <c r="B140" s="1">
        <v>45075</v>
      </c>
      <c r="C140" t="s">
        <v>1210</v>
      </c>
      <c r="D140" t="s">
        <v>1218</v>
      </c>
      <c r="E140" t="s">
        <v>1222</v>
      </c>
      <c r="F140" t="s">
        <v>1227</v>
      </c>
      <c r="G140">
        <v>6</v>
      </c>
      <c r="H140">
        <v>4862</v>
      </c>
      <c r="I140">
        <v>29172</v>
      </c>
      <c r="J140" s="2">
        <v>3461.47</v>
      </c>
    </row>
    <row r="141" spans="1:10" x14ac:dyDescent="0.3">
      <c r="A141" t="s">
        <v>149</v>
      </c>
      <c r="B141" s="1">
        <v>45217</v>
      </c>
      <c r="C141" t="s">
        <v>1210</v>
      </c>
      <c r="D141" t="s">
        <v>1216</v>
      </c>
      <c r="E141" t="s">
        <v>1222</v>
      </c>
      <c r="F141" t="s">
        <v>1234</v>
      </c>
      <c r="G141">
        <v>4</v>
      </c>
      <c r="H141">
        <v>4412</v>
      </c>
      <c r="I141">
        <v>17648</v>
      </c>
      <c r="J141" s="2">
        <v>3223.1</v>
      </c>
    </row>
    <row r="142" spans="1:10" x14ac:dyDescent="0.3">
      <c r="A142" t="s">
        <v>150</v>
      </c>
      <c r="B142" s="1">
        <v>45273</v>
      </c>
      <c r="C142" t="s">
        <v>1212</v>
      </c>
      <c r="D142" t="s">
        <v>1214</v>
      </c>
      <c r="E142" t="s">
        <v>1222</v>
      </c>
      <c r="F142" t="s">
        <v>1230</v>
      </c>
      <c r="G142">
        <v>6</v>
      </c>
      <c r="H142">
        <v>585</v>
      </c>
      <c r="I142">
        <v>3510</v>
      </c>
      <c r="J142" s="2">
        <v>558.67999999999995</v>
      </c>
    </row>
    <row r="143" spans="1:10" x14ac:dyDescent="0.3">
      <c r="A143" t="s">
        <v>151</v>
      </c>
      <c r="B143" s="1">
        <v>45106</v>
      </c>
      <c r="C143" t="s">
        <v>1211</v>
      </c>
      <c r="D143" t="s">
        <v>1215</v>
      </c>
      <c r="E143" t="s">
        <v>1219</v>
      </c>
      <c r="F143" t="s">
        <v>1223</v>
      </c>
      <c r="G143">
        <v>3</v>
      </c>
      <c r="H143">
        <v>1405</v>
      </c>
      <c r="I143">
        <v>4215</v>
      </c>
      <c r="J143" s="2">
        <v>463.59</v>
      </c>
    </row>
    <row r="144" spans="1:10" x14ac:dyDescent="0.3">
      <c r="A144" t="s">
        <v>152</v>
      </c>
      <c r="B144" s="1">
        <v>45076</v>
      </c>
      <c r="C144" t="s">
        <v>1211</v>
      </c>
      <c r="D144" t="s">
        <v>1216</v>
      </c>
      <c r="E144" t="s">
        <v>1221</v>
      </c>
      <c r="F144" t="s">
        <v>1231</v>
      </c>
      <c r="G144">
        <v>1</v>
      </c>
      <c r="H144">
        <v>4580</v>
      </c>
      <c r="I144">
        <v>4580</v>
      </c>
      <c r="J144" s="2">
        <v>818.45</v>
      </c>
    </row>
    <row r="145" spans="1:10" x14ac:dyDescent="0.3">
      <c r="A145" t="s">
        <v>153</v>
      </c>
      <c r="B145" s="1">
        <v>45287</v>
      </c>
      <c r="C145" t="s">
        <v>1212</v>
      </c>
      <c r="D145" t="s">
        <v>1216</v>
      </c>
      <c r="E145" t="s">
        <v>1220</v>
      </c>
      <c r="F145" t="s">
        <v>1228</v>
      </c>
      <c r="G145">
        <v>1</v>
      </c>
      <c r="H145">
        <v>1166</v>
      </c>
      <c r="I145">
        <v>1166</v>
      </c>
      <c r="J145" s="2">
        <v>286.64999999999998</v>
      </c>
    </row>
    <row r="146" spans="1:10" x14ac:dyDescent="0.3">
      <c r="A146" t="s">
        <v>154</v>
      </c>
      <c r="B146" s="1">
        <v>45067</v>
      </c>
      <c r="C146" t="s">
        <v>1211</v>
      </c>
      <c r="D146" t="s">
        <v>1214</v>
      </c>
      <c r="E146" t="s">
        <v>1220</v>
      </c>
      <c r="F146" t="s">
        <v>1225</v>
      </c>
      <c r="G146">
        <v>8</v>
      </c>
      <c r="H146">
        <v>4622</v>
      </c>
      <c r="I146">
        <v>36976</v>
      </c>
      <c r="J146" s="2">
        <v>6700.62</v>
      </c>
    </row>
    <row r="147" spans="1:10" x14ac:dyDescent="0.3">
      <c r="A147" t="s">
        <v>155</v>
      </c>
      <c r="B147" s="1">
        <v>45211</v>
      </c>
      <c r="C147" t="s">
        <v>1212</v>
      </c>
      <c r="D147" t="s">
        <v>1215</v>
      </c>
      <c r="E147" t="s">
        <v>1219</v>
      </c>
      <c r="F147" t="s">
        <v>1223</v>
      </c>
      <c r="G147">
        <v>3</v>
      </c>
      <c r="H147">
        <v>3589</v>
      </c>
      <c r="I147">
        <v>10767</v>
      </c>
      <c r="J147" s="2">
        <v>1236.8499999999999</v>
      </c>
    </row>
    <row r="148" spans="1:10" x14ac:dyDescent="0.3">
      <c r="A148" t="s">
        <v>156</v>
      </c>
      <c r="B148" s="1">
        <v>45101</v>
      </c>
      <c r="C148" t="s">
        <v>1211</v>
      </c>
      <c r="D148" t="s">
        <v>1217</v>
      </c>
      <c r="E148" t="s">
        <v>1222</v>
      </c>
      <c r="F148" t="s">
        <v>1230</v>
      </c>
      <c r="G148">
        <v>8</v>
      </c>
      <c r="H148">
        <v>2265</v>
      </c>
      <c r="I148">
        <v>18120</v>
      </c>
      <c r="J148" s="2">
        <v>2355.38</v>
      </c>
    </row>
    <row r="149" spans="1:10" x14ac:dyDescent="0.3">
      <c r="A149" t="s">
        <v>157</v>
      </c>
      <c r="B149" s="1">
        <v>45245</v>
      </c>
      <c r="C149" t="s">
        <v>1213</v>
      </c>
      <c r="D149" t="s">
        <v>1218</v>
      </c>
      <c r="E149" t="s">
        <v>1220</v>
      </c>
      <c r="F149" t="s">
        <v>1224</v>
      </c>
      <c r="G149">
        <v>1</v>
      </c>
      <c r="H149">
        <v>2361</v>
      </c>
      <c r="I149">
        <v>2361</v>
      </c>
      <c r="J149" s="2">
        <v>388.37</v>
      </c>
    </row>
    <row r="150" spans="1:10" x14ac:dyDescent="0.3">
      <c r="A150" t="s">
        <v>158</v>
      </c>
      <c r="B150" s="1">
        <v>45088</v>
      </c>
      <c r="C150" t="s">
        <v>1213</v>
      </c>
      <c r="D150" t="s">
        <v>1218</v>
      </c>
      <c r="E150" t="s">
        <v>1221</v>
      </c>
      <c r="F150" t="s">
        <v>1231</v>
      </c>
      <c r="G150">
        <v>7</v>
      </c>
      <c r="H150">
        <v>1681</v>
      </c>
      <c r="I150">
        <v>11767</v>
      </c>
      <c r="J150" s="2">
        <v>2736.57</v>
      </c>
    </row>
    <row r="151" spans="1:10" x14ac:dyDescent="0.3">
      <c r="A151" t="s">
        <v>159</v>
      </c>
      <c r="B151" s="1">
        <v>45247</v>
      </c>
      <c r="C151" t="s">
        <v>1212</v>
      </c>
      <c r="D151" t="s">
        <v>1214</v>
      </c>
      <c r="E151" t="s">
        <v>1219</v>
      </c>
      <c r="F151" t="s">
        <v>1238</v>
      </c>
      <c r="G151">
        <v>2</v>
      </c>
      <c r="H151">
        <v>3662</v>
      </c>
      <c r="I151">
        <v>7324</v>
      </c>
      <c r="J151" s="2">
        <v>1406.33</v>
      </c>
    </row>
    <row r="152" spans="1:10" x14ac:dyDescent="0.3">
      <c r="A152" t="s">
        <v>160</v>
      </c>
      <c r="B152" s="1">
        <v>44977</v>
      </c>
      <c r="C152" t="s">
        <v>1212</v>
      </c>
      <c r="D152" t="s">
        <v>1216</v>
      </c>
      <c r="E152" t="s">
        <v>1221</v>
      </c>
      <c r="F152" t="s">
        <v>1235</v>
      </c>
      <c r="G152">
        <v>8</v>
      </c>
      <c r="H152">
        <v>3510</v>
      </c>
      <c r="I152">
        <v>28080</v>
      </c>
      <c r="J152" s="2">
        <v>4964.7</v>
      </c>
    </row>
    <row r="153" spans="1:10" x14ac:dyDescent="0.3">
      <c r="A153" t="s">
        <v>161</v>
      </c>
      <c r="B153" s="1">
        <v>45214</v>
      </c>
      <c r="C153" t="s">
        <v>1213</v>
      </c>
      <c r="D153" t="s">
        <v>1214</v>
      </c>
      <c r="E153" t="s">
        <v>1219</v>
      </c>
      <c r="F153" t="s">
        <v>1223</v>
      </c>
      <c r="G153">
        <v>2</v>
      </c>
      <c r="H153">
        <v>2343</v>
      </c>
      <c r="I153">
        <v>4686</v>
      </c>
      <c r="J153" s="2">
        <v>1162.52</v>
      </c>
    </row>
    <row r="154" spans="1:10" x14ac:dyDescent="0.3">
      <c r="A154" t="s">
        <v>162</v>
      </c>
      <c r="B154" s="1">
        <v>45149</v>
      </c>
      <c r="C154" t="s">
        <v>1210</v>
      </c>
      <c r="D154" t="s">
        <v>1217</v>
      </c>
      <c r="E154" t="s">
        <v>1221</v>
      </c>
      <c r="F154" t="s">
        <v>1226</v>
      </c>
      <c r="G154">
        <v>4</v>
      </c>
      <c r="H154">
        <v>364</v>
      </c>
      <c r="I154">
        <v>1456</v>
      </c>
      <c r="J154" s="2">
        <v>151.4</v>
      </c>
    </row>
    <row r="155" spans="1:10" x14ac:dyDescent="0.3">
      <c r="A155" t="s">
        <v>163</v>
      </c>
      <c r="B155" s="1">
        <v>45038</v>
      </c>
      <c r="C155" t="s">
        <v>1212</v>
      </c>
      <c r="D155" t="s">
        <v>1214</v>
      </c>
      <c r="E155" t="s">
        <v>1219</v>
      </c>
      <c r="F155" t="s">
        <v>1233</v>
      </c>
      <c r="G155">
        <v>7</v>
      </c>
      <c r="H155">
        <v>2398</v>
      </c>
      <c r="I155">
        <v>16786</v>
      </c>
      <c r="J155" s="2">
        <v>3763.12</v>
      </c>
    </row>
    <row r="156" spans="1:10" x14ac:dyDescent="0.3">
      <c r="A156" t="s">
        <v>164</v>
      </c>
      <c r="B156" s="1">
        <v>45123</v>
      </c>
      <c r="C156" t="s">
        <v>1213</v>
      </c>
      <c r="D156" t="s">
        <v>1214</v>
      </c>
      <c r="E156" t="s">
        <v>1221</v>
      </c>
      <c r="F156" t="s">
        <v>1231</v>
      </c>
      <c r="G156">
        <v>2</v>
      </c>
      <c r="H156">
        <v>713</v>
      </c>
      <c r="I156">
        <v>1426</v>
      </c>
      <c r="J156" s="2">
        <v>334.83</v>
      </c>
    </row>
    <row r="157" spans="1:10" x14ac:dyDescent="0.3">
      <c r="A157" t="s">
        <v>165</v>
      </c>
      <c r="B157" s="1">
        <v>44946</v>
      </c>
      <c r="C157" t="s">
        <v>1212</v>
      </c>
      <c r="D157" t="s">
        <v>1215</v>
      </c>
      <c r="E157" t="s">
        <v>1220</v>
      </c>
      <c r="G157">
        <v>2</v>
      </c>
      <c r="H157">
        <v>4766</v>
      </c>
      <c r="I157">
        <v>9532</v>
      </c>
      <c r="J157" s="2">
        <v>818.02</v>
      </c>
    </row>
    <row r="158" spans="1:10" x14ac:dyDescent="0.3">
      <c r="A158" t="s">
        <v>166</v>
      </c>
      <c r="B158" s="1">
        <v>45206</v>
      </c>
      <c r="C158" t="s">
        <v>1212</v>
      </c>
      <c r="D158" t="s">
        <v>1217</v>
      </c>
      <c r="E158" t="s">
        <v>1220</v>
      </c>
      <c r="F158" t="s">
        <v>1224</v>
      </c>
      <c r="G158">
        <v>9</v>
      </c>
      <c r="H158">
        <v>3777</v>
      </c>
      <c r="I158">
        <v>33993</v>
      </c>
      <c r="J158" s="2">
        <v>7132.17</v>
      </c>
    </row>
    <row r="159" spans="1:10" x14ac:dyDescent="0.3">
      <c r="A159" t="s">
        <v>167</v>
      </c>
      <c r="B159" s="1">
        <v>45041</v>
      </c>
      <c r="C159" t="s">
        <v>1212</v>
      </c>
      <c r="D159" t="s">
        <v>1218</v>
      </c>
      <c r="E159" t="s">
        <v>1220</v>
      </c>
      <c r="F159" t="s">
        <v>1224</v>
      </c>
      <c r="G159">
        <v>7</v>
      </c>
      <c r="H159">
        <v>4423</v>
      </c>
      <c r="I159">
        <v>30961</v>
      </c>
      <c r="J159" s="2">
        <v>3435.38</v>
      </c>
    </row>
    <row r="160" spans="1:10" x14ac:dyDescent="0.3">
      <c r="A160" t="s">
        <v>168</v>
      </c>
      <c r="B160" s="1">
        <v>45204</v>
      </c>
      <c r="C160" t="s">
        <v>1210</v>
      </c>
      <c r="D160" t="s">
        <v>1216</v>
      </c>
      <c r="E160" t="s">
        <v>1221</v>
      </c>
      <c r="F160" t="s">
        <v>1229</v>
      </c>
      <c r="G160">
        <v>9</v>
      </c>
      <c r="H160">
        <v>3630</v>
      </c>
      <c r="I160">
        <v>32670</v>
      </c>
      <c r="J160" s="2">
        <v>3824.48</v>
      </c>
    </row>
    <row r="161" spans="1:10" x14ac:dyDescent="0.3">
      <c r="A161" t="s">
        <v>169</v>
      </c>
      <c r="B161" s="1">
        <v>45252</v>
      </c>
      <c r="C161" t="s">
        <v>1211</v>
      </c>
      <c r="D161" t="s">
        <v>1215</v>
      </c>
      <c r="E161" t="s">
        <v>1220</v>
      </c>
      <c r="F161" t="s">
        <v>1225</v>
      </c>
      <c r="G161">
        <v>2</v>
      </c>
      <c r="H161">
        <v>3998</v>
      </c>
      <c r="I161">
        <v>7996</v>
      </c>
      <c r="J161" s="2">
        <v>1568.35</v>
      </c>
    </row>
    <row r="162" spans="1:10" x14ac:dyDescent="0.3">
      <c r="A162" t="s">
        <v>170</v>
      </c>
      <c r="B162" s="1">
        <v>45079</v>
      </c>
      <c r="C162" t="s">
        <v>1211</v>
      </c>
      <c r="D162" t="s">
        <v>1217</v>
      </c>
      <c r="E162" t="s">
        <v>1220</v>
      </c>
      <c r="F162" t="s">
        <v>1224</v>
      </c>
      <c r="G162">
        <v>9</v>
      </c>
      <c r="H162">
        <v>2281</v>
      </c>
      <c r="I162">
        <v>20529</v>
      </c>
      <c r="J162" s="2">
        <v>3576.36</v>
      </c>
    </row>
    <row r="163" spans="1:10" x14ac:dyDescent="0.3">
      <c r="A163" t="s">
        <v>171</v>
      </c>
      <c r="B163" s="1">
        <v>45239</v>
      </c>
      <c r="C163" t="s">
        <v>1210</v>
      </c>
      <c r="D163" t="s">
        <v>1214</v>
      </c>
      <c r="E163" t="s">
        <v>1221</v>
      </c>
      <c r="F163" t="s">
        <v>1235</v>
      </c>
      <c r="G163">
        <v>5</v>
      </c>
      <c r="H163">
        <v>541</v>
      </c>
      <c r="I163">
        <v>2705</v>
      </c>
      <c r="J163" s="2">
        <v>279.35000000000002</v>
      </c>
    </row>
    <row r="164" spans="1:10" x14ac:dyDescent="0.3">
      <c r="A164" t="s">
        <v>172</v>
      </c>
      <c r="B164" s="1">
        <v>45116</v>
      </c>
      <c r="C164" t="s">
        <v>1211</v>
      </c>
      <c r="D164" t="s">
        <v>1217</v>
      </c>
      <c r="E164" t="s">
        <v>1221</v>
      </c>
      <c r="F164" t="s">
        <v>1229</v>
      </c>
      <c r="G164">
        <v>9</v>
      </c>
      <c r="H164">
        <v>654</v>
      </c>
      <c r="I164">
        <v>5886</v>
      </c>
      <c r="J164" s="2">
        <v>1044.53</v>
      </c>
    </row>
    <row r="165" spans="1:10" x14ac:dyDescent="0.3">
      <c r="A165" t="s">
        <v>173</v>
      </c>
      <c r="B165" s="1">
        <v>45208</v>
      </c>
      <c r="C165" t="s">
        <v>1212</v>
      </c>
      <c r="D165" t="s">
        <v>1215</v>
      </c>
      <c r="E165" t="s">
        <v>1221</v>
      </c>
      <c r="F165" t="s">
        <v>1229</v>
      </c>
      <c r="G165">
        <v>1</v>
      </c>
      <c r="H165">
        <v>3066</v>
      </c>
      <c r="I165">
        <v>3066</v>
      </c>
      <c r="J165" s="2">
        <v>292.37</v>
      </c>
    </row>
    <row r="166" spans="1:10" x14ac:dyDescent="0.3">
      <c r="A166" t="s">
        <v>174</v>
      </c>
      <c r="B166" s="1">
        <v>45158</v>
      </c>
      <c r="C166" t="s">
        <v>1210</v>
      </c>
      <c r="D166" t="s">
        <v>1217</v>
      </c>
      <c r="E166" t="s">
        <v>1219</v>
      </c>
      <c r="F166" t="s">
        <v>1223</v>
      </c>
      <c r="G166">
        <v>4</v>
      </c>
      <c r="H166">
        <v>1336</v>
      </c>
      <c r="I166">
        <v>5344</v>
      </c>
      <c r="J166" s="2">
        <v>1083.02</v>
      </c>
    </row>
    <row r="167" spans="1:10" x14ac:dyDescent="0.3">
      <c r="A167" t="s">
        <v>175</v>
      </c>
      <c r="B167" s="1">
        <v>45215</v>
      </c>
      <c r="C167" t="s">
        <v>1211</v>
      </c>
      <c r="D167" t="s">
        <v>1216</v>
      </c>
      <c r="E167" t="s">
        <v>1219</v>
      </c>
      <c r="F167" t="s">
        <v>1238</v>
      </c>
      <c r="G167">
        <v>8</v>
      </c>
      <c r="H167">
        <v>4701</v>
      </c>
      <c r="I167">
        <v>37608</v>
      </c>
      <c r="J167" s="2">
        <v>7692.24</v>
      </c>
    </row>
    <row r="168" spans="1:10" x14ac:dyDescent="0.3">
      <c r="A168" t="s">
        <v>176</v>
      </c>
      <c r="B168" s="1">
        <v>45263</v>
      </c>
      <c r="C168" t="s">
        <v>1211</v>
      </c>
      <c r="D168" t="s">
        <v>1214</v>
      </c>
      <c r="E168" t="s">
        <v>1219</v>
      </c>
      <c r="F168" t="s">
        <v>1223</v>
      </c>
      <c r="G168">
        <v>3</v>
      </c>
      <c r="H168">
        <v>1962</v>
      </c>
      <c r="I168">
        <v>5886</v>
      </c>
      <c r="J168" s="2">
        <v>1312.93</v>
      </c>
    </row>
    <row r="169" spans="1:10" x14ac:dyDescent="0.3">
      <c r="A169" t="s">
        <v>177</v>
      </c>
      <c r="B169" s="1">
        <v>44999</v>
      </c>
      <c r="C169" t="s">
        <v>1212</v>
      </c>
      <c r="D169" t="s">
        <v>1218</v>
      </c>
      <c r="E169" t="s">
        <v>1222</v>
      </c>
      <c r="F169" t="s">
        <v>1227</v>
      </c>
      <c r="G169">
        <v>2</v>
      </c>
      <c r="H169">
        <v>353</v>
      </c>
      <c r="I169">
        <v>706</v>
      </c>
      <c r="J169" s="2">
        <v>113.4</v>
      </c>
    </row>
    <row r="170" spans="1:10" x14ac:dyDescent="0.3">
      <c r="A170" t="s">
        <v>178</v>
      </c>
      <c r="B170" s="1">
        <v>45057</v>
      </c>
      <c r="C170" t="s">
        <v>1211</v>
      </c>
      <c r="D170" t="s">
        <v>1215</v>
      </c>
      <c r="E170" t="s">
        <v>1222</v>
      </c>
      <c r="F170" t="s">
        <v>1234</v>
      </c>
      <c r="G170">
        <v>8</v>
      </c>
      <c r="H170">
        <v>4320</v>
      </c>
      <c r="I170">
        <v>34560</v>
      </c>
      <c r="J170" s="2">
        <v>4212.46</v>
      </c>
    </row>
    <row r="171" spans="1:10" x14ac:dyDescent="0.3">
      <c r="A171" t="s">
        <v>179</v>
      </c>
      <c r="B171" s="1">
        <v>44938</v>
      </c>
      <c r="C171" t="s">
        <v>1210</v>
      </c>
      <c r="D171" t="s">
        <v>1215</v>
      </c>
      <c r="E171" t="s">
        <v>1221</v>
      </c>
      <c r="F171" t="s">
        <v>1226</v>
      </c>
      <c r="G171">
        <v>3</v>
      </c>
      <c r="H171">
        <v>3749</v>
      </c>
      <c r="I171">
        <v>11247</v>
      </c>
      <c r="J171" s="2">
        <v>909.81</v>
      </c>
    </row>
    <row r="172" spans="1:10" x14ac:dyDescent="0.3">
      <c r="A172" t="s">
        <v>180</v>
      </c>
      <c r="B172" s="1">
        <v>44983</v>
      </c>
      <c r="C172" t="s">
        <v>1210</v>
      </c>
      <c r="D172" t="s">
        <v>1218</v>
      </c>
      <c r="E172" t="s">
        <v>1221</v>
      </c>
      <c r="F172" t="s">
        <v>1235</v>
      </c>
      <c r="G172">
        <v>1</v>
      </c>
      <c r="H172">
        <v>3204</v>
      </c>
      <c r="I172">
        <v>3204</v>
      </c>
      <c r="J172" s="2">
        <v>686.62</v>
      </c>
    </row>
    <row r="173" spans="1:10" x14ac:dyDescent="0.3">
      <c r="A173" t="s">
        <v>181</v>
      </c>
      <c r="B173" s="1">
        <v>45075</v>
      </c>
      <c r="C173" t="s">
        <v>1212</v>
      </c>
      <c r="D173" t="s">
        <v>1215</v>
      </c>
      <c r="E173" t="s">
        <v>1219</v>
      </c>
      <c r="F173" t="s">
        <v>1223</v>
      </c>
      <c r="G173">
        <v>8</v>
      </c>
      <c r="H173">
        <v>538</v>
      </c>
      <c r="I173">
        <v>4304</v>
      </c>
      <c r="J173" s="2">
        <v>880.07</v>
      </c>
    </row>
    <row r="174" spans="1:10" x14ac:dyDescent="0.3">
      <c r="A174" t="s">
        <v>182</v>
      </c>
      <c r="B174" s="1">
        <v>45291</v>
      </c>
      <c r="C174" t="s">
        <v>1211</v>
      </c>
      <c r="D174" t="s">
        <v>1217</v>
      </c>
      <c r="E174" t="s">
        <v>1220</v>
      </c>
      <c r="F174" t="s">
        <v>1224</v>
      </c>
      <c r="G174">
        <v>6</v>
      </c>
      <c r="H174">
        <v>3926</v>
      </c>
      <c r="I174">
        <v>23556</v>
      </c>
      <c r="J174" s="2">
        <v>4660.3100000000004</v>
      </c>
    </row>
    <row r="175" spans="1:10" x14ac:dyDescent="0.3">
      <c r="A175" t="s">
        <v>183</v>
      </c>
      <c r="B175" s="1">
        <v>45012</v>
      </c>
      <c r="C175" t="s">
        <v>1211</v>
      </c>
      <c r="D175" t="s">
        <v>1215</v>
      </c>
      <c r="E175" t="s">
        <v>1221</v>
      </c>
      <c r="F175" t="s">
        <v>1235</v>
      </c>
      <c r="G175">
        <v>1</v>
      </c>
      <c r="H175">
        <v>4190</v>
      </c>
      <c r="I175">
        <v>4190</v>
      </c>
      <c r="J175" s="2">
        <v>731.1</v>
      </c>
    </row>
    <row r="176" spans="1:10" x14ac:dyDescent="0.3">
      <c r="A176" t="s">
        <v>184</v>
      </c>
      <c r="B176" s="1">
        <v>45008</v>
      </c>
      <c r="C176" t="s">
        <v>1210</v>
      </c>
      <c r="D176" t="s">
        <v>1216</v>
      </c>
      <c r="E176" t="s">
        <v>1219</v>
      </c>
      <c r="F176" t="s">
        <v>1232</v>
      </c>
      <c r="G176">
        <v>3</v>
      </c>
      <c r="H176">
        <v>1721</v>
      </c>
      <c r="I176">
        <v>5163</v>
      </c>
      <c r="J176" s="2">
        <v>783.23</v>
      </c>
    </row>
    <row r="177" spans="1:10" x14ac:dyDescent="0.3">
      <c r="A177" t="s">
        <v>185</v>
      </c>
      <c r="B177" s="1">
        <v>45199</v>
      </c>
      <c r="C177" t="s">
        <v>1211</v>
      </c>
      <c r="D177" t="s">
        <v>1214</v>
      </c>
      <c r="E177" t="s">
        <v>1219</v>
      </c>
      <c r="F177" t="s">
        <v>1238</v>
      </c>
      <c r="G177">
        <v>2</v>
      </c>
      <c r="H177">
        <v>1666</v>
      </c>
      <c r="I177">
        <v>3332</v>
      </c>
      <c r="J177" s="2">
        <v>736.09</v>
      </c>
    </row>
    <row r="178" spans="1:10" x14ac:dyDescent="0.3">
      <c r="A178" t="s">
        <v>186</v>
      </c>
      <c r="B178" s="1">
        <v>45109</v>
      </c>
      <c r="C178" t="s">
        <v>1210</v>
      </c>
      <c r="D178" t="s">
        <v>1216</v>
      </c>
      <c r="E178" t="s">
        <v>1221</v>
      </c>
      <c r="F178" t="s">
        <v>1226</v>
      </c>
      <c r="G178">
        <v>2</v>
      </c>
      <c r="H178">
        <v>330</v>
      </c>
      <c r="I178">
        <v>660</v>
      </c>
      <c r="J178" s="2">
        <v>130.91999999999999</v>
      </c>
    </row>
    <row r="179" spans="1:10" x14ac:dyDescent="0.3">
      <c r="A179" t="s">
        <v>187</v>
      </c>
      <c r="B179" s="1">
        <v>45136</v>
      </c>
      <c r="C179" t="s">
        <v>1212</v>
      </c>
      <c r="D179" t="s">
        <v>1215</v>
      </c>
      <c r="E179" t="s">
        <v>1219</v>
      </c>
      <c r="F179" t="s">
        <v>1238</v>
      </c>
      <c r="G179">
        <v>8</v>
      </c>
      <c r="H179">
        <v>3787</v>
      </c>
      <c r="I179">
        <v>30296</v>
      </c>
      <c r="J179" s="2">
        <v>6496.16</v>
      </c>
    </row>
    <row r="180" spans="1:10" x14ac:dyDescent="0.3">
      <c r="A180" t="s">
        <v>188</v>
      </c>
      <c r="B180" s="1">
        <v>44960</v>
      </c>
      <c r="C180" t="s">
        <v>1211</v>
      </c>
      <c r="D180" t="s">
        <v>1214</v>
      </c>
      <c r="E180" t="s">
        <v>1220</v>
      </c>
      <c r="F180" t="s">
        <v>1224</v>
      </c>
      <c r="G180">
        <v>2</v>
      </c>
      <c r="H180">
        <v>510</v>
      </c>
      <c r="I180">
        <v>1020</v>
      </c>
      <c r="J180" s="2">
        <v>161.69999999999999</v>
      </c>
    </row>
    <row r="181" spans="1:10" x14ac:dyDescent="0.3">
      <c r="A181" t="s">
        <v>189</v>
      </c>
      <c r="B181" s="1">
        <v>45228</v>
      </c>
      <c r="C181" t="s">
        <v>1213</v>
      </c>
      <c r="D181" t="s">
        <v>1215</v>
      </c>
      <c r="E181" t="s">
        <v>1219</v>
      </c>
      <c r="F181" t="s">
        <v>1232</v>
      </c>
      <c r="G181">
        <v>2</v>
      </c>
      <c r="H181">
        <v>4010</v>
      </c>
      <c r="I181">
        <v>8020</v>
      </c>
      <c r="J181" s="2">
        <v>737.08</v>
      </c>
    </row>
    <row r="182" spans="1:10" x14ac:dyDescent="0.3">
      <c r="A182" t="s">
        <v>190</v>
      </c>
      <c r="B182" s="1">
        <v>45162</v>
      </c>
      <c r="C182" t="s">
        <v>1210</v>
      </c>
      <c r="D182" t="s">
        <v>1218</v>
      </c>
      <c r="E182" t="s">
        <v>1220</v>
      </c>
      <c r="F182" t="s">
        <v>1228</v>
      </c>
      <c r="G182">
        <v>5</v>
      </c>
      <c r="H182">
        <v>4992</v>
      </c>
      <c r="I182">
        <v>24960</v>
      </c>
      <c r="J182" s="2">
        <v>4461.07</v>
      </c>
    </row>
    <row r="183" spans="1:10" x14ac:dyDescent="0.3">
      <c r="A183" t="s">
        <v>191</v>
      </c>
      <c r="B183" s="1">
        <v>44991</v>
      </c>
      <c r="C183" t="s">
        <v>1211</v>
      </c>
      <c r="D183" t="s">
        <v>1218</v>
      </c>
      <c r="E183" t="s">
        <v>1220</v>
      </c>
      <c r="F183" t="s">
        <v>1225</v>
      </c>
      <c r="G183">
        <v>9</v>
      </c>
      <c r="H183">
        <v>3630</v>
      </c>
      <c r="I183">
        <v>32670</v>
      </c>
      <c r="J183" s="2">
        <v>5515.62</v>
      </c>
    </row>
    <row r="184" spans="1:10" x14ac:dyDescent="0.3">
      <c r="A184" t="s">
        <v>192</v>
      </c>
      <c r="B184" s="1">
        <v>45219</v>
      </c>
      <c r="C184" t="s">
        <v>1212</v>
      </c>
      <c r="D184" t="s">
        <v>1218</v>
      </c>
      <c r="E184" t="s">
        <v>1219</v>
      </c>
      <c r="F184" t="s">
        <v>1232</v>
      </c>
      <c r="G184">
        <v>8</v>
      </c>
      <c r="H184">
        <v>2233</v>
      </c>
      <c r="I184">
        <v>17864</v>
      </c>
      <c r="J184" s="2">
        <v>2328.9699999999998</v>
      </c>
    </row>
    <row r="185" spans="1:10" x14ac:dyDescent="0.3">
      <c r="A185" t="s">
        <v>193</v>
      </c>
      <c r="B185" s="1">
        <v>45270</v>
      </c>
      <c r="C185" t="s">
        <v>1213</v>
      </c>
      <c r="D185" t="s">
        <v>1216</v>
      </c>
      <c r="E185" t="s">
        <v>1222</v>
      </c>
      <c r="F185" t="s">
        <v>1230</v>
      </c>
      <c r="G185">
        <v>9</v>
      </c>
      <c r="H185">
        <v>4694</v>
      </c>
      <c r="I185">
        <v>42246</v>
      </c>
      <c r="J185" s="2">
        <v>6139.84</v>
      </c>
    </row>
    <row r="186" spans="1:10" x14ac:dyDescent="0.3">
      <c r="A186" t="s">
        <v>194</v>
      </c>
      <c r="B186" s="1">
        <v>45124</v>
      </c>
      <c r="C186" t="s">
        <v>1210</v>
      </c>
      <c r="D186" t="s">
        <v>1214</v>
      </c>
      <c r="E186" t="s">
        <v>1219</v>
      </c>
      <c r="F186" t="s">
        <v>1233</v>
      </c>
      <c r="G186">
        <v>5</v>
      </c>
      <c r="H186">
        <v>2308</v>
      </c>
      <c r="I186">
        <v>11540</v>
      </c>
      <c r="J186" s="2">
        <v>1431.27</v>
      </c>
    </row>
    <row r="187" spans="1:10" x14ac:dyDescent="0.3">
      <c r="A187" t="s">
        <v>195</v>
      </c>
      <c r="B187" s="1">
        <v>45256</v>
      </c>
      <c r="C187" t="s">
        <v>1210</v>
      </c>
      <c r="D187" t="s">
        <v>1217</v>
      </c>
      <c r="E187" t="s">
        <v>1220</v>
      </c>
      <c r="F187" t="s">
        <v>1228</v>
      </c>
      <c r="G187">
        <v>2</v>
      </c>
      <c r="H187">
        <v>1084</v>
      </c>
      <c r="I187">
        <v>2168</v>
      </c>
      <c r="J187" s="2">
        <v>479.58</v>
      </c>
    </row>
    <row r="188" spans="1:10" x14ac:dyDescent="0.3">
      <c r="A188" t="s">
        <v>196</v>
      </c>
      <c r="B188" s="1">
        <v>45188</v>
      </c>
      <c r="C188" t="s">
        <v>1212</v>
      </c>
      <c r="D188" t="s">
        <v>1215</v>
      </c>
      <c r="E188" t="s">
        <v>1222</v>
      </c>
      <c r="F188" t="s">
        <v>1230</v>
      </c>
      <c r="G188">
        <v>9</v>
      </c>
      <c r="H188">
        <v>3000</v>
      </c>
      <c r="I188">
        <v>27000</v>
      </c>
      <c r="J188" s="2">
        <v>6553.87</v>
      </c>
    </row>
    <row r="189" spans="1:10" x14ac:dyDescent="0.3">
      <c r="A189" t="s">
        <v>197</v>
      </c>
      <c r="B189" s="1">
        <v>44946</v>
      </c>
      <c r="C189" t="s">
        <v>1211</v>
      </c>
      <c r="D189" t="s">
        <v>1218</v>
      </c>
      <c r="E189" t="s">
        <v>1220</v>
      </c>
      <c r="F189" t="s">
        <v>1237</v>
      </c>
      <c r="G189">
        <v>7</v>
      </c>
      <c r="H189">
        <v>2936</v>
      </c>
      <c r="I189">
        <v>20552</v>
      </c>
      <c r="J189" s="2">
        <v>3454.88</v>
      </c>
    </row>
    <row r="190" spans="1:10" x14ac:dyDescent="0.3">
      <c r="A190" t="s">
        <v>198</v>
      </c>
      <c r="B190" s="1">
        <v>45071</v>
      </c>
      <c r="C190" t="s">
        <v>1213</v>
      </c>
      <c r="D190" t="s">
        <v>1214</v>
      </c>
      <c r="E190" t="s">
        <v>1222</v>
      </c>
      <c r="F190" t="s">
        <v>1227</v>
      </c>
      <c r="G190">
        <v>3</v>
      </c>
      <c r="H190">
        <v>2937</v>
      </c>
      <c r="I190">
        <v>8811</v>
      </c>
      <c r="J190" s="2">
        <v>1440.61</v>
      </c>
    </row>
    <row r="191" spans="1:10" x14ac:dyDescent="0.3">
      <c r="A191" t="s">
        <v>199</v>
      </c>
      <c r="B191" s="1">
        <v>45255</v>
      </c>
      <c r="C191" t="s">
        <v>1213</v>
      </c>
      <c r="D191" t="s">
        <v>1215</v>
      </c>
      <c r="E191" t="s">
        <v>1221</v>
      </c>
      <c r="F191" t="s">
        <v>1235</v>
      </c>
      <c r="G191">
        <v>6</v>
      </c>
      <c r="H191">
        <v>1092</v>
      </c>
      <c r="I191">
        <v>6552</v>
      </c>
      <c r="J191" s="2">
        <v>1122.26</v>
      </c>
    </row>
    <row r="192" spans="1:10" x14ac:dyDescent="0.3">
      <c r="A192" t="s">
        <v>200</v>
      </c>
      <c r="B192" s="1">
        <v>45063</v>
      </c>
      <c r="C192" t="s">
        <v>1210</v>
      </c>
      <c r="D192" t="s">
        <v>1218</v>
      </c>
      <c r="E192" t="s">
        <v>1220</v>
      </c>
      <c r="F192" t="s">
        <v>1237</v>
      </c>
      <c r="G192">
        <v>9</v>
      </c>
      <c r="H192">
        <v>2882</v>
      </c>
      <c r="I192">
        <v>25938</v>
      </c>
      <c r="J192" s="2">
        <v>2646.13</v>
      </c>
    </row>
    <row r="193" spans="1:10" x14ac:dyDescent="0.3">
      <c r="A193" t="s">
        <v>201</v>
      </c>
      <c r="B193" s="1">
        <v>45152</v>
      </c>
      <c r="C193" t="s">
        <v>1213</v>
      </c>
      <c r="D193" t="s">
        <v>1216</v>
      </c>
      <c r="E193" t="s">
        <v>1220</v>
      </c>
      <c r="F193" t="s">
        <v>1224</v>
      </c>
      <c r="G193">
        <v>9</v>
      </c>
      <c r="H193">
        <v>4335</v>
      </c>
      <c r="I193">
        <v>39015</v>
      </c>
      <c r="J193" s="2">
        <v>9300.01</v>
      </c>
    </row>
    <row r="194" spans="1:10" x14ac:dyDescent="0.3">
      <c r="A194" t="s">
        <v>202</v>
      </c>
      <c r="B194" s="1">
        <v>44963</v>
      </c>
      <c r="C194" t="s">
        <v>1213</v>
      </c>
      <c r="D194" t="s">
        <v>1215</v>
      </c>
      <c r="E194" t="s">
        <v>1219</v>
      </c>
      <c r="F194" t="s">
        <v>1233</v>
      </c>
      <c r="G194">
        <v>8</v>
      </c>
      <c r="H194">
        <v>4172</v>
      </c>
      <c r="I194">
        <v>33376</v>
      </c>
      <c r="J194" s="2">
        <v>2946.87</v>
      </c>
    </row>
    <row r="195" spans="1:10" x14ac:dyDescent="0.3">
      <c r="A195" t="s">
        <v>203</v>
      </c>
      <c r="B195" s="1">
        <v>45244</v>
      </c>
      <c r="C195" t="s">
        <v>1212</v>
      </c>
      <c r="D195" t="s">
        <v>1214</v>
      </c>
      <c r="E195" t="s">
        <v>1221</v>
      </c>
      <c r="F195" t="s">
        <v>1231</v>
      </c>
      <c r="G195">
        <v>1</v>
      </c>
      <c r="H195">
        <v>3311</v>
      </c>
      <c r="I195">
        <v>3311</v>
      </c>
      <c r="J195" s="2">
        <v>761.84</v>
      </c>
    </row>
    <row r="196" spans="1:10" x14ac:dyDescent="0.3">
      <c r="A196" t="s">
        <v>204</v>
      </c>
      <c r="B196" s="1">
        <v>45273</v>
      </c>
      <c r="C196" t="s">
        <v>1212</v>
      </c>
      <c r="D196" t="s">
        <v>1215</v>
      </c>
      <c r="E196" t="s">
        <v>1220</v>
      </c>
      <c r="F196" t="s">
        <v>1237</v>
      </c>
      <c r="G196">
        <v>8</v>
      </c>
      <c r="H196">
        <v>3311</v>
      </c>
      <c r="I196">
        <v>26488</v>
      </c>
      <c r="J196" s="2">
        <v>5172.12</v>
      </c>
    </row>
    <row r="197" spans="1:10" x14ac:dyDescent="0.3">
      <c r="A197" t="s">
        <v>205</v>
      </c>
      <c r="B197" s="1">
        <v>45279</v>
      </c>
      <c r="C197" t="s">
        <v>1210</v>
      </c>
      <c r="D197" t="s">
        <v>1214</v>
      </c>
      <c r="E197" t="s">
        <v>1222</v>
      </c>
      <c r="F197" t="s">
        <v>1230</v>
      </c>
      <c r="G197">
        <v>8</v>
      </c>
      <c r="H197">
        <v>2583</v>
      </c>
      <c r="I197">
        <v>20664</v>
      </c>
      <c r="J197" s="2">
        <v>3966.18</v>
      </c>
    </row>
    <row r="198" spans="1:10" x14ac:dyDescent="0.3">
      <c r="A198" t="s">
        <v>206</v>
      </c>
      <c r="B198" s="1">
        <v>45117</v>
      </c>
      <c r="C198" t="s">
        <v>1210</v>
      </c>
      <c r="D198" t="s">
        <v>1216</v>
      </c>
      <c r="E198" t="s">
        <v>1221</v>
      </c>
      <c r="F198" t="s">
        <v>1231</v>
      </c>
      <c r="G198">
        <v>9</v>
      </c>
      <c r="H198">
        <v>1916</v>
      </c>
      <c r="I198">
        <v>17244</v>
      </c>
      <c r="J198" s="2">
        <v>3373.34</v>
      </c>
    </row>
    <row r="199" spans="1:10" x14ac:dyDescent="0.3">
      <c r="A199" t="s">
        <v>207</v>
      </c>
      <c r="B199" s="1">
        <v>45289</v>
      </c>
      <c r="C199" t="s">
        <v>1212</v>
      </c>
      <c r="D199" t="s">
        <v>1217</v>
      </c>
      <c r="E199" t="s">
        <v>1219</v>
      </c>
      <c r="F199" t="s">
        <v>1232</v>
      </c>
      <c r="G199">
        <v>9</v>
      </c>
      <c r="H199">
        <v>4721</v>
      </c>
      <c r="I199">
        <v>42489</v>
      </c>
      <c r="J199" s="2">
        <v>4329.96</v>
      </c>
    </row>
    <row r="200" spans="1:10" x14ac:dyDescent="0.3">
      <c r="A200" t="s">
        <v>208</v>
      </c>
      <c r="B200" s="1">
        <v>44972</v>
      </c>
      <c r="C200" t="s">
        <v>1210</v>
      </c>
      <c r="D200" t="s">
        <v>1218</v>
      </c>
      <c r="E200" t="s">
        <v>1221</v>
      </c>
      <c r="F200" t="s">
        <v>1229</v>
      </c>
      <c r="G200">
        <v>7</v>
      </c>
      <c r="H200">
        <v>2185</v>
      </c>
      <c r="I200">
        <v>15295</v>
      </c>
      <c r="J200" s="2">
        <v>1969.94</v>
      </c>
    </row>
    <row r="201" spans="1:10" x14ac:dyDescent="0.3">
      <c r="A201" t="s">
        <v>209</v>
      </c>
      <c r="B201" s="1">
        <v>45291</v>
      </c>
      <c r="C201" t="s">
        <v>1210</v>
      </c>
      <c r="D201" t="s">
        <v>1214</v>
      </c>
      <c r="E201" t="s">
        <v>1222</v>
      </c>
      <c r="F201" t="s">
        <v>1234</v>
      </c>
      <c r="G201">
        <v>8</v>
      </c>
      <c r="H201">
        <v>4995</v>
      </c>
      <c r="I201">
        <v>39960</v>
      </c>
      <c r="J201" s="2">
        <v>3258.43</v>
      </c>
    </row>
    <row r="202" spans="1:10" x14ac:dyDescent="0.3">
      <c r="A202" t="s">
        <v>210</v>
      </c>
      <c r="B202" s="1">
        <v>44986</v>
      </c>
      <c r="C202" t="s">
        <v>1210</v>
      </c>
      <c r="D202" t="s">
        <v>1215</v>
      </c>
      <c r="E202" t="s">
        <v>1220</v>
      </c>
      <c r="F202" t="s">
        <v>1237</v>
      </c>
      <c r="G202">
        <v>9</v>
      </c>
      <c r="H202">
        <v>1447</v>
      </c>
      <c r="I202">
        <v>13023</v>
      </c>
      <c r="J202" s="2">
        <v>2901.79</v>
      </c>
    </row>
    <row r="203" spans="1:10" x14ac:dyDescent="0.3">
      <c r="A203" t="s">
        <v>211</v>
      </c>
      <c r="B203" s="1">
        <v>45250</v>
      </c>
      <c r="C203" t="s">
        <v>1210</v>
      </c>
      <c r="E203" t="s">
        <v>1222</v>
      </c>
      <c r="F203" t="s">
        <v>1230</v>
      </c>
      <c r="G203">
        <v>4</v>
      </c>
      <c r="H203">
        <v>2087</v>
      </c>
      <c r="I203">
        <v>8348</v>
      </c>
      <c r="J203" s="2">
        <v>1761.81</v>
      </c>
    </row>
    <row r="204" spans="1:10" x14ac:dyDescent="0.3">
      <c r="A204" t="s">
        <v>212</v>
      </c>
      <c r="B204" s="1">
        <v>45046</v>
      </c>
      <c r="C204" t="s">
        <v>1210</v>
      </c>
      <c r="D204" t="s">
        <v>1217</v>
      </c>
      <c r="E204" t="s">
        <v>1221</v>
      </c>
      <c r="F204" t="s">
        <v>1229</v>
      </c>
      <c r="G204">
        <v>1</v>
      </c>
      <c r="H204">
        <v>1085</v>
      </c>
      <c r="I204">
        <v>1085</v>
      </c>
      <c r="J204" s="2">
        <v>150.6</v>
      </c>
    </row>
    <row r="205" spans="1:10" x14ac:dyDescent="0.3">
      <c r="A205" t="s">
        <v>213</v>
      </c>
      <c r="B205" s="1">
        <v>44933</v>
      </c>
      <c r="C205" t="s">
        <v>1212</v>
      </c>
      <c r="D205" t="s">
        <v>1214</v>
      </c>
      <c r="E205" t="s">
        <v>1220</v>
      </c>
      <c r="F205" t="s">
        <v>1225</v>
      </c>
      <c r="G205">
        <v>4</v>
      </c>
      <c r="H205">
        <v>962</v>
      </c>
      <c r="I205">
        <v>3848</v>
      </c>
      <c r="J205" s="2">
        <v>392.94</v>
      </c>
    </row>
    <row r="206" spans="1:10" x14ac:dyDescent="0.3">
      <c r="A206" t="s">
        <v>214</v>
      </c>
      <c r="B206" s="1">
        <v>44952</v>
      </c>
      <c r="C206" t="s">
        <v>1211</v>
      </c>
      <c r="D206" t="s">
        <v>1217</v>
      </c>
      <c r="E206" t="s">
        <v>1222</v>
      </c>
      <c r="F206" t="s">
        <v>1230</v>
      </c>
      <c r="G206">
        <v>3</v>
      </c>
      <c r="H206">
        <v>2706</v>
      </c>
      <c r="I206">
        <v>8118</v>
      </c>
      <c r="J206" s="2">
        <v>1592.43</v>
      </c>
    </row>
    <row r="207" spans="1:10" x14ac:dyDescent="0.3">
      <c r="A207" t="s">
        <v>215</v>
      </c>
      <c r="B207" s="1">
        <v>45211</v>
      </c>
      <c r="C207" t="s">
        <v>1212</v>
      </c>
      <c r="D207" t="s">
        <v>1214</v>
      </c>
      <c r="E207" t="s">
        <v>1222</v>
      </c>
      <c r="F207" t="s">
        <v>1236</v>
      </c>
      <c r="G207">
        <v>1</v>
      </c>
      <c r="H207">
        <v>238</v>
      </c>
      <c r="I207">
        <v>238</v>
      </c>
      <c r="J207" s="2">
        <v>40.36</v>
      </c>
    </row>
    <row r="208" spans="1:10" x14ac:dyDescent="0.3">
      <c r="A208" t="s">
        <v>216</v>
      </c>
      <c r="B208" s="1">
        <v>44953</v>
      </c>
      <c r="C208" t="s">
        <v>1210</v>
      </c>
      <c r="D208" t="s">
        <v>1218</v>
      </c>
      <c r="E208" t="s">
        <v>1221</v>
      </c>
      <c r="F208" t="s">
        <v>1226</v>
      </c>
      <c r="G208">
        <v>2</v>
      </c>
      <c r="H208">
        <v>3355</v>
      </c>
      <c r="I208">
        <v>6710</v>
      </c>
      <c r="J208" s="2">
        <v>1283.4000000000001</v>
      </c>
    </row>
    <row r="209" spans="1:10" x14ac:dyDescent="0.3">
      <c r="A209" t="s">
        <v>217</v>
      </c>
      <c r="B209" s="1">
        <v>45283</v>
      </c>
      <c r="C209" t="s">
        <v>1210</v>
      </c>
      <c r="D209" t="s">
        <v>1216</v>
      </c>
      <c r="E209" t="s">
        <v>1220</v>
      </c>
      <c r="F209" t="s">
        <v>1224</v>
      </c>
      <c r="G209">
        <v>8</v>
      </c>
      <c r="H209">
        <v>1188</v>
      </c>
      <c r="I209">
        <v>9504</v>
      </c>
      <c r="J209" s="2">
        <v>2284.9</v>
      </c>
    </row>
    <row r="210" spans="1:10" x14ac:dyDescent="0.3">
      <c r="A210" t="s">
        <v>218</v>
      </c>
      <c r="B210" s="1">
        <v>44941</v>
      </c>
      <c r="C210" t="s">
        <v>1211</v>
      </c>
      <c r="D210" t="s">
        <v>1215</v>
      </c>
      <c r="E210" t="s">
        <v>1220</v>
      </c>
      <c r="F210" t="s">
        <v>1237</v>
      </c>
      <c r="G210">
        <v>9</v>
      </c>
      <c r="H210">
        <v>4865</v>
      </c>
      <c r="I210">
        <v>43785</v>
      </c>
      <c r="J210" s="2">
        <v>10157.98</v>
      </c>
    </row>
    <row r="211" spans="1:10" x14ac:dyDescent="0.3">
      <c r="A211" t="s">
        <v>219</v>
      </c>
      <c r="B211" s="1">
        <v>45200</v>
      </c>
      <c r="C211" t="s">
        <v>1210</v>
      </c>
      <c r="D211" t="s">
        <v>1216</v>
      </c>
      <c r="E211" t="s">
        <v>1219</v>
      </c>
      <c r="F211" t="s">
        <v>1223</v>
      </c>
      <c r="G211">
        <v>1</v>
      </c>
      <c r="H211">
        <v>992</v>
      </c>
      <c r="I211">
        <v>992</v>
      </c>
      <c r="J211" s="2">
        <v>199.92</v>
      </c>
    </row>
    <row r="212" spans="1:10" x14ac:dyDescent="0.3">
      <c r="A212" t="s">
        <v>220</v>
      </c>
      <c r="B212" s="1">
        <v>45235</v>
      </c>
      <c r="C212" t="s">
        <v>1213</v>
      </c>
      <c r="D212" t="s">
        <v>1214</v>
      </c>
      <c r="E212" t="s">
        <v>1221</v>
      </c>
      <c r="F212" t="s">
        <v>1235</v>
      </c>
      <c r="G212">
        <v>8</v>
      </c>
      <c r="H212">
        <v>1184</v>
      </c>
      <c r="I212">
        <v>9472</v>
      </c>
      <c r="J212" s="2">
        <v>2156.4499999999998</v>
      </c>
    </row>
    <row r="213" spans="1:10" x14ac:dyDescent="0.3">
      <c r="A213" t="s">
        <v>221</v>
      </c>
      <c r="B213" s="1">
        <v>45107</v>
      </c>
      <c r="C213" t="s">
        <v>1213</v>
      </c>
      <c r="D213" t="s">
        <v>1216</v>
      </c>
      <c r="E213" t="s">
        <v>1220</v>
      </c>
      <c r="F213" t="s">
        <v>1225</v>
      </c>
      <c r="G213">
        <v>4</v>
      </c>
      <c r="H213">
        <v>4644</v>
      </c>
      <c r="I213">
        <v>18576</v>
      </c>
      <c r="J213" s="2">
        <v>1900.54</v>
      </c>
    </row>
    <row r="214" spans="1:10" x14ac:dyDescent="0.3">
      <c r="A214" t="s">
        <v>222</v>
      </c>
      <c r="B214" s="1">
        <v>45132</v>
      </c>
      <c r="C214" t="s">
        <v>1210</v>
      </c>
      <c r="D214" t="s">
        <v>1218</v>
      </c>
      <c r="E214" t="s">
        <v>1220</v>
      </c>
      <c r="F214" t="s">
        <v>1237</v>
      </c>
      <c r="G214">
        <v>4</v>
      </c>
      <c r="H214">
        <v>726</v>
      </c>
      <c r="I214">
        <v>2904</v>
      </c>
      <c r="J214" s="2">
        <v>470.04</v>
      </c>
    </row>
    <row r="215" spans="1:10" x14ac:dyDescent="0.3">
      <c r="A215" t="s">
        <v>223</v>
      </c>
      <c r="B215" s="1">
        <v>45245</v>
      </c>
      <c r="C215" t="s">
        <v>1211</v>
      </c>
      <c r="D215" t="s">
        <v>1215</v>
      </c>
      <c r="E215" t="s">
        <v>1220</v>
      </c>
      <c r="F215" t="s">
        <v>1224</v>
      </c>
      <c r="G215">
        <v>4</v>
      </c>
      <c r="H215">
        <v>1963</v>
      </c>
      <c r="I215">
        <v>7852</v>
      </c>
      <c r="J215" s="2">
        <v>1373.55</v>
      </c>
    </row>
    <row r="216" spans="1:10" x14ac:dyDescent="0.3">
      <c r="A216" t="s">
        <v>224</v>
      </c>
      <c r="B216" s="1">
        <v>45131</v>
      </c>
      <c r="C216" t="s">
        <v>1212</v>
      </c>
      <c r="D216" t="s">
        <v>1215</v>
      </c>
      <c r="E216" t="s">
        <v>1222</v>
      </c>
      <c r="F216" t="s">
        <v>1230</v>
      </c>
      <c r="G216">
        <v>8</v>
      </c>
      <c r="H216">
        <v>783</v>
      </c>
      <c r="I216">
        <v>6264</v>
      </c>
      <c r="J216" s="2">
        <v>831.62</v>
      </c>
    </row>
    <row r="217" spans="1:10" x14ac:dyDescent="0.3">
      <c r="A217" t="s">
        <v>225</v>
      </c>
      <c r="B217" s="1">
        <v>45092</v>
      </c>
      <c r="C217" t="s">
        <v>1213</v>
      </c>
      <c r="D217" t="s">
        <v>1214</v>
      </c>
      <c r="E217" t="s">
        <v>1220</v>
      </c>
      <c r="F217" t="s">
        <v>1225</v>
      </c>
      <c r="G217">
        <v>2</v>
      </c>
      <c r="H217">
        <v>1589</v>
      </c>
      <c r="I217">
        <v>3178</v>
      </c>
      <c r="J217" s="2">
        <v>780.83</v>
      </c>
    </row>
    <row r="218" spans="1:10" x14ac:dyDescent="0.3">
      <c r="A218" t="s">
        <v>226</v>
      </c>
      <c r="B218" s="1">
        <v>45193</v>
      </c>
      <c r="C218" t="s">
        <v>1211</v>
      </c>
      <c r="D218" t="s">
        <v>1214</v>
      </c>
      <c r="E218" t="s">
        <v>1222</v>
      </c>
      <c r="F218" t="s">
        <v>1234</v>
      </c>
      <c r="G218">
        <v>1</v>
      </c>
      <c r="H218">
        <v>2243</v>
      </c>
      <c r="I218">
        <v>2243</v>
      </c>
      <c r="J218" s="2">
        <v>476.8</v>
      </c>
    </row>
    <row r="219" spans="1:10" x14ac:dyDescent="0.3">
      <c r="A219" t="s">
        <v>227</v>
      </c>
      <c r="B219" s="1">
        <v>45006</v>
      </c>
      <c r="C219" t="s">
        <v>1211</v>
      </c>
      <c r="D219" t="s">
        <v>1216</v>
      </c>
      <c r="E219" t="s">
        <v>1221</v>
      </c>
      <c r="F219" t="s">
        <v>1231</v>
      </c>
      <c r="G219">
        <v>1</v>
      </c>
      <c r="H219">
        <v>3136</v>
      </c>
      <c r="I219">
        <v>3136</v>
      </c>
      <c r="J219" s="2">
        <v>555.24</v>
      </c>
    </row>
    <row r="220" spans="1:10" x14ac:dyDescent="0.3">
      <c r="A220" t="s">
        <v>228</v>
      </c>
      <c r="B220" s="1">
        <v>44928</v>
      </c>
      <c r="C220" t="s">
        <v>1212</v>
      </c>
      <c r="D220" t="s">
        <v>1218</v>
      </c>
      <c r="E220" t="s">
        <v>1221</v>
      </c>
      <c r="F220" t="s">
        <v>1231</v>
      </c>
      <c r="G220">
        <v>8</v>
      </c>
      <c r="H220">
        <v>4537</v>
      </c>
      <c r="I220">
        <v>36296</v>
      </c>
      <c r="J220" s="2">
        <v>4918.05</v>
      </c>
    </row>
    <row r="221" spans="1:10" x14ac:dyDescent="0.3">
      <c r="A221" t="s">
        <v>229</v>
      </c>
      <c r="B221" s="1">
        <v>45092</v>
      </c>
      <c r="C221" t="s">
        <v>1210</v>
      </c>
      <c r="D221" t="s">
        <v>1217</v>
      </c>
      <c r="E221" t="s">
        <v>1222</v>
      </c>
      <c r="F221" t="s">
        <v>1234</v>
      </c>
      <c r="G221">
        <v>1</v>
      </c>
      <c r="H221">
        <v>1117</v>
      </c>
      <c r="I221">
        <v>1117</v>
      </c>
      <c r="J221" s="2">
        <v>150.52000000000001</v>
      </c>
    </row>
    <row r="222" spans="1:10" x14ac:dyDescent="0.3">
      <c r="A222" t="s">
        <v>230</v>
      </c>
      <c r="B222" s="1">
        <v>45231</v>
      </c>
      <c r="C222" t="s">
        <v>1213</v>
      </c>
      <c r="D222" t="s">
        <v>1214</v>
      </c>
      <c r="E222" t="s">
        <v>1220</v>
      </c>
      <c r="F222" t="s">
        <v>1225</v>
      </c>
      <c r="G222">
        <v>2</v>
      </c>
      <c r="H222">
        <v>4438</v>
      </c>
      <c r="I222">
        <v>8876</v>
      </c>
      <c r="J222" s="2">
        <v>1012.09</v>
      </c>
    </row>
    <row r="223" spans="1:10" x14ac:dyDescent="0.3">
      <c r="A223" t="s">
        <v>231</v>
      </c>
      <c r="B223" s="1">
        <v>45285</v>
      </c>
      <c r="C223" t="s">
        <v>1210</v>
      </c>
      <c r="D223" t="s">
        <v>1218</v>
      </c>
      <c r="E223" t="s">
        <v>1222</v>
      </c>
      <c r="F223" t="s">
        <v>1227</v>
      </c>
      <c r="G223">
        <v>6</v>
      </c>
      <c r="H223">
        <v>2256</v>
      </c>
      <c r="I223">
        <v>13536</v>
      </c>
      <c r="J223" s="2">
        <v>3237.22</v>
      </c>
    </row>
    <row r="224" spans="1:10" x14ac:dyDescent="0.3">
      <c r="A224" t="s">
        <v>232</v>
      </c>
      <c r="B224" s="1">
        <v>45244</v>
      </c>
      <c r="C224" t="s">
        <v>1213</v>
      </c>
      <c r="D224" t="s">
        <v>1214</v>
      </c>
      <c r="E224" t="s">
        <v>1220</v>
      </c>
      <c r="F224" t="s">
        <v>1224</v>
      </c>
      <c r="G224">
        <v>8</v>
      </c>
      <c r="H224">
        <v>4111</v>
      </c>
      <c r="I224">
        <v>32888</v>
      </c>
      <c r="J224" s="2">
        <v>6623.47</v>
      </c>
    </row>
    <row r="225" spans="1:10" x14ac:dyDescent="0.3">
      <c r="A225" t="s">
        <v>233</v>
      </c>
      <c r="B225" s="1">
        <v>45240</v>
      </c>
      <c r="C225" t="s">
        <v>1211</v>
      </c>
      <c r="D225" t="s">
        <v>1217</v>
      </c>
      <c r="E225" t="s">
        <v>1219</v>
      </c>
      <c r="F225" t="s">
        <v>1238</v>
      </c>
      <c r="G225">
        <v>4</v>
      </c>
      <c r="H225">
        <v>407</v>
      </c>
      <c r="I225">
        <v>1628</v>
      </c>
      <c r="J225" s="2">
        <v>281.79000000000002</v>
      </c>
    </row>
    <row r="226" spans="1:10" x14ac:dyDescent="0.3">
      <c r="A226" t="s">
        <v>234</v>
      </c>
      <c r="B226" s="1">
        <v>44938</v>
      </c>
      <c r="C226" t="s">
        <v>1210</v>
      </c>
      <c r="D226" t="s">
        <v>1216</v>
      </c>
      <c r="E226" t="s">
        <v>1219</v>
      </c>
      <c r="F226" t="s">
        <v>1238</v>
      </c>
      <c r="G226">
        <v>9</v>
      </c>
      <c r="H226">
        <v>4309</v>
      </c>
      <c r="I226">
        <v>38781</v>
      </c>
      <c r="J226" s="2">
        <v>3640.65</v>
      </c>
    </row>
    <row r="227" spans="1:10" x14ac:dyDescent="0.3">
      <c r="A227" t="s">
        <v>235</v>
      </c>
      <c r="B227" s="1">
        <v>45164</v>
      </c>
      <c r="C227" t="s">
        <v>1213</v>
      </c>
      <c r="D227" t="s">
        <v>1215</v>
      </c>
      <c r="E227" t="s">
        <v>1222</v>
      </c>
      <c r="F227" t="s">
        <v>1234</v>
      </c>
      <c r="G227">
        <v>3</v>
      </c>
      <c r="H227">
        <v>2369</v>
      </c>
      <c r="I227">
        <v>7107</v>
      </c>
      <c r="J227" s="2">
        <v>966.08</v>
      </c>
    </row>
    <row r="228" spans="1:10" x14ac:dyDescent="0.3">
      <c r="A228" t="s">
        <v>236</v>
      </c>
      <c r="B228" s="1">
        <v>45233</v>
      </c>
      <c r="C228" t="s">
        <v>1213</v>
      </c>
      <c r="D228" t="s">
        <v>1217</v>
      </c>
      <c r="E228" t="s">
        <v>1221</v>
      </c>
      <c r="F228" t="s">
        <v>1231</v>
      </c>
      <c r="G228">
        <v>7</v>
      </c>
      <c r="H228">
        <v>2556</v>
      </c>
      <c r="I228">
        <v>17892</v>
      </c>
      <c r="J228" s="2">
        <v>3434.91</v>
      </c>
    </row>
    <row r="229" spans="1:10" x14ac:dyDescent="0.3">
      <c r="A229" t="s">
        <v>237</v>
      </c>
      <c r="B229" s="1">
        <v>45238</v>
      </c>
      <c r="C229" t="s">
        <v>1212</v>
      </c>
      <c r="D229" t="s">
        <v>1214</v>
      </c>
      <c r="E229" t="s">
        <v>1220</v>
      </c>
      <c r="F229" t="s">
        <v>1225</v>
      </c>
      <c r="G229">
        <v>3</v>
      </c>
      <c r="H229">
        <v>861</v>
      </c>
      <c r="I229">
        <v>2583</v>
      </c>
      <c r="J229" s="2">
        <v>352.56</v>
      </c>
    </row>
    <row r="230" spans="1:10" x14ac:dyDescent="0.3">
      <c r="A230" t="s">
        <v>238</v>
      </c>
      <c r="B230" s="1">
        <v>45133</v>
      </c>
      <c r="C230" t="s">
        <v>1212</v>
      </c>
      <c r="D230" t="s">
        <v>1216</v>
      </c>
      <c r="E230" t="s">
        <v>1219</v>
      </c>
      <c r="F230" t="s">
        <v>1223</v>
      </c>
      <c r="G230">
        <v>3</v>
      </c>
      <c r="H230">
        <v>4330</v>
      </c>
      <c r="I230">
        <v>12990</v>
      </c>
      <c r="J230" s="2">
        <v>1526.27</v>
      </c>
    </row>
    <row r="231" spans="1:10" x14ac:dyDescent="0.3">
      <c r="A231" t="s">
        <v>239</v>
      </c>
      <c r="B231" s="1">
        <v>44950</v>
      </c>
      <c r="C231" t="s">
        <v>1213</v>
      </c>
      <c r="D231" t="s">
        <v>1215</v>
      </c>
      <c r="E231" t="s">
        <v>1222</v>
      </c>
      <c r="F231" t="s">
        <v>1230</v>
      </c>
      <c r="G231">
        <v>5</v>
      </c>
      <c r="H231">
        <v>358</v>
      </c>
      <c r="I231">
        <v>1790</v>
      </c>
      <c r="J231" s="2">
        <v>269.76</v>
      </c>
    </row>
    <row r="232" spans="1:10" x14ac:dyDescent="0.3">
      <c r="A232" t="s">
        <v>240</v>
      </c>
      <c r="B232" s="1">
        <v>45103</v>
      </c>
      <c r="C232" t="s">
        <v>1210</v>
      </c>
      <c r="D232" t="s">
        <v>1218</v>
      </c>
      <c r="E232" t="s">
        <v>1221</v>
      </c>
      <c r="F232" t="s">
        <v>1226</v>
      </c>
      <c r="G232">
        <v>4</v>
      </c>
      <c r="H232">
        <v>1155</v>
      </c>
      <c r="I232">
        <v>4620</v>
      </c>
      <c r="J232" s="2">
        <v>401.1</v>
      </c>
    </row>
    <row r="233" spans="1:10" x14ac:dyDescent="0.3">
      <c r="A233" t="s">
        <v>241</v>
      </c>
      <c r="B233" s="1">
        <v>45188</v>
      </c>
      <c r="C233" t="s">
        <v>1210</v>
      </c>
      <c r="D233" t="s">
        <v>1217</v>
      </c>
      <c r="E233" t="s">
        <v>1221</v>
      </c>
      <c r="F233" t="s">
        <v>1229</v>
      </c>
      <c r="G233">
        <v>5</v>
      </c>
      <c r="H233">
        <v>4011</v>
      </c>
      <c r="I233">
        <v>20055</v>
      </c>
      <c r="J233" s="2">
        <v>4582.21</v>
      </c>
    </row>
    <row r="234" spans="1:10" x14ac:dyDescent="0.3">
      <c r="A234" t="s">
        <v>242</v>
      </c>
      <c r="B234" s="1">
        <v>45163</v>
      </c>
      <c r="C234" t="s">
        <v>1211</v>
      </c>
      <c r="D234" t="s">
        <v>1215</v>
      </c>
      <c r="E234" t="s">
        <v>1219</v>
      </c>
      <c r="F234" t="s">
        <v>1238</v>
      </c>
      <c r="G234">
        <v>6</v>
      </c>
      <c r="H234">
        <v>4932</v>
      </c>
      <c r="I234">
        <v>29592</v>
      </c>
      <c r="J234" s="2">
        <v>3427.13</v>
      </c>
    </row>
    <row r="235" spans="1:10" x14ac:dyDescent="0.3">
      <c r="A235" t="s">
        <v>243</v>
      </c>
      <c r="B235" s="1">
        <v>45013</v>
      </c>
      <c r="C235" t="s">
        <v>1211</v>
      </c>
      <c r="D235" t="s">
        <v>1216</v>
      </c>
      <c r="E235" t="s">
        <v>1219</v>
      </c>
      <c r="F235" t="s">
        <v>1232</v>
      </c>
      <c r="G235">
        <v>3</v>
      </c>
      <c r="H235">
        <v>3791</v>
      </c>
      <c r="I235">
        <v>11373</v>
      </c>
      <c r="J235" s="2">
        <v>1693.47</v>
      </c>
    </row>
    <row r="236" spans="1:10" x14ac:dyDescent="0.3">
      <c r="A236" t="s">
        <v>244</v>
      </c>
      <c r="B236" s="1">
        <v>44967</v>
      </c>
      <c r="C236" t="s">
        <v>1211</v>
      </c>
      <c r="D236" t="s">
        <v>1216</v>
      </c>
      <c r="E236" t="s">
        <v>1220</v>
      </c>
      <c r="F236" t="s">
        <v>1225</v>
      </c>
      <c r="G236">
        <v>2</v>
      </c>
      <c r="H236">
        <v>574</v>
      </c>
      <c r="I236">
        <v>1148</v>
      </c>
      <c r="J236" s="2">
        <v>172.45</v>
      </c>
    </row>
    <row r="237" spans="1:10" x14ac:dyDescent="0.3">
      <c r="A237" t="s">
        <v>245</v>
      </c>
      <c r="B237" s="1">
        <v>45056</v>
      </c>
      <c r="C237" t="s">
        <v>1210</v>
      </c>
      <c r="D237" t="s">
        <v>1218</v>
      </c>
      <c r="E237" t="s">
        <v>1222</v>
      </c>
      <c r="F237" t="s">
        <v>1227</v>
      </c>
      <c r="G237">
        <v>8</v>
      </c>
      <c r="H237">
        <v>2478</v>
      </c>
      <c r="I237">
        <v>19824</v>
      </c>
      <c r="J237" s="2">
        <v>2796.57</v>
      </c>
    </row>
    <row r="238" spans="1:10" x14ac:dyDescent="0.3">
      <c r="A238" t="s">
        <v>246</v>
      </c>
      <c r="B238" s="1">
        <v>45155</v>
      </c>
      <c r="C238" t="s">
        <v>1212</v>
      </c>
      <c r="D238" t="s">
        <v>1218</v>
      </c>
      <c r="E238" t="s">
        <v>1219</v>
      </c>
      <c r="F238" t="s">
        <v>1232</v>
      </c>
      <c r="G238">
        <v>9</v>
      </c>
      <c r="H238">
        <v>227</v>
      </c>
      <c r="I238">
        <v>2043</v>
      </c>
      <c r="J238" s="2">
        <v>253.09</v>
      </c>
    </row>
    <row r="239" spans="1:10" x14ac:dyDescent="0.3">
      <c r="A239" t="s">
        <v>247</v>
      </c>
      <c r="B239" s="1">
        <v>45213</v>
      </c>
      <c r="C239" t="s">
        <v>1210</v>
      </c>
      <c r="D239" t="s">
        <v>1217</v>
      </c>
      <c r="E239" t="s">
        <v>1221</v>
      </c>
      <c r="F239" t="s">
        <v>1226</v>
      </c>
      <c r="G239">
        <v>8</v>
      </c>
      <c r="H239">
        <v>4596</v>
      </c>
      <c r="I239">
        <v>36768</v>
      </c>
      <c r="J239" s="2">
        <v>4423</v>
      </c>
    </row>
    <row r="240" spans="1:10" x14ac:dyDescent="0.3">
      <c r="A240" t="s">
        <v>248</v>
      </c>
      <c r="B240" s="1">
        <v>45190</v>
      </c>
      <c r="C240" t="s">
        <v>1210</v>
      </c>
      <c r="D240" t="s">
        <v>1216</v>
      </c>
      <c r="E240" t="s">
        <v>1219</v>
      </c>
      <c r="F240" t="s">
        <v>1233</v>
      </c>
      <c r="G240">
        <v>9</v>
      </c>
      <c r="H240">
        <v>1480</v>
      </c>
      <c r="I240">
        <v>13320</v>
      </c>
      <c r="J240" s="2">
        <v>2083.3000000000002</v>
      </c>
    </row>
    <row r="241" spans="1:10" x14ac:dyDescent="0.3">
      <c r="A241" t="s">
        <v>249</v>
      </c>
      <c r="B241" s="1">
        <v>45101</v>
      </c>
      <c r="C241" t="s">
        <v>1212</v>
      </c>
      <c r="D241" t="s">
        <v>1216</v>
      </c>
      <c r="E241" t="s">
        <v>1222</v>
      </c>
      <c r="F241" t="s">
        <v>1234</v>
      </c>
      <c r="G241">
        <v>6</v>
      </c>
      <c r="H241">
        <v>1507</v>
      </c>
      <c r="I241">
        <v>9042</v>
      </c>
      <c r="J241" s="2">
        <v>779.73</v>
      </c>
    </row>
    <row r="242" spans="1:10" x14ac:dyDescent="0.3">
      <c r="A242" t="s">
        <v>250</v>
      </c>
      <c r="B242" s="1">
        <v>45082</v>
      </c>
      <c r="C242" t="s">
        <v>1210</v>
      </c>
      <c r="D242" t="s">
        <v>1216</v>
      </c>
      <c r="E242" t="s">
        <v>1222</v>
      </c>
      <c r="F242" t="s">
        <v>1234</v>
      </c>
      <c r="G242">
        <v>1</v>
      </c>
      <c r="H242">
        <v>1855</v>
      </c>
      <c r="I242">
        <v>1855</v>
      </c>
      <c r="J242" s="2">
        <v>402.47</v>
      </c>
    </row>
    <row r="243" spans="1:10" x14ac:dyDescent="0.3">
      <c r="A243" t="s">
        <v>251</v>
      </c>
      <c r="B243" s="1">
        <v>45219</v>
      </c>
      <c r="C243" t="s">
        <v>1213</v>
      </c>
      <c r="D243" t="s">
        <v>1217</v>
      </c>
      <c r="E243" t="s">
        <v>1219</v>
      </c>
      <c r="F243" t="s">
        <v>1232</v>
      </c>
      <c r="G243">
        <v>4</v>
      </c>
      <c r="H243">
        <v>4153</v>
      </c>
      <c r="I243">
        <v>16612</v>
      </c>
      <c r="J243" s="2">
        <v>4115.42</v>
      </c>
    </row>
    <row r="244" spans="1:10" x14ac:dyDescent="0.3">
      <c r="A244" t="s">
        <v>252</v>
      </c>
      <c r="B244" s="1">
        <v>45171</v>
      </c>
      <c r="C244" t="s">
        <v>1210</v>
      </c>
      <c r="E244" t="s">
        <v>1222</v>
      </c>
      <c r="F244" t="s">
        <v>1234</v>
      </c>
      <c r="G244">
        <v>7</v>
      </c>
      <c r="H244">
        <v>1258</v>
      </c>
      <c r="I244">
        <v>8806</v>
      </c>
      <c r="J244" s="2">
        <v>1381.43</v>
      </c>
    </row>
    <row r="245" spans="1:10" x14ac:dyDescent="0.3">
      <c r="A245" t="s">
        <v>253</v>
      </c>
      <c r="B245" s="1">
        <v>45202</v>
      </c>
      <c r="C245" t="s">
        <v>1212</v>
      </c>
      <c r="D245" t="s">
        <v>1217</v>
      </c>
      <c r="E245" t="s">
        <v>1222</v>
      </c>
      <c r="F245" t="s">
        <v>1234</v>
      </c>
      <c r="G245">
        <v>3</v>
      </c>
      <c r="H245">
        <v>1429</v>
      </c>
      <c r="I245">
        <v>4287</v>
      </c>
      <c r="J245" s="2">
        <v>844.52</v>
      </c>
    </row>
    <row r="246" spans="1:10" x14ac:dyDescent="0.3">
      <c r="A246" t="s">
        <v>254</v>
      </c>
      <c r="B246" s="1">
        <v>45111</v>
      </c>
      <c r="C246" t="s">
        <v>1210</v>
      </c>
      <c r="D246" t="s">
        <v>1214</v>
      </c>
      <c r="E246" t="s">
        <v>1221</v>
      </c>
      <c r="F246" t="s">
        <v>1235</v>
      </c>
      <c r="G246">
        <v>2</v>
      </c>
      <c r="H246">
        <v>4512</v>
      </c>
      <c r="I246">
        <v>9024</v>
      </c>
      <c r="J246" s="2">
        <v>1702.38</v>
      </c>
    </row>
    <row r="247" spans="1:10" x14ac:dyDescent="0.3">
      <c r="A247" t="s">
        <v>255</v>
      </c>
      <c r="B247" s="1">
        <v>45052</v>
      </c>
      <c r="C247" t="s">
        <v>1212</v>
      </c>
      <c r="D247" t="s">
        <v>1216</v>
      </c>
      <c r="E247" t="s">
        <v>1220</v>
      </c>
      <c r="F247" t="s">
        <v>1237</v>
      </c>
      <c r="G247">
        <v>6</v>
      </c>
      <c r="H247">
        <v>4123</v>
      </c>
      <c r="I247">
        <v>24738</v>
      </c>
      <c r="J247" s="2">
        <v>2507.84</v>
      </c>
    </row>
    <row r="248" spans="1:10" x14ac:dyDescent="0.3">
      <c r="A248" t="s">
        <v>256</v>
      </c>
      <c r="B248" s="1">
        <v>45190</v>
      </c>
      <c r="C248" t="s">
        <v>1212</v>
      </c>
      <c r="D248" t="s">
        <v>1215</v>
      </c>
      <c r="E248" t="s">
        <v>1221</v>
      </c>
      <c r="F248" t="s">
        <v>1229</v>
      </c>
      <c r="G248">
        <v>7</v>
      </c>
      <c r="H248">
        <v>2233</v>
      </c>
      <c r="I248">
        <v>15631</v>
      </c>
      <c r="J248" s="2">
        <v>1750.97</v>
      </c>
    </row>
    <row r="249" spans="1:10" x14ac:dyDescent="0.3">
      <c r="A249" t="s">
        <v>257</v>
      </c>
      <c r="B249" s="1">
        <v>45040</v>
      </c>
      <c r="C249" t="s">
        <v>1211</v>
      </c>
      <c r="D249" t="s">
        <v>1218</v>
      </c>
      <c r="E249" t="s">
        <v>1219</v>
      </c>
      <c r="G249">
        <v>2</v>
      </c>
      <c r="H249">
        <v>2674</v>
      </c>
      <c r="I249">
        <v>5348</v>
      </c>
      <c r="J249" s="2">
        <v>1049.02</v>
      </c>
    </row>
    <row r="250" spans="1:10" x14ac:dyDescent="0.3">
      <c r="A250" t="s">
        <v>258</v>
      </c>
      <c r="B250" s="1">
        <v>45254</v>
      </c>
      <c r="C250" t="s">
        <v>1212</v>
      </c>
      <c r="D250" t="s">
        <v>1216</v>
      </c>
      <c r="E250" t="s">
        <v>1220</v>
      </c>
      <c r="F250" t="s">
        <v>1224</v>
      </c>
      <c r="G250">
        <v>8</v>
      </c>
      <c r="H250">
        <v>4152</v>
      </c>
      <c r="I250">
        <v>33216</v>
      </c>
      <c r="J250" s="2">
        <v>2828.87</v>
      </c>
    </row>
    <row r="251" spans="1:10" x14ac:dyDescent="0.3">
      <c r="A251" t="s">
        <v>259</v>
      </c>
      <c r="B251" s="1">
        <v>45287</v>
      </c>
      <c r="C251" t="s">
        <v>1211</v>
      </c>
      <c r="D251" t="s">
        <v>1216</v>
      </c>
      <c r="E251" t="s">
        <v>1222</v>
      </c>
      <c r="F251" t="s">
        <v>1234</v>
      </c>
      <c r="G251">
        <v>3</v>
      </c>
      <c r="H251">
        <v>3324</v>
      </c>
      <c r="I251">
        <v>9972</v>
      </c>
      <c r="J251" s="2">
        <v>1928.44</v>
      </c>
    </row>
    <row r="252" spans="1:10" x14ac:dyDescent="0.3">
      <c r="A252" t="s">
        <v>260</v>
      </c>
      <c r="B252" s="1">
        <v>45095</v>
      </c>
      <c r="C252" t="s">
        <v>1212</v>
      </c>
      <c r="D252" t="s">
        <v>1215</v>
      </c>
      <c r="E252" t="s">
        <v>1220</v>
      </c>
      <c r="F252" t="s">
        <v>1225</v>
      </c>
      <c r="G252">
        <v>6</v>
      </c>
      <c r="H252">
        <v>774</v>
      </c>
      <c r="I252">
        <v>4644</v>
      </c>
      <c r="J252" s="2">
        <v>1142.98</v>
      </c>
    </row>
    <row r="253" spans="1:10" x14ac:dyDescent="0.3">
      <c r="A253" t="s">
        <v>261</v>
      </c>
      <c r="B253" s="1">
        <v>45028</v>
      </c>
      <c r="C253" t="s">
        <v>1211</v>
      </c>
      <c r="D253" t="s">
        <v>1216</v>
      </c>
      <c r="E253" t="s">
        <v>1222</v>
      </c>
      <c r="F253" t="s">
        <v>1234</v>
      </c>
      <c r="G253">
        <v>9</v>
      </c>
      <c r="H253">
        <v>1547</v>
      </c>
      <c r="I253">
        <v>13923</v>
      </c>
      <c r="J253" s="2">
        <v>2653.54</v>
      </c>
    </row>
    <row r="254" spans="1:10" x14ac:dyDescent="0.3">
      <c r="A254" t="s">
        <v>262</v>
      </c>
      <c r="B254" s="1">
        <v>45205</v>
      </c>
      <c r="C254" t="s">
        <v>1210</v>
      </c>
      <c r="D254" t="s">
        <v>1215</v>
      </c>
      <c r="E254" t="s">
        <v>1220</v>
      </c>
      <c r="F254" t="s">
        <v>1237</v>
      </c>
      <c r="G254">
        <v>6</v>
      </c>
      <c r="H254">
        <v>3753</v>
      </c>
      <c r="I254">
        <v>22518</v>
      </c>
      <c r="J254" s="2">
        <v>4719.51</v>
      </c>
    </row>
    <row r="255" spans="1:10" x14ac:dyDescent="0.3">
      <c r="A255" t="s">
        <v>263</v>
      </c>
      <c r="B255" s="1">
        <v>45139</v>
      </c>
      <c r="C255" t="s">
        <v>1210</v>
      </c>
      <c r="D255" t="s">
        <v>1218</v>
      </c>
      <c r="E255" t="s">
        <v>1219</v>
      </c>
      <c r="F255" t="s">
        <v>1232</v>
      </c>
      <c r="G255">
        <v>8</v>
      </c>
      <c r="H255">
        <v>1021</v>
      </c>
      <c r="I255">
        <v>8168</v>
      </c>
      <c r="J255" s="2">
        <v>1554.72</v>
      </c>
    </row>
    <row r="256" spans="1:10" x14ac:dyDescent="0.3">
      <c r="A256" t="s">
        <v>264</v>
      </c>
      <c r="B256" s="1">
        <v>45242</v>
      </c>
      <c r="C256" t="s">
        <v>1212</v>
      </c>
      <c r="D256" t="s">
        <v>1218</v>
      </c>
      <c r="E256" t="s">
        <v>1221</v>
      </c>
      <c r="F256" t="s">
        <v>1229</v>
      </c>
      <c r="G256">
        <v>7</v>
      </c>
      <c r="H256">
        <v>2390</v>
      </c>
      <c r="I256">
        <v>16730</v>
      </c>
      <c r="J256" s="2">
        <v>3316.38</v>
      </c>
    </row>
    <row r="257" spans="1:10" x14ac:dyDescent="0.3">
      <c r="A257" t="s">
        <v>265</v>
      </c>
      <c r="B257" s="1">
        <v>45036</v>
      </c>
      <c r="C257" t="s">
        <v>1211</v>
      </c>
      <c r="D257" t="s">
        <v>1217</v>
      </c>
      <c r="E257" t="s">
        <v>1222</v>
      </c>
      <c r="F257" t="s">
        <v>1234</v>
      </c>
      <c r="G257">
        <v>1</v>
      </c>
      <c r="H257">
        <v>3538</v>
      </c>
      <c r="I257">
        <v>3538</v>
      </c>
      <c r="J257" s="2">
        <v>645.99</v>
      </c>
    </row>
    <row r="258" spans="1:10" x14ac:dyDescent="0.3">
      <c r="A258" t="s">
        <v>266</v>
      </c>
      <c r="B258" s="1">
        <v>45254</v>
      </c>
      <c r="C258" t="s">
        <v>1213</v>
      </c>
      <c r="D258" t="s">
        <v>1217</v>
      </c>
      <c r="E258" t="s">
        <v>1220</v>
      </c>
      <c r="F258" t="s">
        <v>1225</v>
      </c>
      <c r="G258">
        <v>9</v>
      </c>
      <c r="H258">
        <v>1226</v>
      </c>
      <c r="I258">
        <v>11034</v>
      </c>
      <c r="J258" s="2">
        <v>1900.07</v>
      </c>
    </row>
    <row r="259" spans="1:10" x14ac:dyDescent="0.3">
      <c r="A259" t="s">
        <v>267</v>
      </c>
      <c r="B259" s="1">
        <v>45059</v>
      </c>
      <c r="C259" t="s">
        <v>1211</v>
      </c>
      <c r="D259" t="s">
        <v>1215</v>
      </c>
      <c r="E259" t="s">
        <v>1220</v>
      </c>
      <c r="F259" t="s">
        <v>1224</v>
      </c>
      <c r="G259">
        <v>5</v>
      </c>
      <c r="H259">
        <v>1377</v>
      </c>
      <c r="I259">
        <v>6885</v>
      </c>
      <c r="J259" s="2">
        <v>678.28</v>
      </c>
    </row>
    <row r="260" spans="1:10" x14ac:dyDescent="0.3">
      <c r="A260" t="s">
        <v>268</v>
      </c>
      <c r="B260" s="1">
        <v>45269</v>
      </c>
      <c r="C260" t="s">
        <v>1211</v>
      </c>
      <c r="D260" t="s">
        <v>1217</v>
      </c>
      <c r="E260" t="s">
        <v>1219</v>
      </c>
      <c r="F260" t="s">
        <v>1223</v>
      </c>
      <c r="G260">
        <v>4</v>
      </c>
      <c r="H260">
        <v>3030</v>
      </c>
      <c r="I260">
        <v>12120</v>
      </c>
      <c r="J260" s="2">
        <v>1782.15</v>
      </c>
    </row>
    <row r="261" spans="1:10" x14ac:dyDescent="0.3">
      <c r="A261" t="s">
        <v>269</v>
      </c>
      <c r="B261" s="1">
        <v>45262</v>
      </c>
      <c r="C261" t="s">
        <v>1210</v>
      </c>
      <c r="D261" t="s">
        <v>1215</v>
      </c>
      <c r="E261" t="s">
        <v>1221</v>
      </c>
      <c r="F261" t="s">
        <v>1235</v>
      </c>
      <c r="G261">
        <v>5</v>
      </c>
      <c r="H261">
        <v>606</v>
      </c>
      <c r="I261">
        <v>3030</v>
      </c>
      <c r="J261" s="2">
        <v>464.34</v>
      </c>
    </row>
    <row r="262" spans="1:10" x14ac:dyDescent="0.3">
      <c r="A262" t="s">
        <v>270</v>
      </c>
      <c r="B262" s="1">
        <v>45250</v>
      </c>
      <c r="C262" t="s">
        <v>1212</v>
      </c>
      <c r="D262" t="s">
        <v>1215</v>
      </c>
      <c r="E262" t="s">
        <v>1221</v>
      </c>
      <c r="F262" t="s">
        <v>1235</v>
      </c>
      <c r="G262">
        <v>9</v>
      </c>
      <c r="H262">
        <v>914</v>
      </c>
      <c r="I262">
        <v>8226</v>
      </c>
      <c r="J262" s="2">
        <v>1189.58</v>
      </c>
    </row>
    <row r="263" spans="1:10" x14ac:dyDescent="0.3">
      <c r="A263" t="s">
        <v>271</v>
      </c>
      <c r="B263" s="1">
        <v>44978</v>
      </c>
      <c r="C263" t="s">
        <v>1211</v>
      </c>
      <c r="D263" t="s">
        <v>1214</v>
      </c>
      <c r="E263" t="s">
        <v>1220</v>
      </c>
      <c r="F263" t="s">
        <v>1237</v>
      </c>
      <c r="G263">
        <v>2</v>
      </c>
      <c r="H263">
        <v>1163</v>
      </c>
      <c r="I263">
        <v>2326</v>
      </c>
      <c r="J263" s="2">
        <v>287.61</v>
      </c>
    </row>
    <row r="264" spans="1:10" x14ac:dyDescent="0.3">
      <c r="A264" t="s">
        <v>272</v>
      </c>
      <c r="B264" s="1">
        <v>45072</v>
      </c>
      <c r="C264" t="s">
        <v>1211</v>
      </c>
      <c r="D264" t="s">
        <v>1218</v>
      </c>
      <c r="E264" t="s">
        <v>1222</v>
      </c>
      <c r="F264" t="s">
        <v>1227</v>
      </c>
      <c r="G264">
        <v>3</v>
      </c>
      <c r="H264">
        <v>305</v>
      </c>
      <c r="I264">
        <v>915</v>
      </c>
      <c r="J264" s="2">
        <v>168.14</v>
      </c>
    </row>
    <row r="265" spans="1:10" x14ac:dyDescent="0.3">
      <c r="A265" t="s">
        <v>273</v>
      </c>
      <c r="B265" s="1">
        <v>45277</v>
      </c>
      <c r="C265" t="s">
        <v>1213</v>
      </c>
      <c r="D265" t="s">
        <v>1217</v>
      </c>
      <c r="E265" t="s">
        <v>1222</v>
      </c>
      <c r="F265" t="s">
        <v>1236</v>
      </c>
      <c r="G265">
        <v>9</v>
      </c>
      <c r="H265">
        <v>4645</v>
      </c>
      <c r="I265">
        <v>41805</v>
      </c>
      <c r="J265" s="2">
        <v>4631.8</v>
      </c>
    </row>
    <row r="266" spans="1:10" x14ac:dyDescent="0.3">
      <c r="A266" t="s">
        <v>274</v>
      </c>
      <c r="B266" s="1">
        <v>45224</v>
      </c>
      <c r="C266" t="s">
        <v>1213</v>
      </c>
      <c r="D266" t="s">
        <v>1216</v>
      </c>
      <c r="E266" t="s">
        <v>1219</v>
      </c>
      <c r="F266" t="s">
        <v>1232</v>
      </c>
      <c r="G266">
        <v>7</v>
      </c>
      <c r="H266">
        <v>2559</v>
      </c>
      <c r="I266">
        <v>17913</v>
      </c>
      <c r="J266" s="2">
        <v>3849.13</v>
      </c>
    </row>
    <row r="267" spans="1:10" x14ac:dyDescent="0.3">
      <c r="A267" t="s">
        <v>275</v>
      </c>
      <c r="B267" s="1">
        <v>45098</v>
      </c>
      <c r="C267" t="s">
        <v>1213</v>
      </c>
      <c r="D267" t="s">
        <v>1215</v>
      </c>
      <c r="E267" t="s">
        <v>1221</v>
      </c>
      <c r="F267" t="s">
        <v>1226</v>
      </c>
      <c r="G267">
        <v>6</v>
      </c>
      <c r="H267">
        <v>1998</v>
      </c>
      <c r="I267">
        <v>11988</v>
      </c>
      <c r="J267" s="2">
        <v>2621.5</v>
      </c>
    </row>
    <row r="268" spans="1:10" x14ac:dyDescent="0.3">
      <c r="A268" t="s">
        <v>276</v>
      </c>
      <c r="B268" s="1">
        <v>44952</v>
      </c>
      <c r="C268" t="s">
        <v>1212</v>
      </c>
      <c r="D268" t="s">
        <v>1217</v>
      </c>
      <c r="E268" t="s">
        <v>1220</v>
      </c>
      <c r="F268" t="s">
        <v>1237</v>
      </c>
      <c r="G268">
        <v>7</v>
      </c>
      <c r="H268">
        <v>1500</v>
      </c>
      <c r="I268">
        <v>10500</v>
      </c>
      <c r="J268" s="2">
        <v>2418.31</v>
      </c>
    </row>
    <row r="269" spans="1:10" x14ac:dyDescent="0.3">
      <c r="A269" t="s">
        <v>277</v>
      </c>
      <c r="B269" s="1">
        <v>45078</v>
      </c>
      <c r="C269" t="s">
        <v>1213</v>
      </c>
      <c r="D269" t="s">
        <v>1218</v>
      </c>
      <c r="E269" t="s">
        <v>1221</v>
      </c>
      <c r="F269" t="s">
        <v>1229</v>
      </c>
      <c r="G269">
        <v>9</v>
      </c>
      <c r="H269">
        <v>1860</v>
      </c>
      <c r="I269">
        <v>16740</v>
      </c>
      <c r="J269" s="2">
        <v>3917.18</v>
      </c>
    </row>
    <row r="270" spans="1:10" x14ac:dyDescent="0.3">
      <c r="A270" t="s">
        <v>278</v>
      </c>
      <c r="B270" s="1">
        <v>45026</v>
      </c>
      <c r="C270" t="s">
        <v>1213</v>
      </c>
      <c r="D270" t="s">
        <v>1217</v>
      </c>
      <c r="E270" t="s">
        <v>1220</v>
      </c>
      <c r="F270" t="s">
        <v>1237</v>
      </c>
      <c r="G270">
        <v>5</v>
      </c>
      <c r="H270">
        <v>4345</v>
      </c>
      <c r="I270">
        <v>21725</v>
      </c>
      <c r="J270" s="2">
        <v>4441.3</v>
      </c>
    </row>
    <row r="271" spans="1:10" x14ac:dyDescent="0.3">
      <c r="A271" t="s">
        <v>279</v>
      </c>
      <c r="B271" s="1">
        <v>44995</v>
      </c>
      <c r="C271" t="s">
        <v>1210</v>
      </c>
      <c r="D271" t="s">
        <v>1218</v>
      </c>
      <c r="E271" t="s">
        <v>1222</v>
      </c>
      <c r="F271" t="s">
        <v>1230</v>
      </c>
      <c r="G271">
        <v>3</v>
      </c>
      <c r="H271">
        <v>3240</v>
      </c>
      <c r="I271">
        <v>9720</v>
      </c>
      <c r="J271" s="2">
        <v>1478.13</v>
      </c>
    </row>
    <row r="272" spans="1:10" x14ac:dyDescent="0.3">
      <c r="A272" t="s">
        <v>280</v>
      </c>
      <c r="B272" s="1">
        <v>45076</v>
      </c>
      <c r="C272" t="s">
        <v>1213</v>
      </c>
      <c r="D272" t="s">
        <v>1215</v>
      </c>
      <c r="E272" t="s">
        <v>1219</v>
      </c>
      <c r="F272" t="s">
        <v>1223</v>
      </c>
      <c r="G272">
        <v>2</v>
      </c>
      <c r="H272">
        <v>4968</v>
      </c>
      <c r="I272">
        <v>9936</v>
      </c>
      <c r="J272" s="2">
        <v>1160.98</v>
      </c>
    </row>
    <row r="273" spans="1:10" x14ac:dyDescent="0.3">
      <c r="A273" t="s">
        <v>281</v>
      </c>
      <c r="B273" s="1">
        <v>45004</v>
      </c>
      <c r="C273" t="s">
        <v>1212</v>
      </c>
      <c r="D273" t="s">
        <v>1215</v>
      </c>
      <c r="E273" t="s">
        <v>1219</v>
      </c>
      <c r="F273" t="s">
        <v>1238</v>
      </c>
      <c r="G273">
        <v>7</v>
      </c>
      <c r="H273">
        <v>1746</v>
      </c>
      <c r="I273">
        <v>12222</v>
      </c>
      <c r="J273" s="2">
        <v>1459.69</v>
      </c>
    </row>
    <row r="274" spans="1:10" x14ac:dyDescent="0.3">
      <c r="A274" t="s">
        <v>282</v>
      </c>
      <c r="B274" s="1">
        <v>45189</v>
      </c>
      <c r="C274" t="s">
        <v>1212</v>
      </c>
      <c r="D274" t="s">
        <v>1217</v>
      </c>
      <c r="E274" t="s">
        <v>1222</v>
      </c>
      <c r="F274" t="s">
        <v>1230</v>
      </c>
      <c r="G274">
        <v>9</v>
      </c>
      <c r="H274">
        <v>969</v>
      </c>
      <c r="I274">
        <v>8721</v>
      </c>
      <c r="J274" s="2">
        <v>1104.71</v>
      </c>
    </row>
    <row r="275" spans="1:10" x14ac:dyDescent="0.3">
      <c r="A275" t="s">
        <v>283</v>
      </c>
      <c r="B275" s="1">
        <v>45206</v>
      </c>
      <c r="C275" t="s">
        <v>1213</v>
      </c>
      <c r="D275" t="s">
        <v>1214</v>
      </c>
      <c r="E275" t="s">
        <v>1219</v>
      </c>
      <c r="F275" t="s">
        <v>1233</v>
      </c>
      <c r="G275">
        <v>6</v>
      </c>
      <c r="H275">
        <v>4208</v>
      </c>
      <c r="I275">
        <v>25248</v>
      </c>
      <c r="J275" s="2">
        <v>4991.8900000000003</v>
      </c>
    </row>
    <row r="276" spans="1:10" x14ac:dyDescent="0.3">
      <c r="A276" t="s">
        <v>284</v>
      </c>
      <c r="B276" s="1">
        <v>45035</v>
      </c>
      <c r="C276" t="s">
        <v>1211</v>
      </c>
      <c r="D276" t="s">
        <v>1216</v>
      </c>
      <c r="E276" t="s">
        <v>1221</v>
      </c>
      <c r="G276">
        <v>6</v>
      </c>
      <c r="H276">
        <v>2801</v>
      </c>
      <c r="I276">
        <v>16806</v>
      </c>
      <c r="J276" s="2">
        <v>3931.58</v>
      </c>
    </row>
    <row r="277" spans="1:10" x14ac:dyDescent="0.3">
      <c r="A277" t="s">
        <v>285</v>
      </c>
      <c r="B277" s="1">
        <v>44996</v>
      </c>
      <c r="C277" t="s">
        <v>1212</v>
      </c>
      <c r="D277" t="s">
        <v>1216</v>
      </c>
      <c r="E277" t="s">
        <v>1221</v>
      </c>
      <c r="F277" t="s">
        <v>1231</v>
      </c>
      <c r="G277">
        <v>1</v>
      </c>
      <c r="H277">
        <v>272</v>
      </c>
      <c r="I277">
        <v>272</v>
      </c>
      <c r="J277" s="2">
        <v>36.71</v>
      </c>
    </row>
    <row r="278" spans="1:10" x14ac:dyDescent="0.3">
      <c r="A278" t="s">
        <v>286</v>
      </c>
      <c r="B278" s="1">
        <v>45086</v>
      </c>
      <c r="C278" t="s">
        <v>1212</v>
      </c>
      <c r="D278" t="s">
        <v>1217</v>
      </c>
      <c r="E278" t="s">
        <v>1222</v>
      </c>
      <c r="F278" t="s">
        <v>1234</v>
      </c>
      <c r="G278">
        <v>2</v>
      </c>
      <c r="H278">
        <v>2764</v>
      </c>
      <c r="I278">
        <v>5528</v>
      </c>
      <c r="J278" s="2">
        <v>507.96</v>
      </c>
    </row>
    <row r="279" spans="1:10" x14ac:dyDescent="0.3">
      <c r="A279" t="s">
        <v>287</v>
      </c>
      <c r="B279" s="1">
        <v>45141</v>
      </c>
      <c r="C279" t="s">
        <v>1213</v>
      </c>
      <c r="D279" t="s">
        <v>1217</v>
      </c>
      <c r="E279" t="s">
        <v>1219</v>
      </c>
      <c r="F279" t="s">
        <v>1233</v>
      </c>
      <c r="G279">
        <v>3</v>
      </c>
      <c r="H279">
        <v>541</v>
      </c>
      <c r="I279">
        <v>1623</v>
      </c>
      <c r="J279" s="2">
        <v>314.56</v>
      </c>
    </row>
    <row r="280" spans="1:10" x14ac:dyDescent="0.3">
      <c r="A280" t="s">
        <v>288</v>
      </c>
      <c r="B280" s="1">
        <v>45042</v>
      </c>
      <c r="C280" t="s">
        <v>1213</v>
      </c>
      <c r="D280" t="s">
        <v>1216</v>
      </c>
      <c r="E280" t="s">
        <v>1220</v>
      </c>
      <c r="F280" t="s">
        <v>1228</v>
      </c>
      <c r="G280">
        <v>3</v>
      </c>
      <c r="H280">
        <v>2601</v>
      </c>
      <c r="I280">
        <v>7803</v>
      </c>
      <c r="J280" s="2">
        <v>1216.33</v>
      </c>
    </row>
    <row r="281" spans="1:10" x14ac:dyDescent="0.3">
      <c r="A281" t="s">
        <v>289</v>
      </c>
      <c r="B281" s="1">
        <v>45229</v>
      </c>
      <c r="C281" t="s">
        <v>1212</v>
      </c>
      <c r="D281" t="s">
        <v>1217</v>
      </c>
      <c r="E281" t="s">
        <v>1220</v>
      </c>
      <c r="F281" t="s">
        <v>1224</v>
      </c>
      <c r="G281">
        <v>5</v>
      </c>
      <c r="H281">
        <v>2068</v>
      </c>
      <c r="I281">
        <v>10340</v>
      </c>
      <c r="J281" s="2">
        <v>1943.33</v>
      </c>
    </row>
    <row r="282" spans="1:10" x14ac:dyDescent="0.3">
      <c r="A282" t="s">
        <v>290</v>
      </c>
      <c r="B282" s="1">
        <v>45071</v>
      </c>
      <c r="C282" t="s">
        <v>1213</v>
      </c>
      <c r="D282" t="s">
        <v>1216</v>
      </c>
      <c r="E282" t="s">
        <v>1220</v>
      </c>
      <c r="F282" t="s">
        <v>1225</v>
      </c>
      <c r="G282">
        <v>9</v>
      </c>
      <c r="H282">
        <v>2302</v>
      </c>
      <c r="I282">
        <v>20718</v>
      </c>
      <c r="J282" s="2">
        <v>4320.6899999999996</v>
      </c>
    </row>
    <row r="283" spans="1:10" x14ac:dyDescent="0.3">
      <c r="A283" t="s">
        <v>291</v>
      </c>
      <c r="B283" s="1">
        <v>45205</v>
      </c>
      <c r="C283" t="s">
        <v>1213</v>
      </c>
      <c r="D283" t="s">
        <v>1214</v>
      </c>
      <c r="E283" t="s">
        <v>1221</v>
      </c>
      <c r="F283" t="s">
        <v>1226</v>
      </c>
      <c r="G283">
        <v>3</v>
      </c>
      <c r="H283">
        <v>1879</v>
      </c>
      <c r="I283">
        <v>5637</v>
      </c>
      <c r="J283" s="2">
        <v>817.53</v>
      </c>
    </row>
    <row r="284" spans="1:10" x14ac:dyDescent="0.3">
      <c r="A284" t="s">
        <v>292</v>
      </c>
      <c r="B284" s="1">
        <v>45247</v>
      </c>
      <c r="C284" t="s">
        <v>1212</v>
      </c>
      <c r="D284" t="s">
        <v>1215</v>
      </c>
      <c r="E284" t="s">
        <v>1221</v>
      </c>
      <c r="F284" t="s">
        <v>1229</v>
      </c>
      <c r="G284">
        <v>5</v>
      </c>
      <c r="H284">
        <v>4143</v>
      </c>
      <c r="I284">
        <v>20715</v>
      </c>
      <c r="J284" s="2">
        <v>4363.8599999999997</v>
      </c>
    </row>
    <row r="285" spans="1:10" x14ac:dyDescent="0.3">
      <c r="A285" t="s">
        <v>293</v>
      </c>
      <c r="B285" s="1">
        <v>45087</v>
      </c>
      <c r="C285" t="s">
        <v>1212</v>
      </c>
      <c r="D285" t="s">
        <v>1216</v>
      </c>
      <c r="E285" t="s">
        <v>1221</v>
      </c>
      <c r="F285" t="s">
        <v>1229</v>
      </c>
      <c r="G285">
        <v>6</v>
      </c>
      <c r="H285">
        <v>4751</v>
      </c>
      <c r="I285">
        <v>28506</v>
      </c>
      <c r="J285" s="2">
        <v>5940.54</v>
      </c>
    </row>
    <row r="286" spans="1:10" x14ac:dyDescent="0.3">
      <c r="A286" t="s">
        <v>294</v>
      </c>
      <c r="B286" s="1">
        <v>45077</v>
      </c>
      <c r="C286" t="s">
        <v>1211</v>
      </c>
      <c r="D286" t="s">
        <v>1215</v>
      </c>
      <c r="E286" t="s">
        <v>1220</v>
      </c>
      <c r="F286" t="s">
        <v>1224</v>
      </c>
      <c r="G286">
        <v>2</v>
      </c>
      <c r="H286">
        <v>2756</v>
      </c>
      <c r="I286">
        <v>5512</v>
      </c>
      <c r="J286" s="2">
        <v>474.84</v>
      </c>
    </row>
    <row r="287" spans="1:10" x14ac:dyDescent="0.3">
      <c r="A287" t="s">
        <v>295</v>
      </c>
      <c r="B287" s="1">
        <v>45257</v>
      </c>
      <c r="C287" t="s">
        <v>1210</v>
      </c>
      <c r="D287" t="s">
        <v>1216</v>
      </c>
      <c r="E287" t="s">
        <v>1220</v>
      </c>
      <c r="F287" t="s">
        <v>1228</v>
      </c>
      <c r="G287">
        <v>5</v>
      </c>
      <c r="H287">
        <v>3017</v>
      </c>
      <c r="I287">
        <v>15085</v>
      </c>
      <c r="J287" s="2">
        <v>3609.58</v>
      </c>
    </row>
    <row r="288" spans="1:10" x14ac:dyDescent="0.3">
      <c r="A288" t="s">
        <v>296</v>
      </c>
      <c r="B288" s="1">
        <v>45069</v>
      </c>
      <c r="C288" t="s">
        <v>1211</v>
      </c>
      <c r="D288" t="s">
        <v>1216</v>
      </c>
      <c r="E288" t="s">
        <v>1220</v>
      </c>
      <c r="F288" t="s">
        <v>1237</v>
      </c>
      <c r="G288">
        <v>4</v>
      </c>
      <c r="H288">
        <v>4606</v>
      </c>
      <c r="I288">
        <v>18424</v>
      </c>
      <c r="J288" s="2">
        <v>1980.58</v>
      </c>
    </row>
    <row r="289" spans="1:10" x14ac:dyDescent="0.3">
      <c r="A289" t="s">
        <v>297</v>
      </c>
      <c r="B289" s="1">
        <v>45217</v>
      </c>
      <c r="C289" t="s">
        <v>1211</v>
      </c>
      <c r="D289" t="s">
        <v>1217</v>
      </c>
      <c r="E289" t="s">
        <v>1222</v>
      </c>
      <c r="F289" t="s">
        <v>1236</v>
      </c>
      <c r="G289">
        <v>1</v>
      </c>
      <c r="H289">
        <v>4337</v>
      </c>
      <c r="I289">
        <v>4337</v>
      </c>
      <c r="J289" s="2">
        <v>744.9</v>
      </c>
    </row>
    <row r="290" spans="1:10" x14ac:dyDescent="0.3">
      <c r="A290" t="s">
        <v>298</v>
      </c>
      <c r="B290" s="1">
        <v>44940</v>
      </c>
      <c r="C290" t="s">
        <v>1212</v>
      </c>
      <c r="D290" t="s">
        <v>1215</v>
      </c>
      <c r="E290" t="s">
        <v>1220</v>
      </c>
      <c r="F290" t="s">
        <v>1225</v>
      </c>
      <c r="G290">
        <v>6</v>
      </c>
      <c r="H290">
        <v>3338</v>
      </c>
      <c r="I290">
        <v>20028</v>
      </c>
      <c r="J290" s="2">
        <v>4292.1000000000004</v>
      </c>
    </row>
    <row r="291" spans="1:10" x14ac:dyDescent="0.3">
      <c r="A291" t="s">
        <v>299</v>
      </c>
      <c r="B291" s="1">
        <v>45202</v>
      </c>
      <c r="C291" t="s">
        <v>1211</v>
      </c>
      <c r="D291" t="s">
        <v>1217</v>
      </c>
      <c r="E291" t="s">
        <v>1219</v>
      </c>
      <c r="F291" t="s">
        <v>1233</v>
      </c>
      <c r="G291">
        <v>2</v>
      </c>
      <c r="H291">
        <v>3178</v>
      </c>
      <c r="I291">
        <v>6356</v>
      </c>
      <c r="J291" s="2">
        <v>882.45</v>
      </c>
    </row>
    <row r="292" spans="1:10" x14ac:dyDescent="0.3">
      <c r="A292" t="s">
        <v>300</v>
      </c>
      <c r="B292" s="1">
        <v>45247</v>
      </c>
      <c r="C292" t="s">
        <v>1211</v>
      </c>
      <c r="D292" t="s">
        <v>1215</v>
      </c>
      <c r="E292" t="s">
        <v>1222</v>
      </c>
      <c r="F292" t="s">
        <v>1230</v>
      </c>
      <c r="G292">
        <v>9</v>
      </c>
      <c r="H292">
        <v>4459</v>
      </c>
      <c r="I292">
        <v>40131</v>
      </c>
      <c r="J292" s="2">
        <v>7347.31</v>
      </c>
    </row>
    <row r="293" spans="1:10" x14ac:dyDescent="0.3">
      <c r="A293" t="s">
        <v>301</v>
      </c>
      <c r="B293" s="1">
        <v>45067</v>
      </c>
      <c r="C293" t="s">
        <v>1212</v>
      </c>
      <c r="D293" t="s">
        <v>1217</v>
      </c>
      <c r="E293" t="s">
        <v>1221</v>
      </c>
      <c r="F293" t="s">
        <v>1235</v>
      </c>
      <c r="G293">
        <v>3</v>
      </c>
      <c r="H293">
        <v>2160</v>
      </c>
      <c r="I293">
        <v>6480</v>
      </c>
      <c r="J293" s="2">
        <v>1427.44</v>
      </c>
    </row>
    <row r="294" spans="1:10" x14ac:dyDescent="0.3">
      <c r="A294" t="s">
        <v>302</v>
      </c>
      <c r="B294" s="1">
        <v>44994</v>
      </c>
      <c r="C294" t="s">
        <v>1212</v>
      </c>
      <c r="D294" t="s">
        <v>1216</v>
      </c>
      <c r="E294" t="s">
        <v>1221</v>
      </c>
      <c r="F294" t="s">
        <v>1231</v>
      </c>
      <c r="G294">
        <v>2</v>
      </c>
      <c r="H294">
        <v>1163</v>
      </c>
      <c r="I294">
        <v>2326</v>
      </c>
      <c r="J294" s="2">
        <v>239.53</v>
      </c>
    </row>
    <row r="295" spans="1:10" x14ac:dyDescent="0.3">
      <c r="A295" t="s">
        <v>303</v>
      </c>
      <c r="B295" s="1">
        <v>45086</v>
      </c>
      <c r="C295" t="s">
        <v>1212</v>
      </c>
      <c r="D295" t="s">
        <v>1214</v>
      </c>
      <c r="E295" t="s">
        <v>1221</v>
      </c>
      <c r="F295" t="s">
        <v>1226</v>
      </c>
      <c r="G295">
        <v>4</v>
      </c>
      <c r="H295">
        <v>3236</v>
      </c>
      <c r="I295">
        <v>12944</v>
      </c>
      <c r="J295" s="2">
        <v>1268.03</v>
      </c>
    </row>
    <row r="296" spans="1:10" x14ac:dyDescent="0.3">
      <c r="A296" t="s">
        <v>304</v>
      </c>
      <c r="B296" s="1">
        <v>45056</v>
      </c>
      <c r="C296" t="s">
        <v>1211</v>
      </c>
      <c r="D296" t="s">
        <v>1214</v>
      </c>
      <c r="E296" t="s">
        <v>1220</v>
      </c>
      <c r="F296" t="s">
        <v>1225</v>
      </c>
      <c r="G296">
        <v>7</v>
      </c>
      <c r="H296">
        <v>2153</v>
      </c>
      <c r="I296">
        <v>15071</v>
      </c>
      <c r="J296" s="2">
        <v>2383.7199999999998</v>
      </c>
    </row>
    <row r="297" spans="1:10" x14ac:dyDescent="0.3">
      <c r="A297" t="s">
        <v>305</v>
      </c>
      <c r="B297" s="1">
        <v>45025</v>
      </c>
      <c r="C297" t="s">
        <v>1212</v>
      </c>
      <c r="D297" t="s">
        <v>1218</v>
      </c>
      <c r="E297" t="s">
        <v>1220</v>
      </c>
      <c r="F297" t="s">
        <v>1228</v>
      </c>
      <c r="G297">
        <v>8</v>
      </c>
      <c r="H297">
        <v>656</v>
      </c>
      <c r="I297">
        <v>5248</v>
      </c>
      <c r="J297" s="2">
        <v>803.77</v>
      </c>
    </row>
    <row r="298" spans="1:10" x14ac:dyDescent="0.3">
      <c r="A298" t="s">
        <v>306</v>
      </c>
      <c r="B298" s="1">
        <v>45186</v>
      </c>
      <c r="C298" t="s">
        <v>1213</v>
      </c>
      <c r="D298" t="s">
        <v>1218</v>
      </c>
      <c r="E298" t="s">
        <v>1221</v>
      </c>
      <c r="F298" t="s">
        <v>1229</v>
      </c>
      <c r="G298">
        <v>3</v>
      </c>
      <c r="H298">
        <v>599</v>
      </c>
      <c r="I298">
        <v>1797</v>
      </c>
      <c r="J298" s="2">
        <v>162.79</v>
      </c>
    </row>
    <row r="299" spans="1:10" x14ac:dyDescent="0.3">
      <c r="A299" t="s">
        <v>307</v>
      </c>
      <c r="B299" s="1">
        <v>45050</v>
      </c>
      <c r="C299" t="s">
        <v>1211</v>
      </c>
      <c r="D299" t="s">
        <v>1217</v>
      </c>
      <c r="E299" t="s">
        <v>1222</v>
      </c>
      <c r="F299" t="s">
        <v>1227</v>
      </c>
      <c r="G299">
        <v>4</v>
      </c>
      <c r="H299">
        <v>3492</v>
      </c>
      <c r="I299">
        <v>13968</v>
      </c>
      <c r="J299" s="2">
        <v>2598.92</v>
      </c>
    </row>
    <row r="300" spans="1:10" x14ac:dyDescent="0.3">
      <c r="A300" t="s">
        <v>308</v>
      </c>
      <c r="B300" s="1">
        <v>44933</v>
      </c>
      <c r="C300" t="s">
        <v>1210</v>
      </c>
      <c r="D300" t="s">
        <v>1216</v>
      </c>
      <c r="E300" t="s">
        <v>1219</v>
      </c>
      <c r="F300" t="s">
        <v>1232</v>
      </c>
      <c r="G300">
        <v>4</v>
      </c>
      <c r="H300">
        <v>967</v>
      </c>
      <c r="I300">
        <v>3868</v>
      </c>
      <c r="J300" s="2">
        <v>437.42</v>
      </c>
    </row>
    <row r="301" spans="1:10" x14ac:dyDescent="0.3">
      <c r="A301" t="s">
        <v>309</v>
      </c>
      <c r="B301" s="1">
        <v>45059</v>
      </c>
      <c r="C301" t="s">
        <v>1211</v>
      </c>
      <c r="D301" t="s">
        <v>1217</v>
      </c>
      <c r="E301" t="s">
        <v>1220</v>
      </c>
      <c r="F301" t="s">
        <v>1225</v>
      </c>
      <c r="G301">
        <v>7</v>
      </c>
      <c r="H301">
        <v>1964</v>
      </c>
      <c r="I301">
        <v>13748</v>
      </c>
      <c r="J301" s="2">
        <v>2004.5</v>
      </c>
    </row>
    <row r="302" spans="1:10" x14ac:dyDescent="0.3">
      <c r="A302" t="s">
        <v>310</v>
      </c>
      <c r="B302" s="1">
        <v>45075</v>
      </c>
      <c r="C302" t="s">
        <v>1211</v>
      </c>
      <c r="D302" t="s">
        <v>1217</v>
      </c>
      <c r="E302" t="s">
        <v>1220</v>
      </c>
      <c r="F302" t="s">
        <v>1237</v>
      </c>
      <c r="G302">
        <v>5</v>
      </c>
      <c r="H302">
        <v>2493</v>
      </c>
      <c r="I302">
        <v>12465</v>
      </c>
      <c r="J302" s="2">
        <v>2671.97</v>
      </c>
    </row>
    <row r="303" spans="1:10" x14ac:dyDescent="0.3">
      <c r="A303" t="s">
        <v>311</v>
      </c>
      <c r="B303" s="1">
        <v>45168</v>
      </c>
      <c r="C303" t="s">
        <v>1212</v>
      </c>
      <c r="E303" t="s">
        <v>1221</v>
      </c>
      <c r="F303" t="s">
        <v>1235</v>
      </c>
      <c r="G303">
        <v>5</v>
      </c>
      <c r="H303">
        <v>3284</v>
      </c>
      <c r="I303">
        <v>16420</v>
      </c>
      <c r="J303" s="2">
        <v>1347.43</v>
      </c>
    </row>
    <row r="304" spans="1:10" x14ac:dyDescent="0.3">
      <c r="A304" t="s">
        <v>312</v>
      </c>
      <c r="B304" s="1">
        <v>45114</v>
      </c>
      <c r="C304" t="s">
        <v>1210</v>
      </c>
      <c r="D304" t="s">
        <v>1215</v>
      </c>
      <c r="E304" t="s">
        <v>1222</v>
      </c>
      <c r="F304" t="s">
        <v>1230</v>
      </c>
      <c r="G304">
        <v>5</v>
      </c>
      <c r="H304">
        <v>4468</v>
      </c>
      <c r="I304">
        <v>22340</v>
      </c>
      <c r="J304" s="2">
        <v>1949.11</v>
      </c>
    </row>
    <row r="305" spans="1:10" x14ac:dyDescent="0.3">
      <c r="A305" t="s">
        <v>313</v>
      </c>
      <c r="B305" s="1">
        <v>45122</v>
      </c>
      <c r="C305" t="s">
        <v>1211</v>
      </c>
      <c r="D305" t="s">
        <v>1216</v>
      </c>
      <c r="E305" t="s">
        <v>1221</v>
      </c>
      <c r="F305" t="s">
        <v>1226</v>
      </c>
      <c r="G305">
        <v>7</v>
      </c>
      <c r="H305">
        <v>4924</v>
      </c>
      <c r="I305">
        <v>34468</v>
      </c>
      <c r="J305" s="2">
        <v>5618.32</v>
      </c>
    </row>
    <row r="306" spans="1:10" x14ac:dyDescent="0.3">
      <c r="A306" t="s">
        <v>314</v>
      </c>
      <c r="B306" s="1">
        <v>44968</v>
      </c>
      <c r="C306" t="s">
        <v>1212</v>
      </c>
      <c r="D306" t="s">
        <v>1217</v>
      </c>
      <c r="E306" t="s">
        <v>1221</v>
      </c>
      <c r="F306" t="s">
        <v>1226</v>
      </c>
      <c r="G306">
        <v>2</v>
      </c>
      <c r="H306">
        <v>4004</v>
      </c>
      <c r="I306">
        <v>8008</v>
      </c>
      <c r="J306" s="2">
        <v>1177.6600000000001</v>
      </c>
    </row>
    <row r="307" spans="1:10" x14ac:dyDescent="0.3">
      <c r="A307" t="s">
        <v>315</v>
      </c>
      <c r="B307" s="1">
        <v>45055</v>
      </c>
      <c r="C307" t="s">
        <v>1211</v>
      </c>
      <c r="D307" t="s">
        <v>1216</v>
      </c>
      <c r="E307" t="s">
        <v>1222</v>
      </c>
      <c r="F307" t="s">
        <v>1234</v>
      </c>
      <c r="G307">
        <v>9</v>
      </c>
      <c r="H307">
        <v>216</v>
      </c>
      <c r="I307">
        <v>1944</v>
      </c>
      <c r="J307" s="2">
        <v>373.2</v>
      </c>
    </row>
    <row r="308" spans="1:10" x14ac:dyDescent="0.3">
      <c r="A308" t="s">
        <v>316</v>
      </c>
      <c r="B308" s="1">
        <v>45158</v>
      </c>
      <c r="C308" t="s">
        <v>1212</v>
      </c>
      <c r="D308" t="s">
        <v>1216</v>
      </c>
      <c r="E308" t="s">
        <v>1221</v>
      </c>
      <c r="F308" t="s">
        <v>1231</v>
      </c>
      <c r="G308">
        <v>1</v>
      </c>
      <c r="H308">
        <v>441</v>
      </c>
      <c r="I308">
        <v>441</v>
      </c>
      <c r="J308" s="2">
        <v>38.159999999999997</v>
      </c>
    </row>
    <row r="309" spans="1:10" x14ac:dyDescent="0.3">
      <c r="A309" t="s">
        <v>317</v>
      </c>
      <c r="B309" s="1">
        <v>45126</v>
      </c>
      <c r="C309" t="s">
        <v>1212</v>
      </c>
      <c r="D309" t="s">
        <v>1218</v>
      </c>
      <c r="E309" t="s">
        <v>1219</v>
      </c>
      <c r="F309" t="s">
        <v>1238</v>
      </c>
      <c r="G309">
        <v>2</v>
      </c>
      <c r="H309">
        <v>975</v>
      </c>
      <c r="I309">
        <v>1950</v>
      </c>
      <c r="J309" s="2">
        <v>452.73</v>
      </c>
    </row>
    <row r="310" spans="1:10" x14ac:dyDescent="0.3">
      <c r="A310" t="s">
        <v>318</v>
      </c>
      <c r="B310" s="1">
        <v>45126</v>
      </c>
      <c r="C310" t="s">
        <v>1212</v>
      </c>
      <c r="D310" t="s">
        <v>1214</v>
      </c>
      <c r="E310" t="s">
        <v>1221</v>
      </c>
      <c r="F310" t="s">
        <v>1235</v>
      </c>
      <c r="G310">
        <v>8</v>
      </c>
      <c r="H310">
        <v>2348</v>
      </c>
      <c r="I310">
        <v>18784</v>
      </c>
      <c r="J310" s="2">
        <v>1655.46</v>
      </c>
    </row>
    <row r="311" spans="1:10" x14ac:dyDescent="0.3">
      <c r="A311" t="s">
        <v>319</v>
      </c>
      <c r="B311" s="1">
        <v>44943</v>
      </c>
      <c r="C311" t="s">
        <v>1212</v>
      </c>
      <c r="D311" t="s">
        <v>1216</v>
      </c>
      <c r="E311" t="s">
        <v>1222</v>
      </c>
      <c r="F311" t="s">
        <v>1234</v>
      </c>
      <c r="G311">
        <v>3</v>
      </c>
      <c r="H311">
        <v>607</v>
      </c>
      <c r="I311">
        <v>1821</v>
      </c>
      <c r="J311" s="2">
        <v>178.3</v>
      </c>
    </row>
    <row r="312" spans="1:10" x14ac:dyDescent="0.3">
      <c r="A312" t="s">
        <v>320</v>
      </c>
      <c r="B312" s="1">
        <v>45137</v>
      </c>
      <c r="C312" t="s">
        <v>1210</v>
      </c>
      <c r="D312" t="s">
        <v>1214</v>
      </c>
      <c r="E312" t="s">
        <v>1222</v>
      </c>
      <c r="F312" t="s">
        <v>1236</v>
      </c>
      <c r="G312">
        <v>4</v>
      </c>
      <c r="H312">
        <v>1874</v>
      </c>
      <c r="I312">
        <v>7496</v>
      </c>
      <c r="J312" s="2">
        <v>1836.73</v>
      </c>
    </row>
    <row r="313" spans="1:10" x14ac:dyDescent="0.3">
      <c r="A313" t="s">
        <v>321</v>
      </c>
      <c r="B313" s="1">
        <v>45278</v>
      </c>
      <c r="C313" t="s">
        <v>1213</v>
      </c>
      <c r="D313" t="s">
        <v>1217</v>
      </c>
      <c r="E313" t="s">
        <v>1221</v>
      </c>
      <c r="F313" t="s">
        <v>1235</v>
      </c>
      <c r="G313">
        <v>5</v>
      </c>
      <c r="H313">
        <v>972</v>
      </c>
      <c r="I313">
        <v>4860</v>
      </c>
      <c r="J313" s="2">
        <v>934.34</v>
      </c>
    </row>
    <row r="314" spans="1:10" x14ac:dyDescent="0.3">
      <c r="A314" t="s">
        <v>322</v>
      </c>
      <c r="B314" s="1">
        <v>45286</v>
      </c>
      <c r="C314" t="s">
        <v>1212</v>
      </c>
      <c r="D314" t="s">
        <v>1218</v>
      </c>
      <c r="E314" t="s">
        <v>1220</v>
      </c>
      <c r="F314" t="s">
        <v>1237</v>
      </c>
      <c r="G314">
        <v>1</v>
      </c>
      <c r="H314">
        <v>1446</v>
      </c>
      <c r="I314">
        <v>1446</v>
      </c>
      <c r="J314" s="2">
        <v>308.02999999999997</v>
      </c>
    </row>
    <row r="315" spans="1:10" x14ac:dyDescent="0.3">
      <c r="A315" t="s">
        <v>323</v>
      </c>
      <c r="B315" s="1">
        <v>45250</v>
      </c>
      <c r="C315" t="s">
        <v>1211</v>
      </c>
      <c r="D315" t="s">
        <v>1218</v>
      </c>
      <c r="E315" t="s">
        <v>1220</v>
      </c>
      <c r="F315" t="s">
        <v>1237</v>
      </c>
      <c r="G315">
        <v>2</v>
      </c>
      <c r="H315">
        <v>1162</v>
      </c>
      <c r="I315">
        <v>2324</v>
      </c>
      <c r="J315" s="2">
        <v>233.88</v>
      </c>
    </row>
    <row r="316" spans="1:10" x14ac:dyDescent="0.3">
      <c r="A316" t="s">
        <v>324</v>
      </c>
      <c r="B316" s="1">
        <v>45192</v>
      </c>
      <c r="C316" t="s">
        <v>1212</v>
      </c>
      <c r="D316" t="s">
        <v>1216</v>
      </c>
      <c r="E316" t="s">
        <v>1222</v>
      </c>
      <c r="F316" t="s">
        <v>1234</v>
      </c>
      <c r="G316">
        <v>7</v>
      </c>
      <c r="H316">
        <v>4485</v>
      </c>
      <c r="I316">
        <v>31395</v>
      </c>
      <c r="J316" s="2">
        <v>7292.7</v>
      </c>
    </row>
    <row r="317" spans="1:10" x14ac:dyDescent="0.3">
      <c r="A317" t="s">
        <v>325</v>
      </c>
      <c r="B317" s="1">
        <v>45107</v>
      </c>
      <c r="C317" t="s">
        <v>1213</v>
      </c>
      <c r="D317" t="s">
        <v>1216</v>
      </c>
      <c r="E317" t="s">
        <v>1221</v>
      </c>
      <c r="F317" t="s">
        <v>1235</v>
      </c>
      <c r="G317">
        <v>8</v>
      </c>
      <c r="H317">
        <v>969</v>
      </c>
      <c r="I317">
        <v>7752</v>
      </c>
      <c r="J317" s="2">
        <v>1413.34</v>
      </c>
    </row>
    <row r="318" spans="1:10" x14ac:dyDescent="0.3">
      <c r="A318" t="s">
        <v>326</v>
      </c>
      <c r="B318" s="1">
        <v>45079</v>
      </c>
      <c r="C318" t="s">
        <v>1213</v>
      </c>
      <c r="D318" t="s">
        <v>1214</v>
      </c>
      <c r="E318" t="s">
        <v>1220</v>
      </c>
      <c r="F318" t="s">
        <v>1237</v>
      </c>
      <c r="G318">
        <v>1</v>
      </c>
      <c r="H318">
        <v>1135</v>
      </c>
      <c r="I318">
        <v>1135</v>
      </c>
      <c r="J318" s="2">
        <v>206.29</v>
      </c>
    </row>
    <row r="319" spans="1:10" x14ac:dyDescent="0.3">
      <c r="A319" t="s">
        <v>327</v>
      </c>
      <c r="B319" s="1">
        <v>45139</v>
      </c>
      <c r="C319" t="s">
        <v>1213</v>
      </c>
      <c r="D319" t="s">
        <v>1214</v>
      </c>
      <c r="E319" t="s">
        <v>1220</v>
      </c>
      <c r="F319" t="s">
        <v>1224</v>
      </c>
      <c r="G319">
        <v>9</v>
      </c>
      <c r="H319">
        <v>3897</v>
      </c>
      <c r="I319">
        <v>35073</v>
      </c>
      <c r="J319" s="2">
        <v>8428.84</v>
      </c>
    </row>
    <row r="320" spans="1:10" x14ac:dyDescent="0.3">
      <c r="A320" t="s">
        <v>328</v>
      </c>
      <c r="B320" s="1">
        <v>44958</v>
      </c>
      <c r="C320" t="s">
        <v>1211</v>
      </c>
      <c r="D320" t="s">
        <v>1218</v>
      </c>
      <c r="E320" t="s">
        <v>1220</v>
      </c>
      <c r="F320" t="s">
        <v>1228</v>
      </c>
      <c r="G320">
        <v>8</v>
      </c>
      <c r="H320">
        <v>4188</v>
      </c>
      <c r="I320">
        <v>33504</v>
      </c>
      <c r="J320" s="2">
        <v>4308.75</v>
      </c>
    </row>
    <row r="321" spans="1:10" x14ac:dyDescent="0.3">
      <c r="A321" t="s">
        <v>329</v>
      </c>
      <c r="B321" s="1">
        <v>45075</v>
      </c>
      <c r="C321" t="s">
        <v>1211</v>
      </c>
      <c r="D321" t="s">
        <v>1216</v>
      </c>
      <c r="E321" t="s">
        <v>1221</v>
      </c>
      <c r="F321" t="s">
        <v>1231</v>
      </c>
      <c r="G321">
        <v>2</v>
      </c>
      <c r="H321">
        <v>2396</v>
      </c>
      <c r="I321">
        <v>4792</v>
      </c>
      <c r="J321" s="2">
        <v>998.45</v>
      </c>
    </row>
    <row r="322" spans="1:10" x14ac:dyDescent="0.3">
      <c r="A322" t="s">
        <v>330</v>
      </c>
      <c r="B322" s="1">
        <v>44948</v>
      </c>
      <c r="C322" t="s">
        <v>1213</v>
      </c>
      <c r="D322" t="s">
        <v>1215</v>
      </c>
      <c r="E322" t="s">
        <v>1221</v>
      </c>
      <c r="F322" t="s">
        <v>1235</v>
      </c>
      <c r="G322">
        <v>6</v>
      </c>
      <c r="H322">
        <v>861</v>
      </c>
      <c r="I322">
        <v>5166</v>
      </c>
      <c r="J322" s="2">
        <v>1278.04</v>
      </c>
    </row>
    <row r="323" spans="1:10" x14ac:dyDescent="0.3">
      <c r="A323" t="s">
        <v>331</v>
      </c>
      <c r="B323" s="1">
        <v>45209</v>
      </c>
      <c r="C323" t="s">
        <v>1211</v>
      </c>
      <c r="D323" t="s">
        <v>1214</v>
      </c>
      <c r="E323" t="s">
        <v>1222</v>
      </c>
      <c r="F323" t="s">
        <v>1230</v>
      </c>
      <c r="G323">
        <v>2</v>
      </c>
      <c r="H323">
        <v>4508</v>
      </c>
      <c r="I323">
        <v>9016</v>
      </c>
      <c r="J323" s="2">
        <v>1834</v>
      </c>
    </row>
    <row r="324" spans="1:10" x14ac:dyDescent="0.3">
      <c r="A324" t="s">
        <v>332</v>
      </c>
      <c r="B324" s="1">
        <v>45279</v>
      </c>
      <c r="C324" t="s">
        <v>1213</v>
      </c>
      <c r="D324" t="s">
        <v>1214</v>
      </c>
      <c r="E324" t="s">
        <v>1219</v>
      </c>
      <c r="F324" t="s">
        <v>1223</v>
      </c>
      <c r="G324">
        <v>6</v>
      </c>
      <c r="H324">
        <v>3954</v>
      </c>
      <c r="I324">
        <v>23724</v>
      </c>
      <c r="J324" s="2">
        <v>4955.74</v>
      </c>
    </row>
    <row r="325" spans="1:10" x14ac:dyDescent="0.3">
      <c r="A325" t="s">
        <v>333</v>
      </c>
      <c r="B325" s="1">
        <v>45221</v>
      </c>
      <c r="C325" t="s">
        <v>1213</v>
      </c>
      <c r="D325" t="s">
        <v>1218</v>
      </c>
      <c r="E325" t="s">
        <v>1219</v>
      </c>
      <c r="F325" t="s">
        <v>1233</v>
      </c>
      <c r="G325">
        <v>3</v>
      </c>
      <c r="H325">
        <v>222</v>
      </c>
      <c r="I325">
        <v>666</v>
      </c>
      <c r="J325" s="2">
        <v>131.28</v>
      </c>
    </row>
    <row r="326" spans="1:10" x14ac:dyDescent="0.3">
      <c r="A326" t="s">
        <v>334</v>
      </c>
      <c r="B326" s="1">
        <v>44998</v>
      </c>
      <c r="C326" t="s">
        <v>1212</v>
      </c>
      <c r="D326" t="s">
        <v>1216</v>
      </c>
      <c r="E326" t="s">
        <v>1221</v>
      </c>
      <c r="F326" t="s">
        <v>1231</v>
      </c>
      <c r="G326">
        <v>8</v>
      </c>
      <c r="H326">
        <v>561</v>
      </c>
      <c r="I326">
        <v>4488</v>
      </c>
      <c r="J326" s="2">
        <v>784.8</v>
      </c>
    </row>
    <row r="327" spans="1:10" x14ac:dyDescent="0.3">
      <c r="A327" t="s">
        <v>335</v>
      </c>
      <c r="B327" s="1">
        <v>44936</v>
      </c>
      <c r="C327" t="s">
        <v>1212</v>
      </c>
      <c r="D327" t="s">
        <v>1214</v>
      </c>
      <c r="E327" t="s">
        <v>1222</v>
      </c>
      <c r="F327" t="s">
        <v>1227</v>
      </c>
      <c r="G327">
        <v>1</v>
      </c>
      <c r="H327">
        <v>2055</v>
      </c>
      <c r="I327">
        <v>2055</v>
      </c>
      <c r="J327" s="2">
        <v>443.9</v>
      </c>
    </row>
    <row r="328" spans="1:10" x14ac:dyDescent="0.3">
      <c r="A328" t="s">
        <v>336</v>
      </c>
      <c r="B328" s="1">
        <v>45012</v>
      </c>
      <c r="C328" t="s">
        <v>1211</v>
      </c>
      <c r="D328" t="s">
        <v>1217</v>
      </c>
      <c r="E328" t="s">
        <v>1219</v>
      </c>
      <c r="F328" t="s">
        <v>1233</v>
      </c>
      <c r="G328">
        <v>9</v>
      </c>
      <c r="H328">
        <v>2359</v>
      </c>
      <c r="I328">
        <v>21231</v>
      </c>
      <c r="J328" s="2">
        <v>4527.3999999999996</v>
      </c>
    </row>
    <row r="329" spans="1:10" x14ac:dyDescent="0.3">
      <c r="A329" t="s">
        <v>337</v>
      </c>
      <c r="B329" s="1">
        <v>44946</v>
      </c>
      <c r="C329" t="s">
        <v>1210</v>
      </c>
      <c r="D329" t="s">
        <v>1214</v>
      </c>
      <c r="E329" t="s">
        <v>1220</v>
      </c>
      <c r="G329">
        <v>1</v>
      </c>
      <c r="H329">
        <v>1237</v>
      </c>
      <c r="I329">
        <v>1237</v>
      </c>
      <c r="J329" s="2">
        <v>256.58</v>
      </c>
    </row>
    <row r="330" spans="1:10" x14ac:dyDescent="0.3">
      <c r="A330" t="s">
        <v>338</v>
      </c>
      <c r="B330" s="1">
        <v>45112</v>
      </c>
      <c r="C330" t="s">
        <v>1213</v>
      </c>
      <c r="D330" t="s">
        <v>1215</v>
      </c>
      <c r="E330" t="s">
        <v>1219</v>
      </c>
      <c r="F330" t="s">
        <v>1238</v>
      </c>
      <c r="G330">
        <v>6</v>
      </c>
      <c r="H330">
        <v>4095</v>
      </c>
      <c r="I330">
        <v>24570</v>
      </c>
      <c r="J330" s="2">
        <v>4062.61</v>
      </c>
    </row>
    <row r="331" spans="1:10" x14ac:dyDescent="0.3">
      <c r="A331" t="s">
        <v>339</v>
      </c>
      <c r="B331" s="1">
        <v>45219</v>
      </c>
      <c r="C331" t="s">
        <v>1211</v>
      </c>
      <c r="D331" t="s">
        <v>1215</v>
      </c>
      <c r="E331" t="s">
        <v>1221</v>
      </c>
      <c r="F331" t="s">
        <v>1226</v>
      </c>
      <c r="G331">
        <v>8</v>
      </c>
      <c r="H331">
        <v>1213</v>
      </c>
      <c r="I331">
        <v>9704</v>
      </c>
      <c r="J331" s="2">
        <v>1754.65</v>
      </c>
    </row>
    <row r="332" spans="1:10" x14ac:dyDescent="0.3">
      <c r="A332" t="s">
        <v>340</v>
      </c>
      <c r="B332" s="1">
        <v>45186</v>
      </c>
      <c r="C332" t="s">
        <v>1213</v>
      </c>
      <c r="D332" t="s">
        <v>1218</v>
      </c>
      <c r="E332" t="s">
        <v>1220</v>
      </c>
      <c r="F332" t="s">
        <v>1224</v>
      </c>
      <c r="G332">
        <v>7</v>
      </c>
      <c r="H332">
        <v>2652</v>
      </c>
      <c r="I332">
        <v>18564</v>
      </c>
      <c r="J332" s="2">
        <v>1576.87</v>
      </c>
    </row>
    <row r="333" spans="1:10" x14ac:dyDescent="0.3">
      <c r="A333" t="s">
        <v>341</v>
      </c>
      <c r="B333" s="1">
        <v>45147</v>
      </c>
      <c r="C333" t="s">
        <v>1211</v>
      </c>
      <c r="D333" t="s">
        <v>1214</v>
      </c>
      <c r="E333" t="s">
        <v>1222</v>
      </c>
      <c r="F333" t="s">
        <v>1236</v>
      </c>
      <c r="G333">
        <v>1</v>
      </c>
      <c r="H333">
        <v>3390</v>
      </c>
      <c r="I333">
        <v>3390</v>
      </c>
      <c r="J333" s="2">
        <v>775.04</v>
      </c>
    </row>
    <row r="334" spans="1:10" x14ac:dyDescent="0.3">
      <c r="A334" t="s">
        <v>342</v>
      </c>
      <c r="B334" s="1">
        <v>44950</v>
      </c>
      <c r="C334" t="s">
        <v>1211</v>
      </c>
      <c r="D334" t="s">
        <v>1217</v>
      </c>
      <c r="E334" t="s">
        <v>1221</v>
      </c>
      <c r="F334" t="s">
        <v>1231</v>
      </c>
      <c r="G334">
        <v>7</v>
      </c>
      <c r="H334">
        <v>3147</v>
      </c>
      <c r="I334">
        <v>22029</v>
      </c>
      <c r="J334" s="2">
        <v>1960.07</v>
      </c>
    </row>
    <row r="335" spans="1:10" x14ac:dyDescent="0.3">
      <c r="A335" t="s">
        <v>343</v>
      </c>
      <c r="B335" s="1">
        <v>45137</v>
      </c>
      <c r="C335" t="s">
        <v>1211</v>
      </c>
      <c r="D335" t="s">
        <v>1215</v>
      </c>
      <c r="E335" t="s">
        <v>1219</v>
      </c>
      <c r="F335" t="s">
        <v>1238</v>
      </c>
      <c r="G335">
        <v>3</v>
      </c>
      <c r="H335">
        <v>4088</v>
      </c>
      <c r="I335">
        <v>12264</v>
      </c>
      <c r="J335" s="2">
        <v>2308.13</v>
      </c>
    </row>
    <row r="336" spans="1:10" x14ac:dyDescent="0.3">
      <c r="A336" t="s">
        <v>344</v>
      </c>
      <c r="B336" s="1">
        <v>44945</v>
      </c>
      <c r="C336" t="s">
        <v>1213</v>
      </c>
      <c r="D336" t="s">
        <v>1215</v>
      </c>
      <c r="E336" t="s">
        <v>1221</v>
      </c>
      <c r="F336" t="s">
        <v>1229</v>
      </c>
      <c r="G336">
        <v>6</v>
      </c>
      <c r="H336">
        <v>3174</v>
      </c>
      <c r="I336">
        <v>19044</v>
      </c>
      <c r="J336" s="2">
        <v>4194.8599999999997</v>
      </c>
    </row>
    <row r="337" spans="1:10" x14ac:dyDescent="0.3">
      <c r="A337" t="s">
        <v>345</v>
      </c>
      <c r="B337" s="1">
        <v>45245</v>
      </c>
      <c r="C337" t="s">
        <v>1213</v>
      </c>
      <c r="D337" t="s">
        <v>1218</v>
      </c>
      <c r="E337" t="s">
        <v>1221</v>
      </c>
      <c r="F337" t="s">
        <v>1229</v>
      </c>
      <c r="G337">
        <v>7</v>
      </c>
      <c r="H337">
        <v>1406</v>
      </c>
      <c r="I337">
        <v>9842</v>
      </c>
      <c r="J337" s="2">
        <v>1181.98</v>
      </c>
    </row>
    <row r="338" spans="1:10" x14ac:dyDescent="0.3">
      <c r="A338" t="s">
        <v>346</v>
      </c>
      <c r="B338" s="1">
        <v>45087</v>
      </c>
      <c r="C338" t="s">
        <v>1212</v>
      </c>
      <c r="D338" t="s">
        <v>1216</v>
      </c>
      <c r="E338" t="s">
        <v>1219</v>
      </c>
      <c r="F338" t="s">
        <v>1223</v>
      </c>
      <c r="G338">
        <v>9</v>
      </c>
      <c r="H338">
        <v>1219</v>
      </c>
      <c r="I338">
        <v>10971</v>
      </c>
      <c r="J338" s="2">
        <v>1436.16</v>
      </c>
    </row>
    <row r="339" spans="1:10" x14ac:dyDescent="0.3">
      <c r="A339" t="s">
        <v>347</v>
      </c>
      <c r="B339" s="1">
        <v>45285</v>
      </c>
      <c r="C339" t="s">
        <v>1212</v>
      </c>
      <c r="D339" t="s">
        <v>1217</v>
      </c>
      <c r="E339" t="s">
        <v>1221</v>
      </c>
      <c r="F339" t="s">
        <v>1226</v>
      </c>
      <c r="G339">
        <v>6</v>
      </c>
      <c r="H339">
        <v>2325</v>
      </c>
      <c r="I339">
        <v>13950</v>
      </c>
      <c r="J339" s="2">
        <v>2888.03</v>
      </c>
    </row>
    <row r="340" spans="1:10" x14ac:dyDescent="0.3">
      <c r="A340" t="s">
        <v>348</v>
      </c>
      <c r="B340" s="1">
        <v>44976</v>
      </c>
      <c r="C340" t="s">
        <v>1210</v>
      </c>
      <c r="D340" t="s">
        <v>1215</v>
      </c>
      <c r="E340" t="s">
        <v>1221</v>
      </c>
      <c r="F340" t="s">
        <v>1231</v>
      </c>
      <c r="G340">
        <v>9</v>
      </c>
      <c r="H340">
        <v>699</v>
      </c>
      <c r="I340">
        <v>6291</v>
      </c>
      <c r="J340" s="2">
        <v>890.68</v>
      </c>
    </row>
    <row r="341" spans="1:10" x14ac:dyDescent="0.3">
      <c r="A341" t="s">
        <v>349</v>
      </c>
      <c r="B341" s="1">
        <v>45291</v>
      </c>
      <c r="C341" t="s">
        <v>1210</v>
      </c>
      <c r="D341" t="s">
        <v>1215</v>
      </c>
      <c r="E341" t="s">
        <v>1219</v>
      </c>
      <c r="F341" t="s">
        <v>1232</v>
      </c>
      <c r="G341">
        <v>6</v>
      </c>
      <c r="H341">
        <v>2957</v>
      </c>
      <c r="I341">
        <v>17742</v>
      </c>
      <c r="J341" s="2">
        <v>2981.96</v>
      </c>
    </row>
    <row r="342" spans="1:10" x14ac:dyDescent="0.3">
      <c r="A342" t="s">
        <v>350</v>
      </c>
      <c r="B342" s="1">
        <v>44975</v>
      </c>
      <c r="C342" t="s">
        <v>1212</v>
      </c>
      <c r="D342" t="s">
        <v>1217</v>
      </c>
      <c r="E342" t="s">
        <v>1219</v>
      </c>
      <c r="F342" t="s">
        <v>1233</v>
      </c>
      <c r="G342">
        <v>3</v>
      </c>
      <c r="H342">
        <v>4876</v>
      </c>
      <c r="I342">
        <v>14628</v>
      </c>
      <c r="J342" s="2">
        <v>3263.93</v>
      </c>
    </row>
    <row r="343" spans="1:10" x14ac:dyDescent="0.3">
      <c r="A343" t="s">
        <v>351</v>
      </c>
      <c r="B343" s="1">
        <v>45157</v>
      </c>
      <c r="C343" t="s">
        <v>1210</v>
      </c>
      <c r="D343" t="s">
        <v>1217</v>
      </c>
      <c r="E343" t="s">
        <v>1221</v>
      </c>
      <c r="F343" t="s">
        <v>1231</v>
      </c>
      <c r="G343">
        <v>4</v>
      </c>
      <c r="H343">
        <v>1825</v>
      </c>
      <c r="I343">
        <v>7300</v>
      </c>
      <c r="J343" s="2">
        <v>684.03</v>
      </c>
    </row>
    <row r="344" spans="1:10" x14ac:dyDescent="0.3">
      <c r="A344" t="s">
        <v>352</v>
      </c>
      <c r="B344" s="1">
        <v>45223</v>
      </c>
      <c r="C344" t="s">
        <v>1211</v>
      </c>
      <c r="D344" t="s">
        <v>1216</v>
      </c>
      <c r="E344" t="s">
        <v>1219</v>
      </c>
      <c r="F344" t="s">
        <v>1232</v>
      </c>
      <c r="G344">
        <v>8</v>
      </c>
      <c r="H344">
        <v>3584</v>
      </c>
      <c r="I344">
        <v>28672</v>
      </c>
      <c r="J344" s="2">
        <v>2328.02</v>
      </c>
    </row>
    <row r="345" spans="1:10" x14ac:dyDescent="0.3">
      <c r="A345" t="s">
        <v>353</v>
      </c>
      <c r="B345" s="1">
        <v>44962</v>
      </c>
      <c r="C345" t="s">
        <v>1212</v>
      </c>
      <c r="E345" t="s">
        <v>1221</v>
      </c>
      <c r="F345" t="s">
        <v>1226</v>
      </c>
      <c r="G345">
        <v>9</v>
      </c>
      <c r="H345">
        <v>1819</v>
      </c>
      <c r="I345">
        <v>16371</v>
      </c>
      <c r="J345" s="2">
        <v>3138.03</v>
      </c>
    </row>
    <row r="346" spans="1:10" x14ac:dyDescent="0.3">
      <c r="A346" t="s">
        <v>354</v>
      </c>
      <c r="B346" s="1">
        <v>45146</v>
      </c>
      <c r="C346" t="s">
        <v>1211</v>
      </c>
      <c r="D346" t="s">
        <v>1217</v>
      </c>
      <c r="E346" t="s">
        <v>1220</v>
      </c>
      <c r="F346" t="s">
        <v>1225</v>
      </c>
      <c r="G346">
        <v>6</v>
      </c>
      <c r="H346">
        <v>1443</v>
      </c>
      <c r="I346">
        <v>8658</v>
      </c>
      <c r="J346" s="2">
        <v>1098.46</v>
      </c>
    </row>
    <row r="347" spans="1:10" x14ac:dyDescent="0.3">
      <c r="A347" t="s">
        <v>355</v>
      </c>
      <c r="B347" s="1">
        <v>45131</v>
      </c>
      <c r="C347" t="s">
        <v>1211</v>
      </c>
      <c r="D347" t="s">
        <v>1216</v>
      </c>
      <c r="E347" t="s">
        <v>1221</v>
      </c>
      <c r="F347" t="s">
        <v>1226</v>
      </c>
      <c r="G347">
        <v>6</v>
      </c>
      <c r="H347">
        <v>2214</v>
      </c>
      <c r="I347">
        <v>13284</v>
      </c>
      <c r="J347" s="2">
        <v>2078.36</v>
      </c>
    </row>
    <row r="348" spans="1:10" x14ac:dyDescent="0.3">
      <c r="A348" t="s">
        <v>356</v>
      </c>
      <c r="B348" s="1">
        <v>45264</v>
      </c>
      <c r="C348" t="s">
        <v>1211</v>
      </c>
      <c r="D348" t="s">
        <v>1214</v>
      </c>
      <c r="E348" t="s">
        <v>1222</v>
      </c>
      <c r="F348" t="s">
        <v>1234</v>
      </c>
      <c r="G348">
        <v>4</v>
      </c>
      <c r="H348">
        <v>1919</v>
      </c>
      <c r="I348">
        <v>7676</v>
      </c>
      <c r="J348" s="2">
        <v>674.76</v>
      </c>
    </row>
    <row r="349" spans="1:10" x14ac:dyDescent="0.3">
      <c r="A349" t="s">
        <v>357</v>
      </c>
      <c r="B349" s="1">
        <v>44933</v>
      </c>
      <c r="C349" t="s">
        <v>1211</v>
      </c>
      <c r="D349" t="s">
        <v>1217</v>
      </c>
      <c r="E349" t="s">
        <v>1222</v>
      </c>
      <c r="F349" t="s">
        <v>1234</v>
      </c>
      <c r="G349">
        <v>4</v>
      </c>
      <c r="H349">
        <v>889</v>
      </c>
      <c r="I349">
        <v>3556</v>
      </c>
      <c r="J349" s="2">
        <v>533</v>
      </c>
    </row>
    <row r="350" spans="1:10" x14ac:dyDescent="0.3">
      <c r="A350" t="s">
        <v>358</v>
      </c>
      <c r="B350" s="1">
        <v>45080</v>
      </c>
      <c r="C350" t="s">
        <v>1213</v>
      </c>
      <c r="D350" t="s">
        <v>1218</v>
      </c>
      <c r="E350" t="s">
        <v>1221</v>
      </c>
      <c r="F350" t="s">
        <v>1226</v>
      </c>
      <c r="G350">
        <v>4</v>
      </c>
      <c r="H350">
        <v>3926</v>
      </c>
      <c r="I350">
        <v>15704</v>
      </c>
      <c r="J350" s="2">
        <v>3611.34</v>
      </c>
    </row>
    <row r="351" spans="1:10" x14ac:dyDescent="0.3">
      <c r="A351" t="s">
        <v>359</v>
      </c>
      <c r="B351" s="1">
        <v>45144</v>
      </c>
      <c r="C351" t="s">
        <v>1212</v>
      </c>
      <c r="D351" t="s">
        <v>1218</v>
      </c>
      <c r="E351" t="s">
        <v>1222</v>
      </c>
      <c r="F351" t="s">
        <v>1230</v>
      </c>
      <c r="G351">
        <v>5</v>
      </c>
      <c r="H351">
        <v>3852</v>
      </c>
      <c r="I351">
        <v>19260</v>
      </c>
      <c r="J351" s="2">
        <v>3682.7</v>
      </c>
    </row>
    <row r="352" spans="1:10" x14ac:dyDescent="0.3">
      <c r="A352" t="s">
        <v>360</v>
      </c>
      <c r="B352" s="1">
        <v>45087</v>
      </c>
      <c r="C352" t="s">
        <v>1211</v>
      </c>
      <c r="D352" t="s">
        <v>1215</v>
      </c>
      <c r="E352" t="s">
        <v>1219</v>
      </c>
      <c r="F352" t="s">
        <v>1238</v>
      </c>
      <c r="G352">
        <v>9</v>
      </c>
      <c r="H352">
        <v>4679</v>
      </c>
      <c r="I352">
        <v>42111</v>
      </c>
      <c r="J352" s="2">
        <v>10294.06</v>
      </c>
    </row>
    <row r="353" spans="1:10" x14ac:dyDescent="0.3">
      <c r="A353" t="s">
        <v>361</v>
      </c>
      <c r="B353" s="1">
        <v>45007</v>
      </c>
      <c r="C353" t="s">
        <v>1213</v>
      </c>
      <c r="D353" t="s">
        <v>1215</v>
      </c>
      <c r="E353" t="s">
        <v>1221</v>
      </c>
      <c r="F353" t="s">
        <v>1235</v>
      </c>
      <c r="G353">
        <v>9</v>
      </c>
      <c r="H353">
        <v>797</v>
      </c>
      <c r="I353">
        <v>7173</v>
      </c>
      <c r="J353" s="2">
        <v>1258.2</v>
      </c>
    </row>
    <row r="354" spans="1:10" x14ac:dyDescent="0.3">
      <c r="A354" t="s">
        <v>362</v>
      </c>
      <c r="B354" s="1">
        <v>45024</v>
      </c>
      <c r="C354" t="s">
        <v>1211</v>
      </c>
      <c r="D354" t="s">
        <v>1217</v>
      </c>
      <c r="E354" t="s">
        <v>1222</v>
      </c>
      <c r="F354" t="s">
        <v>1230</v>
      </c>
      <c r="G354">
        <v>9</v>
      </c>
      <c r="H354">
        <v>3869</v>
      </c>
      <c r="I354">
        <v>34821</v>
      </c>
      <c r="J354" s="2">
        <v>6034.57</v>
      </c>
    </row>
    <row r="355" spans="1:10" x14ac:dyDescent="0.3">
      <c r="A355" t="s">
        <v>363</v>
      </c>
      <c r="B355" s="1">
        <v>45038</v>
      </c>
      <c r="C355" t="s">
        <v>1212</v>
      </c>
      <c r="D355" t="s">
        <v>1217</v>
      </c>
      <c r="E355" t="s">
        <v>1222</v>
      </c>
      <c r="F355" t="s">
        <v>1230</v>
      </c>
      <c r="G355">
        <v>5</v>
      </c>
      <c r="H355">
        <v>3788</v>
      </c>
      <c r="I355">
        <v>18940</v>
      </c>
      <c r="J355" s="2">
        <v>4560.16</v>
      </c>
    </row>
    <row r="356" spans="1:10" x14ac:dyDescent="0.3">
      <c r="A356" t="s">
        <v>364</v>
      </c>
      <c r="B356" s="1">
        <v>45002</v>
      </c>
      <c r="C356" t="s">
        <v>1213</v>
      </c>
      <c r="D356" t="s">
        <v>1216</v>
      </c>
      <c r="E356" t="s">
        <v>1220</v>
      </c>
      <c r="F356" t="s">
        <v>1225</v>
      </c>
      <c r="G356">
        <v>3</v>
      </c>
      <c r="H356">
        <v>4932</v>
      </c>
      <c r="I356">
        <v>14796</v>
      </c>
      <c r="J356" s="2">
        <v>3068.37</v>
      </c>
    </row>
    <row r="357" spans="1:10" x14ac:dyDescent="0.3">
      <c r="A357" t="s">
        <v>365</v>
      </c>
      <c r="B357" s="1">
        <v>44975</v>
      </c>
      <c r="C357" t="s">
        <v>1213</v>
      </c>
      <c r="D357" t="s">
        <v>1215</v>
      </c>
      <c r="E357" t="s">
        <v>1219</v>
      </c>
      <c r="F357" t="s">
        <v>1233</v>
      </c>
      <c r="G357">
        <v>3</v>
      </c>
      <c r="H357">
        <v>1927</v>
      </c>
      <c r="I357">
        <v>5781</v>
      </c>
      <c r="J357" s="2">
        <v>1242.79</v>
      </c>
    </row>
    <row r="358" spans="1:10" x14ac:dyDescent="0.3">
      <c r="A358" t="s">
        <v>366</v>
      </c>
      <c r="B358" s="1">
        <v>45140</v>
      </c>
      <c r="C358" t="s">
        <v>1213</v>
      </c>
      <c r="D358" t="s">
        <v>1216</v>
      </c>
      <c r="E358" t="s">
        <v>1221</v>
      </c>
      <c r="F358" t="s">
        <v>1229</v>
      </c>
      <c r="G358">
        <v>4</v>
      </c>
      <c r="H358">
        <v>2991</v>
      </c>
      <c r="I358">
        <v>11964</v>
      </c>
      <c r="J358" s="2">
        <v>2742.52</v>
      </c>
    </row>
    <row r="359" spans="1:10" x14ac:dyDescent="0.3">
      <c r="A359" t="s">
        <v>367</v>
      </c>
      <c r="B359" s="1">
        <v>44992</v>
      </c>
      <c r="C359" t="s">
        <v>1212</v>
      </c>
      <c r="D359" t="s">
        <v>1214</v>
      </c>
      <c r="E359" t="s">
        <v>1220</v>
      </c>
      <c r="F359" t="s">
        <v>1237</v>
      </c>
      <c r="G359">
        <v>9</v>
      </c>
      <c r="H359">
        <v>2305</v>
      </c>
      <c r="I359">
        <v>20745</v>
      </c>
      <c r="J359" s="2">
        <v>4307.16</v>
      </c>
    </row>
    <row r="360" spans="1:10" x14ac:dyDescent="0.3">
      <c r="A360" t="s">
        <v>368</v>
      </c>
      <c r="B360" s="1">
        <v>45188</v>
      </c>
      <c r="C360" t="s">
        <v>1210</v>
      </c>
      <c r="D360" t="s">
        <v>1216</v>
      </c>
      <c r="E360" t="s">
        <v>1221</v>
      </c>
      <c r="F360" t="s">
        <v>1226</v>
      </c>
      <c r="G360">
        <v>1</v>
      </c>
      <c r="H360">
        <v>1777</v>
      </c>
      <c r="I360">
        <v>1777</v>
      </c>
      <c r="J360" s="2">
        <v>292.54000000000002</v>
      </c>
    </row>
    <row r="361" spans="1:10" x14ac:dyDescent="0.3">
      <c r="A361" t="s">
        <v>369</v>
      </c>
      <c r="B361" s="1">
        <v>45194</v>
      </c>
      <c r="C361" t="s">
        <v>1211</v>
      </c>
      <c r="D361" t="s">
        <v>1216</v>
      </c>
      <c r="E361" t="s">
        <v>1219</v>
      </c>
      <c r="F361" t="s">
        <v>1232</v>
      </c>
      <c r="G361">
        <v>2</v>
      </c>
      <c r="H361">
        <v>4602</v>
      </c>
      <c r="I361">
        <v>9204</v>
      </c>
      <c r="J361" s="2">
        <v>1042.3900000000001</v>
      </c>
    </row>
    <row r="362" spans="1:10" x14ac:dyDescent="0.3">
      <c r="A362" t="s">
        <v>370</v>
      </c>
      <c r="B362" s="1">
        <v>44981</v>
      </c>
      <c r="C362" t="s">
        <v>1212</v>
      </c>
      <c r="E362" t="s">
        <v>1221</v>
      </c>
      <c r="F362" t="s">
        <v>1231</v>
      </c>
      <c r="G362">
        <v>4</v>
      </c>
      <c r="H362">
        <v>684</v>
      </c>
      <c r="I362">
        <v>2736</v>
      </c>
      <c r="J362" s="2">
        <v>514.04</v>
      </c>
    </row>
    <row r="363" spans="1:10" x14ac:dyDescent="0.3">
      <c r="A363" t="s">
        <v>371</v>
      </c>
      <c r="B363" s="1">
        <v>45189</v>
      </c>
      <c r="C363" t="s">
        <v>1213</v>
      </c>
      <c r="D363" t="s">
        <v>1214</v>
      </c>
      <c r="E363" t="s">
        <v>1220</v>
      </c>
      <c r="F363" t="s">
        <v>1224</v>
      </c>
      <c r="G363">
        <v>4</v>
      </c>
      <c r="H363">
        <v>3725</v>
      </c>
      <c r="I363">
        <v>14900</v>
      </c>
      <c r="J363" s="2">
        <v>3201.33</v>
      </c>
    </row>
    <row r="364" spans="1:10" x14ac:dyDescent="0.3">
      <c r="A364" t="s">
        <v>372</v>
      </c>
      <c r="B364" s="1">
        <v>45146</v>
      </c>
      <c r="C364" t="s">
        <v>1212</v>
      </c>
      <c r="E364" t="s">
        <v>1222</v>
      </c>
      <c r="F364" t="s">
        <v>1227</v>
      </c>
      <c r="G364">
        <v>2</v>
      </c>
      <c r="H364">
        <v>2098</v>
      </c>
      <c r="I364">
        <v>4196</v>
      </c>
      <c r="J364" s="2">
        <v>1037.25</v>
      </c>
    </row>
    <row r="365" spans="1:10" x14ac:dyDescent="0.3">
      <c r="A365" t="s">
        <v>373</v>
      </c>
      <c r="B365" s="1">
        <v>45172</v>
      </c>
      <c r="C365" t="s">
        <v>1210</v>
      </c>
      <c r="D365" t="s">
        <v>1218</v>
      </c>
      <c r="E365" t="s">
        <v>1221</v>
      </c>
      <c r="F365" t="s">
        <v>1226</v>
      </c>
      <c r="G365">
        <v>5</v>
      </c>
      <c r="H365">
        <v>2507</v>
      </c>
      <c r="I365">
        <v>12535</v>
      </c>
      <c r="J365" s="2">
        <v>2704.56</v>
      </c>
    </row>
    <row r="366" spans="1:10" x14ac:dyDescent="0.3">
      <c r="A366" t="s">
        <v>374</v>
      </c>
      <c r="B366" s="1">
        <v>44947</v>
      </c>
      <c r="C366" t="s">
        <v>1211</v>
      </c>
      <c r="D366" t="s">
        <v>1215</v>
      </c>
      <c r="E366" t="s">
        <v>1221</v>
      </c>
      <c r="F366" t="s">
        <v>1235</v>
      </c>
      <c r="G366">
        <v>7</v>
      </c>
      <c r="H366">
        <v>774</v>
      </c>
      <c r="I366">
        <v>5418</v>
      </c>
      <c r="J366" s="2">
        <v>880.48</v>
      </c>
    </row>
    <row r="367" spans="1:10" x14ac:dyDescent="0.3">
      <c r="A367" t="s">
        <v>375</v>
      </c>
      <c r="B367" s="1">
        <v>45173</v>
      </c>
      <c r="C367" t="s">
        <v>1213</v>
      </c>
      <c r="D367" t="s">
        <v>1214</v>
      </c>
      <c r="E367" t="s">
        <v>1220</v>
      </c>
      <c r="F367" t="s">
        <v>1224</v>
      </c>
      <c r="G367">
        <v>6</v>
      </c>
      <c r="H367">
        <v>1729</v>
      </c>
      <c r="I367">
        <v>10374</v>
      </c>
      <c r="J367" s="2">
        <v>1583.83</v>
      </c>
    </row>
    <row r="368" spans="1:10" x14ac:dyDescent="0.3">
      <c r="A368" t="s">
        <v>376</v>
      </c>
      <c r="B368" s="1">
        <v>45080</v>
      </c>
      <c r="C368" t="s">
        <v>1211</v>
      </c>
      <c r="D368" t="s">
        <v>1215</v>
      </c>
      <c r="E368" t="s">
        <v>1222</v>
      </c>
      <c r="F368" t="s">
        <v>1234</v>
      </c>
      <c r="G368">
        <v>3</v>
      </c>
      <c r="H368">
        <v>2600</v>
      </c>
      <c r="I368">
        <v>7800</v>
      </c>
      <c r="J368" s="2">
        <v>662.94</v>
      </c>
    </row>
    <row r="369" spans="1:10" x14ac:dyDescent="0.3">
      <c r="A369" t="s">
        <v>377</v>
      </c>
      <c r="B369" s="1">
        <v>45060</v>
      </c>
      <c r="C369" t="s">
        <v>1210</v>
      </c>
      <c r="D369" t="s">
        <v>1216</v>
      </c>
      <c r="E369" t="s">
        <v>1219</v>
      </c>
      <c r="F369" t="s">
        <v>1232</v>
      </c>
      <c r="G369">
        <v>9</v>
      </c>
      <c r="H369">
        <v>1595</v>
      </c>
      <c r="I369">
        <v>14355</v>
      </c>
      <c r="J369" s="2">
        <v>3389.15</v>
      </c>
    </row>
    <row r="370" spans="1:10" x14ac:dyDescent="0.3">
      <c r="A370" t="s">
        <v>378</v>
      </c>
      <c r="B370" s="1">
        <v>45139</v>
      </c>
      <c r="C370" t="s">
        <v>1213</v>
      </c>
      <c r="D370" t="s">
        <v>1217</v>
      </c>
      <c r="E370" t="s">
        <v>1221</v>
      </c>
      <c r="G370">
        <v>2</v>
      </c>
      <c r="H370">
        <v>3190</v>
      </c>
      <c r="I370">
        <v>6380</v>
      </c>
      <c r="J370" s="2">
        <v>1217.2</v>
      </c>
    </row>
    <row r="371" spans="1:10" x14ac:dyDescent="0.3">
      <c r="A371" t="s">
        <v>379</v>
      </c>
      <c r="B371" s="1">
        <v>45089</v>
      </c>
      <c r="C371" t="s">
        <v>1213</v>
      </c>
      <c r="D371" t="s">
        <v>1217</v>
      </c>
      <c r="E371" t="s">
        <v>1220</v>
      </c>
      <c r="F371" t="s">
        <v>1237</v>
      </c>
      <c r="G371">
        <v>5</v>
      </c>
      <c r="H371">
        <v>4031</v>
      </c>
      <c r="I371">
        <v>20155</v>
      </c>
      <c r="J371" s="2">
        <v>1911.11</v>
      </c>
    </row>
    <row r="372" spans="1:10" x14ac:dyDescent="0.3">
      <c r="A372" t="s">
        <v>380</v>
      </c>
      <c r="B372" s="1">
        <v>45102</v>
      </c>
      <c r="C372" t="s">
        <v>1213</v>
      </c>
      <c r="D372" t="s">
        <v>1218</v>
      </c>
      <c r="E372" t="s">
        <v>1222</v>
      </c>
      <c r="F372" t="s">
        <v>1227</v>
      </c>
      <c r="G372">
        <v>2</v>
      </c>
      <c r="H372">
        <v>1298</v>
      </c>
      <c r="I372">
        <v>2596</v>
      </c>
      <c r="J372" s="2">
        <v>495.04</v>
      </c>
    </row>
    <row r="373" spans="1:10" x14ac:dyDescent="0.3">
      <c r="A373" t="s">
        <v>381</v>
      </c>
      <c r="B373" s="1">
        <v>45198</v>
      </c>
      <c r="C373" t="s">
        <v>1211</v>
      </c>
      <c r="E373" t="s">
        <v>1222</v>
      </c>
      <c r="F373" t="s">
        <v>1236</v>
      </c>
      <c r="G373">
        <v>3</v>
      </c>
      <c r="H373">
        <v>4584</v>
      </c>
      <c r="I373">
        <v>13752</v>
      </c>
      <c r="J373" s="2">
        <v>1395.35</v>
      </c>
    </row>
    <row r="374" spans="1:10" x14ac:dyDescent="0.3">
      <c r="A374" t="s">
        <v>382</v>
      </c>
      <c r="B374" s="1">
        <v>45127</v>
      </c>
      <c r="C374" t="s">
        <v>1213</v>
      </c>
      <c r="D374" t="s">
        <v>1216</v>
      </c>
      <c r="E374" t="s">
        <v>1219</v>
      </c>
      <c r="F374" t="s">
        <v>1223</v>
      </c>
      <c r="G374">
        <v>8</v>
      </c>
      <c r="H374">
        <v>355</v>
      </c>
      <c r="I374">
        <v>2840</v>
      </c>
      <c r="J374" s="2">
        <v>556.30999999999995</v>
      </c>
    </row>
    <row r="375" spans="1:10" x14ac:dyDescent="0.3">
      <c r="A375" t="s">
        <v>383</v>
      </c>
      <c r="B375" s="1">
        <v>44993</v>
      </c>
      <c r="C375" t="s">
        <v>1213</v>
      </c>
      <c r="D375" t="s">
        <v>1217</v>
      </c>
      <c r="E375" t="s">
        <v>1222</v>
      </c>
      <c r="F375" t="s">
        <v>1236</v>
      </c>
      <c r="G375">
        <v>7</v>
      </c>
      <c r="H375">
        <v>1054</v>
      </c>
      <c r="I375">
        <v>7378</v>
      </c>
      <c r="J375" s="2">
        <v>686.92</v>
      </c>
    </row>
    <row r="376" spans="1:10" x14ac:dyDescent="0.3">
      <c r="A376" t="s">
        <v>384</v>
      </c>
      <c r="B376" s="1">
        <v>45043</v>
      </c>
      <c r="C376" t="s">
        <v>1212</v>
      </c>
      <c r="D376" t="s">
        <v>1216</v>
      </c>
      <c r="E376" t="s">
        <v>1222</v>
      </c>
      <c r="F376" t="s">
        <v>1227</v>
      </c>
      <c r="G376">
        <v>6</v>
      </c>
      <c r="H376">
        <v>4828</v>
      </c>
      <c r="I376">
        <v>28968</v>
      </c>
      <c r="J376" s="2">
        <v>2480.88</v>
      </c>
    </row>
    <row r="377" spans="1:10" x14ac:dyDescent="0.3">
      <c r="A377" t="s">
        <v>385</v>
      </c>
      <c r="B377" s="1">
        <v>45178</v>
      </c>
      <c r="C377" t="s">
        <v>1212</v>
      </c>
      <c r="D377" t="s">
        <v>1217</v>
      </c>
      <c r="E377" t="s">
        <v>1220</v>
      </c>
      <c r="F377" t="s">
        <v>1224</v>
      </c>
      <c r="G377">
        <v>1</v>
      </c>
      <c r="H377">
        <v>4846</v>
      </c>
      <c r="I377">
        <v>4846</v>
      </c>
      <c r="J377" s="2">
        <v>1052.83</v>
      </c>
    </row>
    <row r="378" spans="1:10" x14ac:dyDescent="0.3">
      <c r="A378" t="s">
        <v>386</v>
      </c>
      <c r="B378" s="1">
        <v>45280</v>
      </c>
      <c r="C378" t="s">
        <v>1213</v>
      </c>
      <c r="D378" t="s">
        <v>1216</v>
      </c>
      <c r="E378" t="s">
        <v>1219</v>
      </c>
      <c r="F378" t="s">
        <v>1232</v>
      </c>
      <c r="G378">
        <v>6</v>
      </c>
      <c r="H378">
        <v>2654</v>
      </c>
      <c r="I378">
        <v>15924</v>
      </c>
      <c r="J378" s="2">
        <v>1731.64</v>
      </c>
    </row>
    <row r="379" spans="1:10" x14ac:dyDescent="0.3">
      <c r="A379" t="s">
        <v>387</v>
      </c>
      <c r="B379" s="1">
        <v>45207</v>
      </c>
      <c r="C379" t="s">
        <v>1213</v>
      </c>
      <c r="D379" t="s">
        <v>1217</v>
      </c>
      <c r="E379" t="s">
        <v>1222</v>
      </c>
      <c r="F379" t="s">
        <v>1236</v>
      </c>
      <c r="G379">
        <v>3</v>
      </c>
      <c r="H379">
        <v>4117</v>
      </c>
      <c r="I379">
        <v>12351</v>
      </c>
      <c r="J379" s="2">
        <v>1993.97</v>
      </c>
    </row>
    <row r="380" spans="1:10" x14ac:dyDescent="0.3">
      <c r="A380" t="s">
        <v>388</v>
      </c>
      <c r="B380" s="1">
        <v>45036</v>
      </c>
      <c r="C380" t="s">
        <v>1210</v>
      </c>
      <c r="D380" t="s">
        <v>1214</v>
      </c>
      <c r="E380" t="s">
        <v>1220</v>
      </c>
      <c r="F380" t="s">
        <v>1237</v>
      </c>
      <c r="G380">
        <v>6</v>
      </c>
      <c r="H380">
        <v>2167</v>
      </c>
      <c r="I380">
        <v>13002</v>
      </c>
      <c r="J380" s="2">
        <v>2604.39</v>
      </c>
    </row>
    <row r="381" spans="1:10" x14ac:dyDescent="0.3">
      <c r="A381" t="s">
        <v>389</v>
      </c>
      <c r="B381" s="1">
        <v>45253</v>
      </c>
      <c r="C381" t="s">
        <v>1211</v>
      </c>
      <c r="D381" t="s">
        <v>1218</v>
      </c>
      <c r="E381" t="s">
        <v>1220</v>
      </c>
      <c r="F381" t="s">
        <v>1237</v>
      </c>
      <c r="G381">
        <v>9</v>
      </c>
      <c r="H381">
        <v>2531</v>
      </c>
      <c r="I381">
        <v>22779</v>
      </c>
      <c r="J381" s="2">
        <v>1892.05</v>
      </c>
    </row>
    <row r="382" spans="1:10" x14ac:dyDescent="0.3">
      <c r="A382" t="s">
        <v>390</v>
      </c>
      <c r="B382" s="1">
        <v>45046</v>
      </c>
      <c r="C382" t="s">
        <v>1211</v>
      </c>
      <c r="D382" t="s">
        <v>1215</v>
      </c>
      <c r="E382" t="s">
        <v>1219</v>
      </c>
      <c r="F382" t="s">
        <v>1223</v>
      </c>
      <c r="G382">
        <v>7</v>
      </c>
      <c r="H382">
        <v>4928</v>
      </c>
      <c r="I382">
        <v>34496</v>
      </c>
      <c r="J382" s="2">
        <v>4410.6099999999997</v>
      </c>
    </row>
    <row r="383" spans="1:10" x14ac:dyDescent="0.3">
      <c r="A383" t="s">
        <v>391</v>
      </c>
      <c r="B383" s="1">
        <v>45246</v>
      </c>
      <c r="C383" t="s">
        <v>1212</v>
      </c>
      <c r="D383" t="s">
        <v>1216</v>
      </c>
      <c r="E383" t="s">
        <v>1222</v>
      </c>
      <c r="F383" t="s">
        <v>1236</v>
      </c>
      <c r="G383">
        <v>8</v>
      </c>
      <c r="H383">
        <v>2712</v>
      </c>
      <c r="I383">
        <v>21696</v>
      </c>
      <c r="J383" s="2">
        <v>2627.86</v>
      </c>
    </row>
    <row r="384" spans="1:10" x14ac:dyDescent="0.3">
      <c r="A384" t="s">
        <v>392</v>
      </c>
      <c r="B384" s="1">
        <v>45260</v>
      </c>
      <c r="C384" t="s">
        <v>1211</v>
      </c>
      <c r="D384" t="s">
        <v>1218</v>
      </c>
      <c r="E384" t="s">
        <v>1222</v>
      </c>
      <c r="F384" t="s">
        <v>1230</v>
      </c>
      <c r="G384">
        <v>5</v>
      </c>
      <c r="H384">
        <v>1962</v>
      </c>
      <c r="I384">
        <v>9810</v>
      </c>
      <c r="J384" s="2">
        <v>1162.29</v>
      </c>
    </row>
    <row r="385" spans="1:10" x14ac:dyDescent="0.3">
      <c r="A385" t="s">
        <v>393</v>
      </c>
      <c r="B385" s="1">
        <v>45287</v>
      </c>
      <c r="C385" t="s">
        <v>1212</v>
      </c>
      <c r="D385" t="s">
        <v>1218</v>
      </c>
      <c r="E385" t="s">
        <v>1221</v>
      </c>
      <c r="F385" t="s">
        <v>1235</v>
      </c>
      <c r="G385">
        <v>4</v>
      </c>
      <c r="H385">
        <v>1187</v>
      </c>
      <c r="I385">
        <v>4748</v>
      </c>
      <c r="J385" s="2">
        <v>1067.75</v>
      </c>
    </row>
    <row r="386" spans="1:10" x14ac:dyDescent="0.3">
      <c r="A386" t="s">
        <v>394</v>
      </c>
      <c r="B386" s="1">
        <v>45084</v>
      </c>
      <c r="C386" t="s">
        <v>1213</v>
      </c>
      <c r="D386" t="s">
        <v>1214</v>
      </c>
      <c r="E386" t="s">
        <v>1221</v>
      </c>
      <c r="F386" t="s">
        <v>1235</v>
      </c>
      <c r="G386">
        <v>7</v>
      </c>
      <c r="H386">
        <v>2724</v>
      </c>
      <c r="I386">
        <v>19068</v>
      </c>
      <c r="J386" s="2">
        <v>4242.3599999999997</v>
      </c>
    </row>
    <row r="387" spans="1:10" x14ac:dyDescent="0.3">
      <c r="A387" t="s">
        <v>395</v>
      </c>
      <c r="B387" s="1">
        <v>45251</v>
      </c>
      <c r="C387" t="s">
        <v>1213</v>
      </c>
      <c r="D387" t="s">
        <v>1216</v>
      </c>
      <c r="E387" t="s">
        <v>1219</v>
      </c>
      <c r="F387" t="s">
        <v>1223</v>
      </c>
      <c r="G387">
        <v>2</v>
      </c>
      <c r="H387">
        <v>1692</v>
      </c>
      <c r="I387">
        <v>3384</v>
      </c>
      <c r="J387" s="2">
        <v>570.70000000000005</v>
      </c>
    </row>
    <row r="388" spans="1:10" x14ac:dyDescent="0.3">
      <c r="A388" t="s">
        <v>396</v>
      </c>
      <c r="B388" s="1">
        <v>45250</v>
      </c>
      <c r="C388" t="s">
        <v>1210</v>
      </c>
      <c r="D388" t="s">
        <v>1218</v>
      </c>
      <c r="E388" t="s">
        <v>1222</v>
      </c>
      <c r="F388" t="s">
        <v>1227</v>
      </c>
      <c r="G388">
        <v>1</v>
      </c>
      <c r="H388">
        <v>2244</v>
      </c>
      <c r="I388">
        <v>2244</v>
      </c>
      <c r="J388" s="2">
        <v>379.89</v>
      </c>
    </row>
    <row r="389" spans="1:10" x14ac:dyDescent="0.3">
      <c r="A389" t="s">
        <v>397</v>
      </c>
      <c r="B389" s="1">
        <v>45258</v>
      </c>
      <c r="C389" t="s">
        <v>1211</v>
      </c>
      <c r="D389" t="s">
        <v>1216</v>
      </c>
      <c r="E389" t="s">
        <v>1220</v>
      </c>
      <c r="F389" t="s">
        <v>1224</v>
      </c>
      <c r="G389">
        <v>1</v>
      </c>
      <c r="H389">
        <v>542</v>
      </c>
      <c r="I389">
        <v>542</v>
      </c>
      <c r="J389" s="2">
        <v>83.02</v>
      </c>
    </row>
    <row r="390" spans="1:10" x14ac:dyDescent="0.3">
      <c r="A390" t="s">
        <v>398</v>
      </c>
      <c r="B390" s="1">
        <v>45019</v>
      </c>
      <c r="C390" t="s">
        <v>1211</v>
      </c>
      <c r="D390" t="s">
        <v>1215</v>
      </c>
      <c r="E390" t="s">
        <v>1220</v>
      </c>
      <c r="F390" t="s">
        <v>1237</v>
      </c>
      <c r="G390">
        <v>9</v>
      </c>
      <c r="H390">
        <v>4954</v>
      </c>
      <c r="I390">
        <v>44586</v>
      </c>
      <c r="J390" s="2">
        <v>10331.870000000001</v>
      </c>
    </row>
    <row r="391" spans="1:10" x14ac:dyDescent="0.3">
      <c r="A391" t="s">
        <v>399</v>
      </c>
      <c r="B391" s="1">
        <v>45058</v>
      </c>
      <c r="C391" t="s">
        <v>1210</v>
      </c>
      <c r="D391" t="s">
        <v>1216</v>
      </c>
      <c r="E391" t="s">
        <v>1219</v>
      </c>
      <c r="F391" t="s">
        <v>1233</v>
      </c>
      <c r="G391">
        <v>4</v>
      </c>
      <c r="H391">
        <v>4800</v>
      </c>
      <c r="I391">
        <v>19200</v>
      </c>
      <c r="J391" s="2">
        <v>3829.4</v>
      </c>
    </row>
    <row r="392" spans="1:10" x14ac:dyDescent="0.3">
      <c r="A392" t="s">
        <v>400</v>
      </c>
      <c r="B392" s="1">
        <v>45120</v>
      </c>
      <c r="C392" t="s">
        <v>1213</v>
      </c>
      <c r="D392" t="s">
        <v>1217</v>
      </c>
      <c r="E392" t="s">
        <v>1221</v>
      </c>
      <c r="F392" t="s">
        <v>1226</v>
      </c>
      <c r="G392">
        <v>6</v>
      </c>
      <c r="H392">
        <v>778</v>
      </c>
      <c r="I392">
        <v>4668</v>
      </c>
      <c r="J392" s="2">
        <v>891.02</v>
      </c>
    </row>
    <row r="393" spans="1:10" x14ac:dyDescent="0.3">
      <c r="A393" t="s">
        <v>401</v>
      </c>
      <c r="B393" s="1">
        <v>45188</v>
      </c>
      <c r="C393" t="s">
        <v>1211</v>
      </c>
      <c r="D393" t="s">
        <v>1218</v>
      </c>
      <c r="E393" t="s">
        <v>1219</v>
      </c>
      <c r="F393" t="s">
        <v>1238</v>
      </c>
      <c r="G393">
        <v>9</v>
      </c>
      <c r="H393">
        <v>1992</v>
      </c>
      <c r="I393">
        <v>17928</v>
      </c>
      <c r="J393" s="2">
        <v>2253.96</v>
      </c>
    </row>
    <row r="394" spans="1:10" x14ac:dyDescent="0.3">
      <c r="A394" t="s">
        <v>402</v>
      </c>
      <c r="B394" s="1">
        <v>45288</v>
      </c>
      <c r="C394" t="s">
        <v>1212</v>
      </c>
      <c r="D394" t="s">
        <v>1218</v>
      </c>
      <c r="E394" t="s">
        <v>1220</v>
      </c>
      <c r="F394" t="s">
        <v>1228</v>
      </c>
      <c r="G394">
        <v>6</v>
      </c>
      <c r="H394">
        <v>929</v>
      </c>
      <c r="I394">
        <v>5574</v>
      </c>
      <c r="J394" s="2">
        <v>1305.74</v>
      </c>
    </row>
    <row r="395" spans="1:10" x14ac:dyDescent="0.3">
      <c r="A395" t="s">
        <v>403</v>
      </c>
      <c r="B395" s="1">
        <v>45163</v>
      </c>
      <c r="C395" t="s">
        <v>1213</v>
      </c>
      <c r="D395" t="s">
        <v>1218</v>
      </c>
      <c r="E395" t="s">
        <v>1222</v>
      </c>
      <c r="F395" t="s">
        <v>1234</v>
      </c>
      <c r="G395">
        <v>1</v>
      </c>
      <c r="H395">
        <v>341</v>
      </c>
      <c r="I395">
        <v>341</v>
      </c>
      <c r="J395" s="2">
        <v>62.69</v>
      </c>
    </row>
    <row r="396" spans="1:10" x14ac:dyDescent="0.3">
      <c r="A396" t="s">
        <v>404</v>
      </c>
      <c r="B396" s="1">
        <v>45116</v>
      </c>
      <c r="C396" t="s">
        <v>1213</v>
      </c>
      <c r="D396" t="s">
        <v>1214</v>
      </c>
      <c r="E396" t="s">
        <v>1222</v>
      </c>
      <c r="F396" t="s">
        <v>1234</v>
      </c>
      <c r="G396">
        <v>6</v>
      </c>
      <c r="H396">
        <v>2296</v>
      </c>
      <c r="I396">
        <v>13776</v>
      </c>
      <c r="J396" s="2">
        <v>1120.03</v>
      </c>
    </row>
    <row r="397" spans="1:10" x14ac:dyDescent="0.3">
      <c r="A397" t="s">
        <v>405</v>
      </c>
      <c r="B397" s="1">
        <v>45171</v>
      </c>
      <c r="C397" t="s">
        <v>1212</v>
      </c>
      <c r="D397" t="s">
        <v>1217</v>
      </c>
      <c r="E397" t="s">
        <v>1221</v>
      </c>
      <c r="F397" t="s">
        <v>1226</v>
      </c>
      <c r="G397">
        <v>1</v>
      </c>
      <c r="H397">
        <v>4897</v>
      </c>
      <c r="I397">
        <v>4897</v>
      </c>
      <c r="J397" s="2">
        <v>777.08</v>
      </c>
    </row>
    <row r="398" spans="1:10" x14ac:dyDescent="0.3">
      <c r="A398" t="s">
        <v>406</v>
      </c>
      <c r="B398" s="1">
        <v>45231</v>
      </c>
      <c r="C398" t="s">
        <v>1212</v>
      </c>
      <c r="D398" t="s">
        <v>1218</v>
      </c>
      <c r="E398" t="s">
        <v>1219</v>
      </c>
      <c r="F398" t="s">
        <v>1233</v>
      </c>
      <c r="G398">
        <v>9</v>
      </c>
      <c r="H398">
        <v>2000</v>
      </c>
      <c r="I398">
        <v>18000</v>
      </c>
      <c r="J398" s="2">
        <v>3939.05</v>
      </c>
    </row>
    <row r="399" spans="1:10" x14ac:dyDescent="0.3">
      <c r="A399" t="s">
        <v>407</v>
      </c>
      <c r="B399" s="1">
        <v>44967</v>
      </c>
      <c r="C399" t="s">
        <v>1210</v>
      </c>
      <c r="D399" t="s">
        <v>1215</v>
      </c>
      <c r="E399" t="s">
        <v>1221</v>
      </c>
      <c r="F399" t="s">
        <v>1231</v>
      </c>
      <c r="G399">
        <v>3</v>
      </c>
      <c r="H399">
        <v>3842</v>
      </c>
      <c r="I399">
        <v>11526</v>
      </c>
      <c r="J399" s="2">
        <v>1916.31</v>
      </c>
    </row>
    <row r="400" spans="1:10" x14ac:dyDescent="0.3">
      <c r="A400" t="s">
        <v>408</v>
      </c>
      <c r="B400" s="1">
        <v>44971</v>
      </c>
      <c r="C400" t="s">
        <v>1212</v>
      </c>
      <c r="D400" t="s">
        <v>1216</v>
      </c>
      <c r="E400" t="s">
        <v>1221</v>
      </c>
      <c r="F400" t="s">
        <v>1235</v>
      </c>
      <c r="G400">
        <v>3</v>
      </c>
      <c r="H400">
        <v>1556</v>
      </c>
      <c r="I400">
        <v>4668</v>
      </c>
      <c r="J400" s="2">
        <v>1111</v>
      </c>
    </row>
    <row r="401" spans="1:10" x14ac:dyDescent="0.3">
      <c r="A401" t="s">
        <v>409</v>
      </c>
      <c r="B401" s="1">
        <v>45035</v>
      </c>
      <c r="C401" t="s">
        <v>1213</v>
      </c>
      <c r="D401" t="s">
        <v>1215</v>
      </c>
      <c r="E401" t="s">
        <v>1219</v>
      </c>
      <c r="F401" t="s">
        <v>1223</v>
      </c>
      <c r="G401">
        <v>8</v>
      </c>
      <c r="H401">
        <v>4751</v>
      </c>
      <c r="I401">
        <v>38008</v>
      </c>
      <c r="J401" s="2">
        <v>7375.84</v>
      </c>
    </row>
    <row r="402" spans="1:10" x14ac:dyDescent="0.3">
      <c r="A402" t="s">
        <v>410</v>
      </c>
      <c r="B402" s="1">
        <v>44934</v>
      </c>
      <c r="C402" t="s">
        <v>1212</v>
      </c>
      <c r="D402" t="s">
        <v>1214</v>
      </c>
      <c r="E402" t="s">
        <v>1221</v>
      </c>
      <c r="F402" t="s">
        <v>1231</v>
      </c>
      <c r="G402">
        <v>7</v>
      </c>
      <c r="H402">
        <v>1187</v>
      </c>
      <c r="I402">
        <v>8309</v>
      </c>
      <c r="J402" s="2">
        <v>1824.69</v>
      </c>
    </row>
    <row r="403" spans="1:10" x14ac:dyDescent="0.3">
      <c r="A403" t="s">
        <v>411</v>
      </c>
      <c r="B403" s="1">
        <v>45264</v>
      </c>
      <c r="C403" t="s">
        <v>1211</v>
      </c>
      <c r="D403" t="s">
        <v>1217</v>
      </c>
      <c r="E403" t="s">
        <v>1220</v>
      </c>
      <c r="F403" t="s">
        <v>1237</v>
      </c>
      <c r="G403">
        <v>7</v>
      </c>
      <c r="H403">
        <v>3960</v>
      </c>
      <c r="I403">
        <v>27720</v>
      </c>
      <c r="J403" s="2">
        <v>5062.93</v>
      </c>
    </row>
    <row r="404" spans="1:10" x14ac:dyDescent="0.3">
      <c r="A404" t="s">
        <v>412</v>
      </c>
      <c r="B404" s="1">
        <v>45073</v>
      </c>
      <c r="C404" t="s">
        <v>1210</v>
      </c>
      <c r="D404" t="s">
        <v>1216</v>
      </c>
      <c r="E404" t="s">
        <v>1221</v>
      </c>
      <c r="F404" t="s">
        <v>1229</v>
      </c>
      <c r="G404">
        <v>1</v>
      </c>
      <c r="H404">
        <v>2886</v>
      </c>
      <c r="I404">
        <v>2886</v>
      </c>
      <c r="J404" s="2">
        <v>556</v>
      </c>
    </row>
    <row r="405" spans="1:10" x14ac:dyDescent="0.3">
      <c r="A405" t="s">
        <v>413</v>
      </c>
      <c r="B405" s="1">
        <v>45169</v>
      </c>
      <c r="C405" t="s">
        <v>1210</v>
      </c>
      <c r="D405" t="s">
        <v>1218</v>
      </c>
      <c r="E405" t="s">
        <v>1221</v>
      </c>
      <c r="F405" t="s">
        <v>1226</v>
      </c>
      <c r="G405">
        <v>1</v>
      </c>
      <c r="H405">
        <v>4008</v>
      </c>
      <c r="I405">
        <v>4008</v>
      </c>
      <c r="J405" s="2">
        <v>596.07000000000005</v>
      </c>
    </row>
    <row r="406" spans="1:10" x14ac:dyDescent="0.3">
      <c r="A406" t="s">
        <v>414</v>
      </c>
      <c r="B406" s="1">
        <v>45257</v>
      </c>
      <c r="C406" t="s">
        <v>1212</v>
      </c>
      <c r="D406" t="s">
        <v>1217</v>
      </c>
      <c r="E406" t="s">
        <v>1219</v>
      </c>
      <c r="F406" t="s">
        <v>1233</v>
      </c>
      <c r="G406">
        <v>9</v>
      </c>
      <c r="H406">
        <v>401</v>
      </c>
      <c r="I406">
        <v>3609</v>
      </c>
      <c r="J406" s="2">
        <v>510.77</v>
      </c>
    </row>
    <row r="407" spans="1:10" x14ac:dyDescent="0.3">
      <c r="A407" t="s">
        <v>415</v>
      </c>
      <c r="B407" s="1">
        <v>44965</v>
      </c>
      <c r="C407" t="s">
        <v>1213</v>
      </c>
      <c r="D407" t="s">
        <v>1214</v>
      </c>
      <c r="E407" t="s">
        <v>1220</v>
      </c>
      <c r="F407" t="s">
        <v>1225</v>
      </c>
      <c r="G407">
        <v>3</v>
      </c>
      <c r="H407">
        <v>3389</v>
      </c>
      <c r="I407">
        <v>10167</v>
      </c>
      <c r="J407" s="2">
        <v>1013.4</v>
      </c>
    </row>
    <row r="408" spans="1:10" x14ac:dyDescent="0.3">
      <c r="A408" t="s">
        <v>416</v>
      </c>
      <c r="B408" s="1">
        <v>45276</v>
      </c>
      <c r="C408" t="s">
        <v>1213</v>
      </c>
      <c r="D408" t="s">
        <v>1217</v>
      </c>
      <c r="E408" t="s">
        <v>1221</v>
      </c>
      <c r="F408" t="s">
        <v>1229</v>
      </c>
      <c r="G408">
        <v>5</v>
      </c>
      <c r="H408">
        <v>3785</v>
      </c>
      <c r="I408">
        <v>18925</v>
      </c>
      <c r="J408" s="2">
        <v>3219.12</v>
      </c>
    </row>
    <row r="409" spans="1:10" x14ac:dyDescent="0.3">
      <c r="A409" t="s">
        <v>417</v>
      </c>
      <c r="B409" s="1">
        <v>45227</v>
      </c>
      <c r="C409" t="s">
        <v>1210</v>
      </c>
      <c r="D409" t="s">
        <v>1217</v>
      </c>
      <c r="E409" t="s">
        <v>1222</v>
      </c>
      <c r="F409" t="s">
        <v>1234</v>
      </c>
      <c r="G409">
        <v>3</v>
      </c>
      <c r="H409">
        <v>2482</v>
      </c>
      <c r="I409">
        <v>7446</v>
      </c>
      <c r="J409" s="2">
        <v>1210.8699999999999</v>
      </c>
    </row>
    <row r="410" spans="1:10" x14ac:dyDescent="0.3">
      <c r="A410" t="s">
        <v>418</v>
      </c>
      <c r="B410" s="1">
        <v>45205</v>
      </c>
      <c r="C410" t="s">
        <v>1213</v>
      </c>
      <c r="D410" t="s">
        <v>1218</v>
      </c>
      <c r="E410" t="s">
        <v>1222</v>
      </c>
      <c r="F410" t="s">
        <v>1234</v>
      </c>
      <c r="G410">
        <v>1</v>
      </c>
      <c r="H410">
        <v>1350</v>
      </c>
      <c r="I410">
        <v>1350</v>
      </c>
      <c r="J410" s="2">
        <v>186.76</v>
      </c>
    </row>
    <row r="411" spans="1:10" x14ac:dyDescent="0.3">
      <c r="A411" t="s">
        <v>419</v>
      </c>
      <c r="B411" s="1">
        <v>45025</v>
      </c>
      <c r="C411" t="s">
        <v>1212</v>
      </c>
      <c r="D411" t="s">
        <v>1218</v>
      </c>
      <c r="E411" t="s">
        <v>1220</v>
      </c>
      <c r="F411" t="s">
        <v>1224</v>
      </c>
      <c r="G411">
        <v>5</v>
      </c>
      <c r="H411">
        <v>1330</v>
      </c>
      <c r="I411">
        <v>6650</v>
      </c>
      <c r="J411" s="2">
        <v>1018.04</v>
      </c>
    </row>
    <row r="412" spans="1:10" x14ac:dyDescent="0.3">
      <c r="A412" t="s">
        <v>420</v>
      </c>
      <c r="B412" s="1">
        <v>45082</v>
      </c>
      <c r="C412" t="s">
        <v>1213</v>
      </c>
      <c r="D412" t="s">
        <v>1218</v>
      </c>
      <c r="E412" t="s">
        <v>1222</v>
      </c>
      <c r="F412" t="s">
        <v>1230</v>
      </c>
      <c r="G412">
        <v>2</v>
      </c>
      <c r="H412">
        <v>2023</v>
      </c>
      <c r="I412">
        <v>4046</v>
      </c>
      <c r="J412" s="2">
        <v>889.36</v>
      </c>
    </row>
    <row r="413" spans="1:10" x14ac:dyDescent="0.3">
      <c r="A413" t="s">
        <v>421</v>
      </c>
      <c r="B413" s="1">
        <v>45044</v>
      </c>
      <c r="C413" t="s">
        <v>1213</v>
      </c>
      <c r="D413" t="s">
        <v>1216</v>
      </c>
      <c r="E413" t="s">
        <v>1219</v>
      </c>
      <c r="F413" t="s">
        <v>1238</v>
      </c>
      <c r="G413">
        <v>8</v>
      </c>
      <c r="H413">
        <v>2241</v>
      </c>
      <c r="I413">
        <v>17928</v>
      </c>
      <c r="J413" s="2">
        <v>2562.0700000000002</v>
      </c>
    </row>
    <row r="414" spans="1:10" x14ac:dyDescent="0.3">
      <c r="A414" t="s">
        <v>422</v>
      </c>
      <c r="B414" s="1">
        <v>44933</v>
      </c>
      <c r="C414" t="s">
        <v>1213</v>
      </c>
      <c r="D414" t="s">
        <v>1215</v>
      </c>
      <c r="E414" t="s">
        <v>1222</v>
      </c>
      <c r="F414" t="s">
        <v>1236</v>
      </c>
      <c r="G414">
        <v>7</v>
      </c>
      <c r="H414">
        <v>3561</v>
      </c>
      <c r="I414">
        <v>24927</v>
      </c>
      <c r="J414" s="2">
        <v>2701.25</v>
      </c>
    </row>
    <row r="415" spans="1:10" x14ac:dyDescent="0.3">
      <c r="A415" t="s">
        <v>423</v>
      </c>
      <c r="B415" s="1">
        <v>45083</v>
      </c>
      <c r="C415" t="s">
        <v>1211</v>
      </c>
      <c r="D415" t="s">
        <v>1216</v>
      </c>
      <c r="E415" t="s">
        <v>1221</v>
      </c>
      <c r="F415" t="s">
        <v>1231</v>
      </c>
      <c r="G415">
        <v>1</v>
      </c>
      <c r="H415">
        <v>2806</v>
      </c>
      <c r="I415">
        <v>2806</v>
      </c>
      <c r="J415" s="2">
        <v>298.16000000000003</v>
      </c>
    </row>
    <row r="416" spans="1:10" x14ac:dyDescent="0.3">
      <c r="A416" t="s">
        <v>424</v>
      </c>
      <c r="B416" s="1">
        <v>45052</v>
      </c>
      <c r="C416" t="s">
        <v>1210</v>
      </c>
      <c r="D416" t="s">
        <v>1218</v>
      </c>
      <c r="E416" t="s">
        <v>1220</v>
      </c>
      <c r="F416" t="s">
        <v>1224</v>
      </c>
      <c r="G416">
        <v>3</v>
      </c>
      <c r="H416">
        <v>3254</v>
      </c>
      <c r="I416">
        <v>9762</v>
      </c>
      <c r="J416" s="2">
        <v>899.97</v>
      </c>
    </row>
    <row r="417" spans="1:10" x14ac:dyDescent="0.3">
      <c r="A417" t="s">
        <v>425</v>
      </c>
      <c r="B417" s="1">
        <v>45130</v>
      </c>
      <c r="C417" t="s">
        <v>1211</v>
      </c>
      <c r="D417" t="s">
        <v>1218</v>
      </c>
      <c r="E417" t="s">
        <v>1222</v>
      </c>
      <c r="F417" t="s">
        <v>1230</v>
      </c>
      <c r="G417">
        <v>5</v>
      </c>
      <c r="H417">
        <v>1129</v>
      </c>
      <c r="I417">
        <v>5645</v>
      </c>
      <c r="J417" s="2">
        <v>1259.3599999999999</v>
      </c>
    </row>
    <row r="418" spans="1:10" x14ac:dyDescent="0.3">
      <c r="A418" t="s">
        <v>426</v>
      </c>
      <c r="B418" s="1">
        <v>45270</v>
      </c>
      <c r="C418" t="s">
        <v>1210</v>
      </c>
      <c r="D418" t="s">
        <v>1214</v>
      </c>
      <c r="E418" t="s">
        <v>1219</v>
      </c>
      <c r="F418" t="s">
        <v>1223</v>
      </c>
      <c r="G418">
        <v>1</v>
      </c>
      <c r="H418">
        <v>2100</v>
      </c>
      <c r="I418">
        <v>2100</v>
      </c>
      <c r="J418" s="2">
        <v>515.01</v>
      </c>
    </row>
    <row r="419" spans="1:10" x14ac:dyDescent="0.3">
      <c r="A419" t="s">
        <v>427</v>
      </c>
      <c r="B419" s="1">
        <v>45289</v>
      </c>
      <c r="C419" t="s">
        <v>1213</v>
      </c>
      <c r="D419" t="s">
        <v>1214</v>
      </c>
      <c r="E419" t="s">
        <v>1219</v>
      </c>
      <c r="F419" t="s">
        <v>1232</v>
      </c>
      <c r="G419">
        <v>4</v>
      </c>
      <c r="H419">
        <v>1378</v>
      </c>
      <c r="I419">
        <v>5512</v>
      </c>
      <c r="J419" s="2">
        <v>636.66999999999996</v>
      </c>
    </row>
    <row r="420" spans="1:10" x14ac:dyDescent="0.3">
      <c r="A420" t="s">
        <v>428</v>
      </c>
      <c r="B420" s="1">
        <v>45171</v>
      </c>
      <c r="C420" t="s">
        <v>1211</v>
      </c>
      <c r="D420" t="s">
        <v>1217</v>
      </c>
      <c r="E420" t="s">
        <v>1220</v>
      </c>
      <c r="F420" t="s">
        <v>1237</v>
      </c>
      <c r="G420">
        <v>2</v>
      </c>
      <c r="H420">
        <v>2509</v>
      </c>
      <c r="I420">
        <v>5018</v>
      </c>
      <c r="J420" s="2">
        <v>1046.54</v>
      </c>
    </row>
    <row r="421" spans="1:10" x14ac:dyDescent="0.3">
      <c r="A421" t="s">
        <v>429</v>
      </c>
      <c r="B421" s="1">
        <v>45013</v>
      </c>
      <c r="C421" t="s">
        <v>1211</v>
      </c>
      <c r="D421" t="s">
        <v>1216</v>
      </c>
      <c r="E421" t="s">
        <v>1222</v>
      </c>
      <c r="F421" t="s">
        <v>1230</v>
      </c>
      <c r="G421">
        <v>5</v>
      </c>
      <c r="H421">
        <v>323</v>
      </c>
      <c r="I421">
        <v>1615</v>
      </c>
      <c r="J421" s="2">
        <v>215.4</v>
      </c>
    </row>
    <row r="422" spans="1:10" x14ac:dyDescent="0.3">
      <c r="A422" t="s">
        <v>430</v>
      </c>
      <c r="B422" s="1">
        <v>44985</v>
      </c>
      <c r="C422" t="s">
        <v>1210</v>
      </c>
      <c r="D422" t="s">
        <v>1216</v>
      </c>
      <c r="E422" t="s">
        <v>1220</v>
      </c>
      <c r="F422" t="s">
        <v>1224</v>
      </c>
      <c r="G422">
        <v>9</v>
      </c>
      <c r="H422">
        <v>2616</v>
      </c>
      <c r="I422">
        <v>23544</v>
      </c>
      <c r="J422" s="2">
        <v>2236.5500000000002</v>
      </c>
    </row>
    <row r="423" spans="1:10" x14ac:dyDescent="0.3">
      <c r="A423" t="s">
        <v>431</v>
      </c>
      <c r="B423" s="1">
        <v>45231</v>
      </c>
      <c r="C423" t="s">
        <v>1212</v>
      </c>
      <c r="D423" t="s">
        <v>1217</v>
      </c>
      <c r="E423" t="s">
        <v>1222</v>
      </c>
      <c r="F423" t="s">
        <v>1234</v>
      </c>
      <c r="G423">
        <v>6</v>
      </c>
      <c r="H423">
        <v>4363</v>
      </c>
      <c r="I423">
        <v>26178</v>
      </c>
      <c r="J423" s="2">
        <v>6455.98</v>
      </c>
    </row>
    <row r="424" spans="1:10" x14ac:dyDescent="0.3">
      <c r="A424" t="s">
        <v>432</v>
      </c>
      <c r="B424" s="1">
        <v>44968</v>
      </c>
      <c r="C424" t="s">
        <v>1211</v>
      </c>
      <c r="D424" t="s">
        <v>1215</v>
      </c>
      <c r="E424" t="s">
        <v>1222</v>
      </c>
      <c r="F424" t="s">
        <v>1230</v>
      </c>
      <c r="G424">
        <v>5</v>
      </c>
      <c r="H424">
        <v>2590</v>
      </c>
      <c r="I424">
        <v>12950</v>
      </c>
      <c r="J424" s="2">
        <v>2005.63</v>
      </c>
    </row>
    <row r="425" spans="1:10" x14ac:dyDescent="0.3">
      <c r="A425" t="s">
        <v>433</v>
      </c>
      <c r="B425" s="1">
        <v>44947</v>
      </c>
      <c r="C425" t="s">
        <v>1213</v>
      </c>
      <c r="D425" t="s">
        <v>1214</v>
      </c>
      <c r="E425" t="s">
        <v>1219</v>
      </c>
      <c r="F425" t="s">
        <v>1233</v>
      </c>
      <c r="G425">
        <v>1</v>
      </c>
      <c r="H425">
        <v>540</v>
      </c>
      <c r="I425">
        <v>540</v>
      </c>
      <c r="J425" s="2">
        <v>74.64</v>
      </c>
    </row>
    <row r="426" spans="1:10" x14ac:dyDescent="0.3">
      <c r="A426" t="s">
        <v>434</v>
      </c>
      <c r="B426" s="1">
        <v>45206</v>
      </c>
      <c r="C426" t="s">
        <v>1212</v>
      </c>
      <c r="D426" t="s">
        <v>1214</v>
      </c>
      <c r="E426" t="s">
        <v>1219</v>
      </c>
      <c r="F426" t="s">
        <v>1223</v>
      </c>
      <c r="G426">
        <v>3</v>
      </c>
      <c r="H426">
        <v>3656</v>
      </c>
      <c r="I426">
        <v>10968</v>
      </c>
      <c r="J426" s="2">
        <v>1959.76</v>
      </c>
    </row>
    <row r="427" spans="1:10" x14ac:dyDescent="0.3">
      <c r="A427" t="s">
        <v>435</v>
      </c>
      <c r="B427" s="1">
        <v>45199</v>
      </c>
      <c r="C427" t="s">
        <v>1210</v>
      </c>
      <c r="D427" t="s">
        <v>1216</v>
      </c>
      <c r="E427" t="s">
        <v>1222</v>
      </c>
      <c r="F427" t="s">
        <v>1227</v>
      </c>
      <c r="G427">
        <v>2</v>
      </c>
      <c r="H427">
        <v>2386</v>
      </c>
      <c r="I427">
        <v>4772</v>
      </c>
      <c r="J427" s="2">
        <v>549.94000000000005</v>
      </c>
    </row>
    <row r="428" spans="1:10" x14ac:dyDescent="0.3">
      <c r="A428" t="s">
        <v>436</v>
      </c>
      <c r="B428" s="1">
        <v>45091</v>
      </c>
      <c r="C428" t="s">
        <v>1210</v>
      </c>
      <c r="D428" t="s">
        <v>1215</v>
      </c>
      <c r="E428" t="s">
        <v>1220</v>
      </c>
      <c r="F428" t="s">
        <v>1224</v>
      </c>
      <c r="G428">
        <v>6</v>
      </c>
      <c r="H428">
        <v>3935</v>
      </c>
      <c r="I428">
        <v>23610</v>
      </c>
      <c r="J428" s="2">
        <v>4379.9399999999996</v>
      </c>
    </row>
    <row r="429" spans="1:10" x14ac:dyDescent="0.3">
      <c r="A429" t="s">
        <v>437</v>
      </c>
      <c r="B429" s="1">
        <v>45073</v>
      </c>
      <c r="C429" t="s">
        <v>1210</v>
      </c>
      <c r="D429" t="s">
        <v>1214</v>
      </c>
      <c r="E429" t="s">
        <v>1221</v>
      </c>
      <c r="F429" t="s">
        <v>1226</v>
      </c>
      <c r="G429">
        <v>5</v>
      </c>
      <c r="H429">
        <v>856</v>
      </c>
      <c r="I429">
        <v>4280</v>
      </c>
      <c r="J429" s="2">
        <v>859.64</v>
      </c>
    </row>
    <row r="430" spans="1:10" x14ac:dyDescent="0.3">
      <c r="A430" t="s">
        <v>438</v>
      </c>
      <c r="B430" s="1">
        <v>45172</v>
      </c>
      <c r="C430" t="s">
        <v>1212</v>
      </c>
      <c r="D430" t="s">
        <v>1214</v>
      </c>
      <c r="E430" t="s">
        <v>1222</v>
      </c>
      <c r="F430" t="s">
        <v>1230</v>
      </c>
      <c r="G430">
        <v>6</v>
      </c>
      <c r="H430">
        <v>1908</v>
      </c>
      <c r="I430">
        <v>11448</v>
      </c>
      <c r="J430" s="2">
        <v>1808.09</v>
      </c>
    </row>
    <row r="431" spans="1:10" x14ac:dyDescent="0.3">
      <c r="A431" t="s">
        <v>439</v>
      </c>
      <c r="B431" s="1">
        <v>44972</v>
      </c>
      <c r="C431" t="s">
        <v>1211</v>
      </c>
      <c r="D431" t="s">
        <v>1216</v>
      </c>
      <c r="E431" t="s">
        <v>1219</v>
      </c>
      <c r="F431" t="s">
        <v>1223</v>
      </c>
      <c r="G431">
        <v>5</v>
      </c>
      <c r="H431">
        <v>1176</v>
      </c>
      <c r="I431">
        <v>5880</v>
      </c>
      <c r="J431" s="2">
        <v>1150.8800000000001</v>
      </c>
    </row>
    <row r="432" spans="1:10" x14ac:dyDescent="0.3">
      <c r="A432" t="s">
        <v>440</v>
      </c>
      <c r="B432" s="1">
        <v>45034</v>
      </c>
      <c r="C432" t="s">
        <v>1213</v>
      </c>
      <c r="D432" t="s">
        <v>1216</v>
      </c>
      <c r="E432" t="s">
        <v>1220</v>
      </c>
      <c r="F432" t="s">
        <v>1228</v>
      </c>
      <c r="G432">
        <v>3</v>
      </c>
      <c r="H432">
        <v>2394</v>
      </c>
      <c r="I432">
        <v>7182</v>
      </c>
      <c r="J432" s="2">
        <v>1200.78</v>
      </c>
    </row>
    <row r="433" spans="1:10" x14ac:dyDescent="0.3">
      <c r="A433" t="s">
        <v>441</v>
      </c>
      <c r="B433" s="1">
        <v>45142</v>
      </c>
      <c r="C433" t="s">
        <v>1210</v>
      </c>
      <c r="D433" t="s">
        <v>1214</v>
      </c>
      <c r="E433" t="s">
        <v>1221</v>
      </c>
      <c r="F433" t="s">
        <v>1229</v>
      </c>
      <c r="G433">
        <v>7</v>
      </c>
      <c r="H433">
        <v>1810</v>
      </c>
      <c r="I433">
        <v>12670</v>
      </c>
      <c r="J433" s="2">
        <v>1451.32</v>
      </c>
    </row>
    <row r="434" spans="1:10" x14ac:dyDescent="0.3">
      <c r="A434" t="s">
        <v>442</v>
      </c>
      <c r="B434" s="1">
        <v>45145</v>
      </c>
      <c r="C434" t="s">
        <v>1211</v>
      </c>
      <c r="D434" t="s">
        <v>1216</v>
      </c>
      <c r="E434" t="s">
        <v>1219</v>
      </c>
      <c r="F434" t="s">
        <v>1223</v>
      </c>
      <c r="G434">
        <v>9</v>
      </c>
      <c r="H434">
        <v>4025</v>
      </c>
      <c r="I434">
        <v>36225</v>
      </c>
      <c r="J434" s="2">
        <v>7367.14</v>
      </c>
    </row>
    <row r="435" spans="1:10" x14ac:dyDescent="0.3">
      <c r="A435" t="s">
        <v>443</v>
      </c>
      <c r="B435" s="1">
        <v>44974</v>
      </c>
      <c r="C435" t="s">
        <v>1210</v>
      </c>
      <c r="D435" t="s">
        <v>1218</v>
      </c>
      <c r="E435" t="s">
        <v>1219</v>
      </c>
      <c r="F435" t="s">
        <v>1238</v>
      </c>
      <c r="G435">
        <v>4</v>
      </c>
      <c r="H435">
        <v>1102</v>
      </c>
      <c r="I435">
        <v>4408</v>
      </c>
      <c r="J435" s="2">
        <v>1069.06</v>
      </c>
    </row>
    <row r="436" spans="1:10" x14ac:dyDescent="0.3">
      <c r="A436" t="s">
        <v>444</v>
      </c>
      <c r="B436" s="1">
        <v>45278</v>
      </c>
      <c r="C436" t="s">
        <v>1213</v>
      </c>
      <c r="D436" t="s">
        <v>1214</v>
      </c>
      <c r="E436" t="s">
        <v>1221</v>
      </c>
      <c r="F436" t="s">
        <v>1226</v>
      </c>
      <c r="G436">
        <v>1</v>
      </c>
      <c r="H436">
        <v>2584</v>
      </c>
      <c r="I436">
        <v>2584</v>
      </c>
      <c r="J436" s="2">
        <v>578.78</v>
      </c>
    </row>
    <row r="437" spans="1:10" x14ac:dyDescent="0.3">
      <c r="A437" t="s">
        <v>445</v>
      </c>
      <c r="B437" s="1">
        <v>45115</v>
      </c>
      <c r="C437" t="s">
        <v>1210</v>
      </c>
      <c r="D437" t="s">
        <v>1217</v>
      </c>
      <c r="E437" t="s">
        <v>1219</v>
      </c>
      <c r="F437" t="s">
        <v>1233</v>
      </c>
      <c r="G437">
        <v>3</v>
      </c>
      <c r="H437">
        <v>2690</v>
      </c>
      <c r="I437">
        <v>8070</v>
      </c>
      <c r="J437" s="2">
        <v>687.84</v>
      </c>
    </row>
    <row r="438" spans="1:10" x14ac:dyDescent="0.3">
      <c r="A438" t="s">
        <v>446</v>
      </c>
      <c r="B438" s="1">
        <v>45224</v>
      </c>
      <c r="C438" t="s">
        <v>1213</v>
      </c>
      <c r="D438" t="s">
        <v>1215</v>
      </c>
      <c r="E438" t="s">
        <v>1221</v>
      </c>
      <c r="F438" t="s">
        <v>1229</v>
      </c>
      <c r="G438">
        <v>6</v>
      </c>
      <c r="H438">
        <v>4978</v>
      </c>
      <c r="I438">
        <v>29868</v>
      </c>
      <c r="J438" s="2">
        <v>6817.32</v>
      </c>
    </row>
    <row r="439" spans="1:10" x14ac:dyDescent="0.3">
      <c r="A439" t="s">
        <v>447</v>
      </c>
      <c r="B439" s="1">
        <v>45110</v>
      </c>
      <c r="C439" t="s">
        <v>1211</v>
      </c>
      <c r="D439" t="s">
        <v>1218</v>
      </c>
      <c r="E439" t="s">
        <v>1221</v>
      </c>
      <c r="F439" t="s">
        <v>1226</v>
      </c>
      <c r="G439">
        <v>2</v>
      </c>
      <c r="H439">
        <v>3952</v>
      </c>
      <c r="I439">
        <v>7904</v>
      </c>
      <c r="J439" s="2">
        <v>1006.88</v>
      </c>
    </row>
    <row r="440" spans="1:10" x14ac:dyDescent="0.3">
      <c r="A440" t="s">
        <v>448</v>
      </c>
      <c r="B440" s="1">
        <v>45208</v>
      </c>
      <c r="C440" t="s">
        <v>1212</v>
      </c>
      <c r="D440" t="s">
        <v>1214</v>
      </c>
      <c r="E440" t="s">
        <v>1220</v>
      </c>
      <c r="F440" t="s">
        <v>1237</v>
      </c>
      <c r="G440">
        <v>3</v>
      </c>
      <c r="H440">
        <v>4314</v>
      </c>
      <c r="I440">
        <v>12942</v>
      </c>
      <c r="J440" s="2">
        <v>1476.82</v>
      </c>
    </row>
    <row r="441" spans="1:10" x14ac:dyDescent="0.3">
      <c r="A441" t="s">
        <v>449</v>
      </c>
      <c r="B441" s="1">
        <v>44963</v>
      </c>
      <c r="C441" t="s">
        <v>1212</v>
      </c>
      <c r="D441" t="s">
        <v>1215</v>
      </c>
      <c r="E441" t="s">
        <v>1222</v>
      </c>
      <c r="F441" t="s">
        <v>1236</v>
      </c>
      <c r="G441">
        <v>9</v>
      </c>
      <c r="H441">
        <v>1772</v>
      </c>
      <c r="I441">
        <v>15948</v>
      </c>
      <c r="J441" s="2">
        <v>3283.39</v>
      </c>
    </row>
    <row r="442" spans="1:10" x14ac:dyDescent="0.3">
      <c r="A442" t="s">
        <v>450</v>
      </c>
      <c r="B442" s="1">
        <v>44961</v>
      </c>
      <c r="C442" t="s">
        <v>1211</v>
      </c>
      <c r="D442" t="s">
        <v>1218</v>
      </c>
      <c r="E442" t="s">
        <v>1221</v>
      </c>
      <c r="F442" t="s">
        <v>1226</v>
      </c>
      <c r="G442">
        <v>9</v>
      </c>
      <c r="H442">
        <v>3398</v>
      </c>
      <c r="I442">
        <v>30582</v>
      </c>
      <c r="J442" s="2">
        <v>7044.63</v>
      </c>
    </row>
    <row r="443" spans="1:10" x14ac:dyDescent="0.3">
      <c r="A443" t="s">
        <v>451</v>
      </c>
      <c r="B443" s="1">
        <v>45001</v>
      </c>
      <c r="C443" t="s">
        <v>1210</v>
      </c>
      <c r="D443" t="s">
        <v>1214</v>
      </c>
      <c r="E443" t="s">
        <v>1220</v>
      </c>
      <c r="F443" t="s">
        <v>1225</v>
      </c>
      <c r="G443">
        <v>4</v>
      </c>
      <c r="H443">
        <v>613</v>
      </c>
      <c r="I443">
        <v>2452</v>
      </c>
      <c r="J443" s="2">
        <v>206.37</v>
      </c>
    </row>
    <row r="444" spans="1:10" x14ac:dyDescent="0.3">
      <c r="A444" t="s">
        <v>452</v>
      </c>
      <c r="B444" s="1">
        <v>45049</v>
      </c>
      <c r="C444" t="s">
        <v>1211</v>
      </c>
      <c r="D444" t="s">
        <v>1217</v>
      </c>
      <c r="E444" t="s">
        <v>1220</v>
      </c>
      <c r="F444" t="s">
        <v>1224</v>
      </c>
      <c r="G444">
        <v>2</v>
      </c>
      <c r="H444">
        <v>2292</v>
      </c>
      <c r="I444">
        <v>4584</v>
      </c>
      <c r="J444" s="2">
        <v>1111.02</v>
      </c>
    </row>
    <row r="445" spans="1:10" x14ac:dyDescent="0.3">
      <c r="A445" t="s">
        <v>453</v>
      </c>
      <c r="B445" s="1">
        <v>45070</v>
      </c>
      <c r="C445" t="s">
        <v>1211</v>
      </c>
      <c r="D445" t="s">
        <v>1216</v>
      </c>
      <c r="E445" t="s">
        <v>1221</v>
      </c>
      <c r="F445" t="s">
        <v>1231</v>
      </c>
      <c r="G445">
        <v>7</v>
      </c>
      <c r="H445">
        <v>4457</v>
      </c>
      <c r="I445">
        <v>31199</v>
      </c>
      <c r="J445" s="2">
        <v>6709.9</v>
      </c>
    </row>
    <row r="446" spans="1:10" x14ac:dyDescent="0.3">
      <c r="A446" t="s">
        <v>454</v>
      </c>
      <c r="B446" s="1">
        <v>45216</v>
      </c>
      <c r="C446" t="s">
        <v>1210</v>
      </c>
      <c r="D446" t="s">
        <v>1214</v>
      </c>
      <c r="E446" t="s">
        <v>1220</v>
      </c>
      <c r="F446" t="s">
        <v>1225</v>
      </c>
      <c r="G446">
        <v>8</v>
      </c>
      <c r="H446">
        <v>2358</v>
      </c>
      <c r="I446">
        <v>18864</v>
      </c>
      <c r="J446" s="2">
        <v>2186.13</v>
      </c>
    </row>
    <row r="447" spans="1:10" x14ac:dyDescent="0.3">
      <c r="A447" t="s">
        <v>455</v>
      </c>
      <c r="B447" s="1">
        <v>45044</v>
      </c>
      <c r="C447" t="s">
        <v>1212</v>
      </c>
      <c r="D447" t="s">
        <v>1215</v>
      </c>
      <c r="E447" t="s">
        <v>1221</v>
      </c>
      <c r="F447" t="s">
        <v>1235</v>
      </c>
      <c r="G447">
        <v>8</v>
      </c>
      <c r="H447">
        <v>4165</v>
      </c>
      <c r="I447">
        <v>33320</v>
      </c>
      <c r="J447" s="2">
        <v>4173.28</v>
      </c>
    </row>
    <row r="448" spans="1:10" x14ac:dyDescent="0.3">
      <c r="A448" t="s">
        <v>456</v>
      </c>
      <c r="B448" s="1">
        <v>44979</v>
      </c>
      <c r="C448" t="s">
        <v>1210</v>
      </c>
      <c r="D448" t="s">
        <v>1218</v>
      </c>
      <c r="E448" t="s">
        <v>1219</v>
      </c>
      <c r="F448" t="s">
        <v>1232</v>
      </c>
      <c r="G448">
        <v>1</v>
      </c>
      <c r="H448">
        <v>636</v>
      </c>
      <c r="I448">
        <v>636</v>
      </c>
      <c r="J448" s="2">
        <v>54.52</v>
      </c>
    </row>
    <row r="449" spans="1:10" x14ac:dyDescent="0.3">
      <c r="A449" t="s">
        <v>457</v>
      </c>
      <c r="B449" s="1">
        <v>45000</v>
      </c>
      <c r="C449" t="s">
        <v>1211</v>
      </c>
      <c r="D449" t="s">
        <v>1216</v>
      </c>
      <c r="E449" t="s">
        <v>1222</v>
      </c>
      <c r="F449" t="s">
        <v>1230</v>
      </c>
      <c r="G449">
        <v>1</v>
      </c>
      <c r="H449">
        <v>382</v>
      </c>
      <c r="I449">
        <v>382</v>
      </c>
      <c r="J449" s="2">
        <v>63.23</v>
      </c>
    </row>
    <row r="450" spans="1:10" x14ac:dyDescent="0.3">
      <c r="A450" t="s">
        <v>458</v>
      </c>
      <c r="B450" s="1">
        <v>44940</v>
      </c>
      <c r="C450" t="s">
        <v>1211</v>
      </c>
      <c r="D450" t="s">
        <v>1216</v>
      </c>
      <c r="E450" t="s">
        <v>1221</v>
      </c>
      <c r="F450" t="s">
        <v>1229</v>
      </c>
      <c r="G450">
        <v>4</v>
      </c>
      <c r="H450">
        <v>859</v>
      </c>
      <c r="I450">
        <v>3436</v>
      </c>
      <c r="J450" s="2">
        <v>673.61</v>
      </c>
    </row>
    <row r="451" spans="1:10" x14ac:dyDescent="0.3">
      <c r="A451" t="s">
        <v>459</v>
      </c>
      <c r="B451" s="1">
        <v>45190</v>
      </c>
      <c r="C451" t="s">
        <v>1211</v>
      </c>
      <c r="D451" t="s">
        <v>1216</v>
      </c>
      <c r="E451" t="s">
        <v>1220</v>
      </c>
      <c r="F451" t="s">
        <v>1224</v>
      </c>
      <c r="G451">
        <v>5</v>
      </c>
      <c r="H451">
        <v>2507</v>
      </c>
      <c r="I451">
        <v>12535</v>
      </c>
      <c r="J451" s="2">
        <v>1307.26</v>
      </c>
    </row>
    <row r="452" spans="1:10" x14ac:dyDescent="0.3">
      <c r="A452" t="s">
        <v>460</v>
      </c>
      <c r="B452" s="1">
        <v>45287</v>
      </c>
      <c r="C452" t="s">
        <v>1213</v>
      </c>
      <c r="D452" t="s">
        <v>1218</v>
      </c>
      <c r="E452" t="s">
        <v>1219</v>
      </c>
      <c r="F452" t="s">
        <v>1238</v>
      </c>
      <c r="G452">
        <v>2</v>
      </c>
      <c r="H452">
        <v>4649</v>
      </c>
      <c r="I452">
        <v>9298</v>
      </c>
      <c r="J452" s="2">
        <v>1884.64</v>
      </c>
    </row>
    <row r="453" spans="1:10" x14ac:dyDescent="0.3">
      <c r="A453" t="s">
        <v>461</v>
      </c>
      <c r="B453" s="1">
        <v>45022</v>
      </c>
      <c r="C453" t="s">
        <v>1211</v>
      </c>
      <c r="D453" t="s">
        <v>1218</v>
      </c>
      <c r="E453" t="s">
        <v>1219</v>
      </c>
      <c r="F453" t="s">
        <v>1232</v>
      </c>
      <c r="G453">
        <v>1</v>
      </c>
      <c r="H453">
        <v>2084</v>
      </c>
      <c r="I453">
        <v>2084</v>
      </c>
      <c r="J453" s="2">
        <v>183.32</v>
      </c>
    </row>
    <row r="454" spans="1:10" x14ac:dyDescent="0.3">
      <c r="A454" t="s">
        <v>462</v>
      </c>
      <c r="B454" s="1">
        <v>45246</v>
      </c>
      <c r="C454" t="s">
        <v>1212</v>
      </c>
      <c r="D454" t="s">
        <v>1216</v>
      </c>
      <c r="E454" t="s">
        <v>1219</v>
      </c>
      <c r="F454" t="s">
        <v>1223</v>
      </c>
      <c r="G454">
        <v>2</v>
      </c>
      <c r="H454">
        <v>2637</v>
      </c>
      <c r="I454">
        <v>5274</v>
      </c>
      <c r="J454" s="2">
        <v>643.22</v>
      </c>
    </row>
    <row r="455" spans="1:10" x14ac:dyDescent="0.3">
      <c r="A455" t="s">
        <v>463</v>
      </c>
      <c r="B455" s="1">
        <v>45026</v>
      </c>
      <c r="C455" t="s">
        <v>1211</v>
      </c>
      <c r="D455" t="s">
        <v>1214</v>
      </c>
      <c r="E455" t="s">
        <v>1219</v>
      </c>
      <c r="F455" t="s">
        <v>1232</v>
      </c>
      <c r="G455">
        <v>1</v>
      </c>
      <c r="H455">
        <v>4432</v>
      </c>
      <c r="I455">
        <v>4432</v>
      </c>
      <c r="J455" s="2">
        <v>989.49</v>
      </c>
    </row>
    <row r="456" spans="1:10" x14ac:dyDescent="0.3">
      <c r="A456" t="s">
        <v>464</v>
      </c>
      <c r="B456" s="1">
        <v>45105</v>
      </c>
      <c r="C456" t="s">
        <v>1212</v>
      </c>
      <c r="D456" t="s">
        <v>1218</v>
      </c>
      <c r="E456" t="s">
        <v>1222</v>
      </c>
      <c r="F456" t="s">
        <v>1227</v>
      </c>
      <c r="G456">
        <v>1</v>
      </c>
      <c r="H456">
        <v>397</v>
      </c>
      <c r="I456">
        <v>397</v>
      </c>
      <c r="J456" s="2">
        <v>57.23</v>
      </c>
    </row>
    <row r="457" spans="1:10" x14ac:dyDescent="0.3">
      <c r="A457" t="s">
        <v>465</v>
      </c>
      <c r="B457" s="1">
        <v>45046</v>
      </c>
      <c r="C457" t="s">
        <v>1210</v>
      </c>
      <c r="D457" t="s">
        <v>1217</v>
      </c>
      <c r="E457" t="s">
        <v>1220</v>
      </c>
      <c r="F457" t="s">
        <v>1237</v>
      </c>
      <c r="G457">
        <v>1</v>
      </c>
      <c r="H457">
        <v>4099</v>
      </c>
      <c r="I457">
        <v>4099</v>
      </c>
      <c r="J457" s="2">
        <v>768.81</v>
      </c>
    </row>
    <row r="458" spans="1:10" x14ac:dyDescent="0.3">
      <c r="A458" t="s">
        <v>466</v>
      </c>
      <c r="B458" s="1">
        <v>45027</v>
      </c>
      <c r="C458" t="s">
        <v>1212</v>
      </c>
      <c r="D458" t="s">
        <v>1216</v>
      </c>
      <c r="E458" t="s">
        <v>1219</v>
      </c>
      <c r="F458" t="s">
        <v>1238</v>
      </c>
      <c r="G458">
        <v>5</v>
      </c>
      <c r="H458">
        <v>4188</v>
      </c>
      <c r="I458">
        <v>20940</v>
      </c>
      <c r="J458" s="2">
        <v>4791.84</v>
      </c>
    </row>
    <row r="459" spans="1:10" x14ac:dyDescent="0.3">
      <c r="A459" t="s">
        <v>467</v>
      </c>
      <c r="B459" s="1">
        <v>45127</v>
      </c>
      <c r="C459" t="s">
        <v>1212</v>
      </c>
      <c r="D459" t="s">
        <v>1216</v>
      </c>
      <c r="E459" t="s">
        <v>1219</v>
      </c>
      <c r="F459" t="s">
        <v>1232</v>
      </c>
      <c r="G459">
        <v>4</v>
      </c>
      <c r="H459">
        <v>4726</v>
      </c>
      <c r="I459">
        <v>18904</v>
      </c>
      <c r="J459" s="2">
        <v>4545.9799999999996</v>
      </c>
    </row>
    <row r="460" spans="1:10" x14ac:dyDescent="0.3">
      <c r="A460" t="s">
        <v>468</v>
      </c>
      <c r="B460" s="1">
        <v>45230</v>
      </c>
      <c r="C460" t="s">
        <v>1210</v>
      </c>
      <c r="D460" t="s">
        <v>1216</v>
      </c>
      <c r="E460" t="s">
        <v>1219</v>
      </c>
      <c r="F460" t="s">
        <v>1238</v>
      </c>
      <c r="G460">
        <v>5</v>
      </c>
      <c r="H460">
        <v>3057</v>
      </c>
      <c r="I460">
        <v>15285</v>
      </c>
      <c r="J460" s="2">
        <v>1495.14</v>
      </c>
    </row>
    <row r="461" spans="1:10" x14ac:dyDescent="0.3">
      <c r="A461" t="s">
        <v>469</v>
      </c>
      <c r="B461" s="1">
        <v>45182</v>
      </c>
      <c r="C461" t="s">
        <v>1211</v>
      </c>
      <c r="D461" t="s">
        <v>1214</v>
      </c>
      <c r="E461" t="s">
        <v>1221</v>
      </c>
      <c r="F461" t="s">
        <v>1231</v>
      </c>
      <c r="G461">
        <v>3</v>
      </c>
      <c r="H461">
        <v>3574</v>
      </c>
      <c r="I461">
        <v>10722</v>
      </c>
      <c r="J461" s="2">
        <v>1060.04</v>
      </c>
    </row>
    <row r="462" spans="1:10" x14ac:dyDescent="0.3">
      <c r="A462" t="s">
        <v>470</v>
      </c>
      <c r="B462" s="1">
        <v>45155</v>
      </c>
      <c r="C462" t="s">
        <v>1212</v>
      </c>
      <c r="D462" t="s">
        <v>1216</v>
      </c>
      <c r="E462" t="s">
        <v>1221</v>
      </c>
      <c r="F462" t="s">
        <v>1231</v>
      </c>
      <c r="G462">
        <v>7</v>
      </c>
      <c r="H462">
        <v>4272</v>
      </c>
      <c r="I462">
        <v>29904</v>
      </c>
      <c r="J462" s="2">
        <v>3338</v>
      </c>
    </row>
    <row r="463" spans="1:10" x14ac:dyDescent="0.3">
      <c r="A463" t="s">
        <v>471</v>
      </c>
      <c r="B463" s="1">
        <v>45236</v>
      </c>
      <c r="C463" t="s">
        <v>1213</v>
      </c>
      <c r="D463" t="s">
        <v>1218</v>
      </c>
      <c r="E463" t="s">
        <v>1219</v>
      </c>
      <c r="F463" t="s">
        <v>1233</v>
      </c>
      <c r="G463">
        <v>9</v>
      </c>
      <c r="H463">
        <v>4624</v>
      </c>
      <c r="I463">
        <v>41616</v>
      </c>
      <c r="J463" s="2">
        <v>9482.61</v>
      </c>
    </row>
    <row r="464" spans="1:10" x14ac:dyDescent="0.3">
      <c r="A464" t="s">
        <v>472</v>
      </c>
      <c r="B464" s="1">
        <v>45142</v>
      </c>
      <c r="C464" t="s">
        <v>1213</v>
      </c>
      <c r="D464" t="s">
        <v>1216</v>
      </c>
      <c r="E464" t="s">
        <v>1221</v>
      </c>
      <c r="F464" t="s">
        <v>1231</v>
      </c>
      <c r="G464">
        <v>7</v>
      </c>
      <c r="H464">
        <v>1396</v>
      </c>
      <c r="I464">
        <v>9772</v>
      </c>
      <c r="J464" s="2">
        <v>841.46</v>
      </c>
    </row>
    <row r="465" spans="1:10" x14ac:dyDescent="0.3">
      <c r="A465" t="s">
        <v>473</v>
      </c>
      <c r="B465" s="1">
        <v>45236</v>
      </c>
      <c r="C465" t="s">
        <v>1211</v>
      </c>
      <c r="D465" t="s">
        <v>1218</v>
      </c>
      <c r="E465" t="s">
        <v>1220</v>
      </c>
      <c r="F465" t="s">
        <v>1237</v>
      </c>
      <c r="G465">
        <v>6</v>
      </c>
      <c r="H465">
        <v>1139</v>
      </c>
      <c r="I465">
        <v>6834</v>
      </c>
      <c r="J465" s="2">
        <v>1005.78</v>
      </c>
    </row>
    <row r="466" spans="1:10" x14ac:dyDescent="0.3">
      <c r="A466" t="s">
        <v>474</v>
      </c>
      <c r="B466" s="1">
        <v>45044</v>
      </c>
      <c r="C466" t="s">
        <v>1211</v>
      </c>
      <c r="D466" t="s">
        <v>1217</v>
      </c>
      <c r="E466" t="s">
        <v>1221</v>
      </c>
      <c r="F466" t="s">
        <v>1231</v>
      </c>
      <c r="G466">
        <v>3</v>
      </c>
      <c r="H466">
        <v>1748</v>
      </c>
      <c r="I466">
        <v>5244</v>
      </c>
      <c r="J466" s="2">
        <v>471.31</v>
      </c>
    </row>
    <row r="467" spans="1:10" x14ac:dyDescent="0.3">
      <c r="A467" t="s">
        <v>475</v>
      </c>
      <c r="B467" s="1">
        <v>45091</v>
      </c>
      <c r="C467" t="s">
        <v>1211</v>
      </c>
      <c r="D467" t="s">
        <v>1217</v>
      </c>
      <c r="E467" t="s">
        <v>1222</v>
      </c>
      <c r="F467" t="s">
        <v>1236</v>
      </c>
      <c r="G467">
        <v>5</v>
      </c>
      <c r="H467">
        <v>3857</v>
      </c>
      <c r="I467">
        <v>19285</v>
      </c>
      <c r="J467" s="2">
        <v>1590.97</v>
      </c>
    </row>
    <row r="468" spans="1:10" x14ac:dyDescent="0.3">
      <c r="A468" t="s">
        <v>476</v>
      </c>
      <c r="B468" s="1">
        <v>45037</v>
      </c>
      <c r="C468" t="s">
        <v>1211</v>
      </c>
      <c r="D468" t="s">
        <v>1218</v>
      </c>
      <c r="E468" t="s">
        <v>1220</v>
      </c>
      <c r="F468" t="s">
        <v>1228</v>
      </c>
      <c r="G468">
        <v>4</v>
      </c>
      <c r="H468">
        <v>4693</v>
      </c>
      <c r="I468">
        <v>18772</v>
      </c>
      <c r="J468" s="2">
        <v>2821.79</v>
      </c>
    </row>
    <row r="469" spans="1:10" x14ac:dyDescent="0.3">
      <c r="A469" t="s">
        <v>477</v>
      </c>
      <c r="B469" s="1">
        <v>45154</v>
      </c>
      <c r="C469" t="s">
        <v>1211</v>
      </c>
      <c r="D469" t="s">
        <v>1216</v>
      </c>
      <c r="E469" t="s">
        <v>1221</v>
      </c>
      <c r="F469" t="s">
        <v>1229</v>
      </c>
      <c r="G469">
        <v>4</v>
      </c>
      <c r="H469">
        <v>4836</v>
      </c>
      <c r="I469">
        <v>19344</v>
      </c>
      <c r="J469" s="2">
        <v>3073.69</v>
      </c>
    </row>
    <row r="470" spans="1:10" x14ac:dyDescent="0.3">
      <c r="A470" t="s">
        <v>478</v>
      </c>
      <c r="B470" s="1">
        <v>45198</v>
      </c>
      <c r="C470" t="s">
        <v>1210</v>
      </c>
      <c r="D470" t="s">
        <v>1218</v>
      </c>
      <c r="E470" t="s">
        <v>1220</v>
      </c>
      <c r="F470" t="s">
        <v>1225</v>
      </c>
      <c r="G470">
        <v>1</v>
      </c>
      <c r="H470">
        <v>4123</v>
      </c>
      <c r="I470">
        <v>4123</v>
      </c>
      <c r="J470" s="2">
        <v>648.70000000000005</v>
      </c>
    </row>
    <row r="471" spans="1:10" x14ac:dyDescent="0.3">
      <c r="A471" t="s">
        <v>479</v>
      </c>
      <c r="B471" s="1">
        <v>45101</v>
      </c>
      <c r="C471" t="s">
        <v>1211</v>
      </c>
      <c r="D471" t="s">
        <v>1218</v>
      </c>
      <c r="E471" t="s">
        <v>1221</v>
      </c>
      <c r="F471" t="s">
        <v>1226</v>
      </c>
      <c r="G471">
        <v>6</v>
      </c>
      <c r="H471">
        <v>3964</v>
      </c>
      <c r="I471">
        <v>23784</v>
      </c>
      <c r="J471" s="2">
        <v>2211.5700000000002</v>
      </c>
    </row>
    <row r="472" spans="1:10" x14ac:dyDescent="0.3">
      <c r="A472" t="s">
        <v>480</v>
      </c>
      <c r="B472" s="1">
        <v>45079</v>
      </c>
      <c r="C472" t="s">
        <v>1212</v>
      </c>
      <c r="E472" t="s">
        <v>1220</v>
      </c>
      <c r="G472">
        <v>6</v>
      </c>
      <c r="H472">
        <v>3662</v>
      </c>
      <c r="I472">
        <v>21972</v>
      </c>
      <c r="J472" s="2">
        <v>1823.32</v>
      </c>
    </row>
    <row r="473" spans="1:10" x14ac:dyDescent="0.3">
      <c r="A473" t="s">
        <v>481</v>
      </c>
      <c r="B473" s="1">
        <v>45134</v>
      </c>
      <c r="C473" t="s">
        <v>1210</v>
      </c>
      <c r="D473" t="s">
        <v>1215</v>
      </c>
      <c r="E473" t="s">
        <v>1219</v>
      </c>
      <c r="F473" t="s">
        <v>1223</v>
      </c>
      <c r="G473">
        <v>9</v>
      </c>
      <c r="H473">
        <v>3909</v>
      </c>
      <c r="I473">
        <v>35181</v>
      </c>
      <c r="J473" s="2">
        <v>6227.4</v>
      </c>
    </row>
    <row r="474" spans="1:10" x14ac:dyDescent="0.3">
      <c r="A474" t="s">
        <v>482</v>
      </c>
      <c r="B474" s="1">
        <v>45257</v>
      </c>
      <c r="C474" t="s">
        <v>1213</v>
      </c>
      <c r="D474" t="s">
        <v>1218</v>
      </c>
      <c r="E474" t="s">
        <v>1221</v>
      </c>
      <c r="F474" t="s">
        <v>1231</v>
      </c>
      <c r="G474">
        <v>7</v>
      </c>
      <c r="H474">
        <v>4602</v>
      </c>
      <c r="I474">
        <v>32214</v>
      </c>
      <c r="J474" s="2">
        <v>2706.33</v>
      </c>
    </row>
    <row r="475" spans="1:10" x14ac:dyDescent="0.3">
      <c r="A475" t="s">
        <v>483</v>
      </c>
      <c r="B475" s="1">
        <v>45058</v>
      </c>
      <c r="C475" t="s">
        <v>1213</v>
      </c>
      <c r="D475" t="s">
        <v>1214</v>
      </c>
      <c r="E475" t="s">
        <v>1219</v>
      </c>
      <c r="F475" t="s">
        <v>1232</v>
      </c>
      <c r="G475">
        <v>8</v>
      </c>
      <c r="H475">
        <v>3316</v>
      </c>
      <c r="I475">
        <v>26528</v>
      </c>
      <c r="J475" s="2">
        <v>3917.15</v>
      </c>
    </row>
    <row r="476" spans="1:10" x14ac:dyDescent="0.3">
      <c r="A476" t="s">
        <v>484</v>
      </c>
      <c r="B476" s="1">
        <v>45144</v>
      </c>
      <c r="C476" t="s">
        <v>1213</v>
      </c>
      <c r="D476" t="s">
        <v>1217</v>
      </c>
      <c r="E476" t="s">
        <v>1222</v>
      </c>
      <c r="F476" t="s">
        <v>1234</v>
      </c>
      <c r="G476">
        <v>2</v>
      </c>
      <c r="H476">
        <v>3476</v>
      </c>
      <c r="I476">
        <v>6952</v>
      </c>
      <c r="J476" s="2">
        <v>1439.52</v>
      </c>
    </row>
    <row r="477" spans="1:10" x14ac:dyDescent="0.3">
      <c r="A477" t="s">
        <v>485</v>
      </c>
      <c r="B477" s="1">
        <v>45257</v>
      </c>
      <c r="C477" t="s">
        <v>1210</v>
      </c>
      <c r="D477" t="s">
        <v>1216</v>
      </c>
      <c r="E477" t="s">
        <v>1221</v>
      </c>
      <c r="F477" t="s">
        <v>1231</v>
      </c>
      <c r="G477">
        <v>7</v>
      </c>
      <c r="H477">
        <v>3916</v>
      </c>
      <c r="I477">
        <v>27412</v>
      </c>
      <c r="J477" s="2">
        <v>4666.22</v>
      </c>
    </row>
    <row r="478" spans="1:10" x14ac:dyDescent="0.3">
      <c r="A478" t="s">
        <v>486</v>
      </c>
      <c r="B478" s="1">
        <v>44952</v>
      </c>
      <c r="C478" t="s">
        <v>1212</v>
      </c>
      <c r="D478" t="s">
        <v>1217</v>
      </c>
      <c r="E478" t="s">
        <v>1220</v>
      </c>
      <c r="F478" t="s">
        <v>1228</v>
      </c>
      <c r="G478">
        <v>1</v>
      </c>
      <c r="H478">
        <v>3470</v>
      </c>
      <c r="I478">
        <v>3470</v>
      </c>
      <c r="J478" s="2">
        <v>360.66</v>
      </c>
    </row>
    <row r="479" spans="1:10" x14ac:dyDescent="0.3">
      <c r="A479" t="s">
        <v>487</v>
      </c>
      <c r="B479" s="1">
        <v>45286</v>
      </c>
      <c r="C479" t="s">
        <v>1213</v>
      </c>
      <c r="D479" t="s">
        <v>1216</v>
      </c>
      <c r="E479" t="s">
        <v>1219</v>
      </c>
      <c r="F479" t="s">
        <v>1232</v>
      </c>
      <c r="G479">
        <v>3</v>
      </c>
      <c r="H479">
        <v>660</v>
      </c>
      <c r="I479">
        <v>1980</v>
      </c>
      <c r="J479" s="2">
        <v>431.42</v>
      </c>
    </row>
    <row r="480" spans="1:10" x14ac:dyDescent="0.3">
      <c r="A480" t="s">
        <v>488</v>
      </c>
      <c r="B480" s="1">
        <v>45028</v>
      </c>
      <c r="C480" t="s">
        <v>1213</v>
      </c>
      <c r="D480" t="s">
        <v>1216</v>
      </c>
      <c r="E480" t="s">
        <v>1219</v>
      </c>
      <c r="F480" t="s">
        <v>1238</v>
      </c>
      <c r="G480">
        <v>1</v>
      </c>
      <c r="H480">
        <v>1272</v>
      </c>
      <c r="I480">
        <v>1272</v>
      </c>
      <c r="J480" s="2">
        <v>306.62</v>
      </c>
    </row>
    <row r="481" spans="1:10" x14ac:dyDescent="0.3">
      <c r="A481" t="s">
        <v>489</v>
      </c>
      <c r="B481" s="1">
        <v>45167</v>
      </c>
      <c r="C481" t="s">
        <v>1211</v>
      </c>
      <c r="D481" t="s">
        <v>1215</v>
      </c>
      <c r="E481" t="s">
        <v>1222</v>
      </c>
      <c r="F481" t="s">
        <v>1227</v>
      </c>
      <c r="G481">
        <v>9</v>
      </c>
      <c r="H481">
        <v>4981</v>
      </c>
      <c r="I481">
        <v>44829</v>
      </c>
      <c r="J481" s="2">
        <v>4060.37</v>
      </c>
    </row>
    <row r="482" spans="1:10" x14ac:dyDescent="0.3">
      <c r="A482" t="s">
        <v>490</v>
      </c>
      <c r="B482" s="1">
        <v>45152</v>
      </c>
      <c r="C482" t="s">
        <v>1210</v>
      </c>
      <c r="D482" t="s">
        <v>1215</v>
      </c>
      <c r="E482" t="s">
        <v>1221</v>
      </c>
      <c r="F482" t="s">
        <v>1226</v>
      </c>
      <c r="G482">
        <v>9</v>
      </c>
      <c r="H482">
        <v>2495</v>
      </c>
      <c r="I482">
        <v>22455</v>
      </c>
      <c r="J482" s="2">
        <v>2308.9699999999998</v>
      </c>
    </row>
    <row r="483" spans="1:10" x14ac:dyDescent="0.3">
      <c r="A483" t="s">
        <v>491</v>
      </c>
      <c r="B483" s="1">
        <v>45136</v>
      </c>
      <c r="C483" t="s">
        <v>1211</v>
      </c>
      <c r="D483" t="s">
        <v>1217</v>
      </c>
      <c r="E483" t="s">
        <v>1220</v>
      </c>
      <c r="F483" t="s">
        <v>1228</v>
      </c>
      <c r="G483">
        <v>5</v>
      </c>
      <c r="H483">
        <v>3845</v>
      </c>
      <c r="I483">
        <v>19225</v>
      </c>
      <c r="J483" s="2">
        <v>4175.3599999999997</v>
      </c>
    </row>
    <row r="484" spans="1:10" x14ac:dyDescent="0.3">
      <c r="A484" t="s">
        <v>492</v>
      </c>
      <c r="B484" s="1">
        <v>45161</v>
      </c>
      <c r="C484" t="s">
        <v>1213</v>
      </c>
      <c r="D484" t="s">
        <v>1218</v>
      </c>
      <c r="E484" t="s">
        <v>1220</v>
      </c>
      <c r="F484" t="s">
        <v>1228</v>
      </c>
      <c r="G484">
        <v>3</v>
      </c>
      <c r="H484">
        <v>1316</v>
      </c>
      <c r="I484">
        <v>3948</v>
      </c>
      <c r="J484" s="2">
        <v>638.89</v>
      </c>
    </row>
    <row r="485" spans="1:10" x14ac:dyDescent="0.3">
      <c r="A485" t="s">
        <v>493</v>
      </c>
      <c r="B485" s="1">
        <v>44996</v>
      </c>
      <c r="C485" t="s">
        <v>1212</v>
      </c>
      <c r="D485" t="s">
        <v>1216</v>
      </c>
      <c r="E485" t="s">
        <v>1222</v>
      </c>
      <c r="F485" t="s">
        <v>1236</v>
      </c>
      <c r="G485">
        <v>2</v>
      </c>
      <c r="H485">
        <v>1746</v>
      </c>
      <c r="I485">
        <v>3492</v>
      </c>
      <c r="J485" s="2">
        <v>511.98</v>
      </c>
    </row>
    <row r="486" spans="1:10" x14ac:dyDescent="0.3">
      <c r="A486" t="s">
        <v>494</v>
      </c>
      <c r="B486" s="1">
        <v>45065</v>
      </c>
      <c r="C486" t="s">
        <v>1212</v>
      </c>
      <c r="D486" t="s">
        <v>1218</v>
      </c>
      <c r="E486" t="s">
        <v>1219</v>
      </c>
      <c r="F486" t="s">
        <v>1223</v>
      </c>
      <c r="G486">
        <v>8</v>
      </c>
      <c r="H486">
        <v>2693</v>
      </c>
      <c r="I486">
        <v>21544</v>
      </c>
      <c r="J486" s="2">
        <v>3809.45</v>
      </c>
    </row>
    <row r="487" spans="1:10" x14ac:dyDescent="0.3">
      <c r="A487" t="s">
        <v>495</v>
      </c>
      <c r="B487" s="1">
        <v>45080</v>
      </c>
      <c r="C487" t="s">
        <v>1211</v>
      </c>
      <c r="D487" t="s">
        <v>1216</v>
      </c>
      <c r="E487" t="s">
        <v>1220</v>
      </c>
      <c r="F487" t="s">
        <v>1237</v>
      </c>
      <c r="G487">
        <v>7</v>
      </c>
      <c r="H487">
        <v>1069</v>
      </c>
      <c r="I487">
        <v>7483</v>
      </c>
      <c r="J487" s="2">
        <v>1390.33</v>
      </c>
    </row>
    <row r="488" spans="1:10" x14ac:dyDescent="0.3">
      <c r="A488" t="s">
        <v>496</v>
      </c>
      <c r="B488" s="1">
        <v>45171</v>
      </c>
      <c r="C488" t="s">
        <v>1213</v>
      </c>
      <c r="D488" t="s">
        <v>1217</v>
      </c>
      <c r="E488" t="s">
        <v>1221</v>
      </c>
      <c r="F488" t="s">
        <v>1235</v>
      </c>
      <c r="G488">
        <v>2</v>
      </c>
      <c r="H488">
        <v>1496</v>
      </c>
      <c r="I488">
        <v>2992</v>
      </c>
      <c r="J488" s="2">
        <v>727.72</v>
      </c>
    </row>
    <row r="489" spans="1:10" x14ac:dyDescent="0.3">
      <c r="A489" t="s">
        <v>497</v>
      </c>
      <c r="B489" s="1">
        <v>45278</v>
      </c>
      <c r="C489" t="s">
        <v>1213</v>
      </c>
      <c r="D489" t="s">
        <v>1218</v>
      </c>
      <c r="E489" t="s">
        <v>1220</v>
      </c>
      <c r="F489" t="s">
        <v>1237</v>
      </c>
      <c r="G489">
        <v>8</v>
      </c>
      <c r="H489">
        <v>3412</v>
      </c>
      <c r="I489">
        <v>27296</v>
      </c>
      <c r="J489" s="2">
        <v>6147.54</v>
      </c>
    </row>
    <row r="490" spans="1:10" x14ac:dyDescent="0.3">
      <c r="A490" t="s">
        <v>498</v>
      </c>
      <c r="B490" s="1">
        <v>45168</v>
      </c>
      <c r="C490" t="s">
        <v>1211</v>
      </c>
      <c r="D490" t="s">
        <v>1215</v>
      </c>
      <c r="E490" t="s">
        <v>1219</v>
      </c>
      <c r="F490" t="s">
        <v>1238</v>
      </c>
      <c r="G490">
        <v>1</v>
      </c>
      <c r="H490">
        <v>4482</v>
      </c>
      <c r="I490">
        <v>4482</v>
      </c>
      <c r="J490" s="2">
        <v>1090.1500000000001</v>
      </c>
    </row>
    <row r="491" spans="1:10" x14ac:dyDescent="0.3">
      <c r="A491" t="s">
        <v>499</v>
      </c>
      <c r="B491" s="1">
        <v>45027</v>
      </c>
      <c r="C491" t="s">
        <v>1213</v>
      </c>
      <c r="D491" t="s">
        <v>1216</v>
      </c>
      <c r="E491" t="s">
        <v>1220</v>
      </c>
      <c r="F491" t="s">
        <v>1224</v>
      </c>
      <c r="G491">
        <v>9</v>
      </c>
      <c r="H491">
        <v>2668</v>
      </c>
      <c r="I491">
        <v>24012</v>
      </c>
      <c r="J491" s="2">
        <v>1957.86</v>
      </c>
    </row>
    <row r="492" spans="1:10" x14ac:dyDescent="0.3">
      <c r="A492" t="s">
        <v>500</v>
      </c>
      <c r="B492" s="1">
        <v>45248</v>
      </c>
      <c r="C492" t="s">
        <v>1210</v>
      </c>
      <c r="D492" t="s">
        <v>1214</v>
      </c>
      <c r="E492" t="s">
        <v>1220</v>
      </c>
      <c r="F492" t="s">
        <v>1237</v>
      </c>
      <c r="G492">
        <v>5</v>
      </c>
      <c r="H492">
        <v>2417</v>
      </c>
      <c r="I492">
        <v>12085</v>
      </c>
      <c r="J492" s="2">
        <v>1627.65</v>
      </c>
    </row>
    <row r="493" spans="1:10" x14ac:dyDescent="0.3">
      <c r="A493" t="s">
        <v>501</v>
      </c>
      <c r="B493" s="1">
        <v>45067</v>
      </c>
      <c r="C493" t="s">
        <v>1212</v>
      </c>
      <c r="D493" t="s">
        <v>1217</v>
      </c>
      <c r="E493" t="s">
        <v>1220</v>
      </c>
      <c r="F493" t="s">
        <v>1228</v>
      </c>
      <c r="G493">
        <v>9</v>
      </c>
      <c r="H493">
        <v>4644</v>
      </c>
      <c r="I493">
        <v>41796</v>
      </c>
      <c r="J493" s="2">
        <v>6760.56</v>
      </c>
    </row>
    <row r="494" spans="1:10" x14ac:dyDescent="0.3">
      <c r="A494" t="s">
        <v>502</v>
      </c>
      <c r="B494" s="1">
        <v>45055</v>
      </c>
      <c r="C494" t="s">
        <v>1213</v>
      </c>
      <c r="D494" t="s">
        <v>1218</v>
      </c>
      <c r="E494" t="s">
        <v>1221</v>
      </c>
      <c r="F494" t="s">
        <v>1231</v>
      </c>
      <c r="G494">
        <v>6</v>
      </c>
      <c r="H494">
        <v>3518</v>
      </c>
      <c r="I494">
        <v>21108</v>
      </c>
      <c r="J494" s="2">
        <v>4988.25</v>
      </c>
    </row>
    <row r="495" spans="1:10" x14ac:dyDescent="0.3">
      <c r="A495" t="s">
        <v>503</v>
      </c>
      <c r="B495" s="1">
        <v>45043</v>
      </c>
      <c r="C495" t="s">
        <v>1211</v>
      </c>
      <c r="D495" t="s">
        <v>1214</v>
      </c>
      <c r="E495" t="s">
        <v>1222</v>
      </c>
      <c r="F495" t="s">
        <v>1227</v>
      </c>
      <c r="G495">
        <v>1</v>
      </c>
      <c r="H495">
        <v>4106</v>
      </c>
      <c r="I495">
        <v>4106</v>
      </c>
      <c r="J495" s="2">
        <v>602.41999999999996</v>
      </c>
    </row>
    <row r="496" spans="1:10" x14ac:dyDescent="0.3">
      <c r="A496" t="s">
        <v>504</v>
      </c>
      <c r="B496" s="1">
        <v>44943</v>
      </c>
      <c r="C496" t="s">
        <v>1211</v>
      </c>
      <c r="D496" t="s">
        <v>1215</v>
      </c>
      <c r="E496" t="s">
        <v>1219</v>
      </c>
      <c r="F496" t="s">
        <v>1232</v>
      </c>
      <c r="G496">
        <v>7</v>
      </c>
      <c r="H496">
        <v>3874</v>
      </c>
      <c r="I496">
        <v>27118</v>
      </c>
      <c r="J496" s="2">
        <v>3439.73</v>
      </c>
    </row>
    <row r="497" spans="1:10" x14ac:dyDescent="0.3">
      <c r="A497" t="s">
        <v>505</v>
      </c>
      <c r="B497" s="1">
        <v>45250</v>
      </c>
      <c r="C497" t="s">
        <v>1212</v>
      </c>
      <c r="D497" t="s">
        <v>1217</v>
      </c>
      <c r="E497" t="s">
        <v>1221</v>
      </c>
      <c r="F497" t="s">
        <v>1231</v>
      </c>
      <c r="G497">
        <v>4</v>
      </c>
      <c r="H497">
        <v>892</v>
      </c>
      <c r="I497">
        <v>3568</v>
      </c>
      <c r="J497" s="2">
        <v>502.94</v>
      </c>
    </row>
    <row r="498" spans="1:10" x14ac:dyDescent="0.3">
      <c r="A498" t="s">
        <v>506</v>
      </c>
      <c r="B498" s="1">
        <v>45241</v>
      </c>
      <c r="C498" t="s">
        <v>1210</v>
      </c>
      <c r="D498" t="s">
        <v>1218</v>
      </c>
      <c r="E498" t="s">
        <v>1222</v>
      </c>
      <c r="F498" t="s">
        <v>1230</v>
      </c>
      <c r="G498">
        <v>4</v>
      </c>
      <c r="H498">
        <v>3899</v>
      </c>
      <c r="I498">
        <v>15596</v>
      </c>
      <c r="J498" s="2">
        <v>1320.64</v>
      </c>
    </row>
    <row r="499" spans="1:10" x14ac:dyDescent="0.3">
      <c r="A499" t="s">
        <v>507</v>
      </c>
      <c r="B499" s="1">
        <v>45147</v>
      </c>
      <c r="C499" t="s">
        <v>1213</v>
      </c>
      <c r="D499" t="s">
        <v>1215</v>
      </c>
      <c r="E499" t="s">
        <v>1222</v>
      </c>
      <c r="F499" t="s">
        <v>1234</v>
      </c>
      <c r="G499">
        <v>1</v>
      </c>
      <c r="H499">
        <v>2601</v>
      </c>
      <c r="I499">
        <v>2601</v>
      </c>
      <c r="J499" s="2">
        <v>508.56</v>
      </c>
    </row>
    <row r="500" spans="1:10" x14ac:dyDescent="0.3">
      <c r="A500" t="s">
        <v>508</v>
      </c>
      <c r="B500" s="1">
        <v>45208</v>
      </c>
      <c r="C500" t="s">
        <v>1210</v>
      </c>
      <c r="D500" t="s">
        <v>1214</v>
      </c>
      <c r="E500" t="s">
        <v>1221</v>
      </c>
      <c r="F500" t="s">
        <v>1235</v>
      </c>
      <c r="G500">
        <v>8</v>
      </c>
      <c r="H500">
        <v>860</v>
      </c>
      <c r="I500">
        <v>6880</v>
      </c>
      <c r="J500" s="2">
        <v>1154.73</v>
      </c>
    </row>
    <row r="501" spans="1:10" x14ac:dyDescent="0.3">
      <c r="A501" t="s">
        <v>509</v>
      </c>
      <c r="B501" s="1">
        <v>44966</v>
      </c>
      <c r="C501" t="s">
        <v>1212</v>
      </c>
      <c r="E501" t="s">
        <v>1222</v>
      </c>
      <c r="F501" t="s">
        <v>1236</v>
      </c>
      <c r="G501">
        <v>7</v>
      </c>
      <c r="H501">
        <v>2238</v>
      </c>
      <c r="I501">
        <v>15666</v>
      </c>
      <c r="J501" s="2">
        <v>3773.9</v>
      </c>
    </row>
    <row r="502" spans="1:10" x14ac:dyDescent="0.3">
      <c r="A502" t="s">
        <v>510</v>
      </c>
      <c r="B502" s="1">
        <v>45168</v>
      </c>
      <c r="C502" t="s">
        <v>1213</v>
      </c>
      <c r="D502" t="s">
        <v>1215</v>
      </c>
      <c r="E502" t="s">
        <v>1220</v>
      </c>
      <c r="F502" t="s">
        <v>1224</v>
      </c>
      <c r="G502">
        <v>7</v>
      </c>
      <c r="H502">
        <v>1073</v>
      </c>
      <c r="I502">
        <v>7511</v>
      </c>
      <c r="J502" s="2">
        <v>1735.87</v>
      </c>
    </row>
    <row r="503" spans="1:10" x14ac:dyDescent="0.3">
      <c r="A503" t="s">
        <v>511</v>
      </c>
      <c r="B503" s="1">
        <v>45029</v>
      </c>
      <c r="C503" t="s">
        <v>1211</v>
      </c>
      <c r="D503" t="s">
        <v>1216</v>
      </c>
      <c r="E503" t="s">
        <v>1222</v>
      </c>
      <c r="F503" t="s">
        <v>1236</v>
      </c>
      <c r="G503">
        <v>9</v>
      </c>
      <c r="H503">
        <v>1591</v>
      </c>
      <c r="I503">
        <v>14319</v>
      </c>
      <c r="J503" s="2">
        <v>1952.62</v>
      </c>
    </row>
    <row r="504" spans="1:10" x14ac:dyDescent="0.3">
      <c r="A504" t="s">
        <v>512</v>
      </c>
      <c r="B504" s="1">
        <v>45121</v>
      </c>
      <c r="C504" t="s">
        <v>1210</v>
      </c>
      <c r="D504" t="s">
        <v>1214</v>
      </c>
      <c r="E504" t="s">
        <v>1220</v>
      </c>
      <c r="F504" t="s">
        <v>1228</v>
      </c>
      <c r="G504">
        <v>4</v>
      </c>
      <c r="H504">
        <v>470</v>
      </c>
      <c r="I504">
        <v>1880</v>
      </c>
      <c r="J504" s="2">
        <v>431.49</v>
      </c>
    </row>
    <row r="505" spans="1:10" x14ac:dyDescent="0.3">
      <c r="A505" t="s">
        <v>513</v>
      </c>
      <c r="B505" s="1">
        <v>44930</v>
      </c>
      <c r="C505" t="s">
        <v>1210</v>
      </c>
      <c r="D505" t="s">
        <v>1217</v>
      </c>
      <c r="E505" t="s">
        <v>1221</v>
      </c>
      <c r="F505" t="s">
        <v>1235</v>
      </c>
      <c r="G505">
        <v>4</v>
      </c>
      <c r="H505">
        <v>3807</v>
      </c>
      <c r="I505">
        <v>15228</v>
      </c>
      <c r="J505" s="2">
        <v>2131.04</v>
      </c>
    </row>
    <row r="506" spans="1:10" x14ac:dyDescent="0.3">
      <c r="A506" t="s">
        <v>514</v>
      </c>
      <c r="B506" s="1">
        <v>45205</v>
      </c>
      <c r="C506" t="s">
        <v>1212</v>
      </c>
      <c r="D506" t="s">
        <v>1215</v>
      </c>
      <c r="E506" t="s">
        <v>1222</v>
      </c>
      <c r="F506" t="s">
        <v>1234</v>
      </c>
      <c r="G506">
        <v>7</v>
      </c>
      <c r="H506">
        <v>3452</v>
      </c>
      <c r="I506">
        <v>24164</v>
      </c>
      <c r="J506" s="2">
        <v>3093.48</v>
      </c>
    </row>
    <row r="507" spans="1:10" x14ac:dyDescent="0.3">
      <c r="A507" t="s">
        <v>515</v>
      </c>
      <c r="B507" s="1">
        <v>45175</v>
      </c>
      <c r="C507" t="s">
        <v>1213</v>
      </c>
      <c r="D507" t="s">
        <v>1215</v>
      </c>
      <c r="E507" t="s">
        <v>1219</v>
      </c>
      <c r="F507" t="s">
        <v>1233</v>
      </c>
      <c r="G507">
        <v>5</v>
      </c>
      <c r="H507">
        <v>4976</v>
      </c>
      <c r="I507">
        <v>24880</v>
      </c>
      <c r="J507" s="2">
        <v>1990.45</v>
      </c>
    </row>
    <row r="508" spans="1:10" x14ac:dyDescent="0.3">
      <c r="A508" t="s">
        <v>516</v>
      </c>
      <c r="B508" s="1">
        <v>44929</v>
      </c>
      <c r="C508" t="s">
        <v>1213</v>
      </c>
      <c r="E508" t="s">
        <v>1222</v>
      </c>
      <c r="F508" t="s">
        <v>1230</v>
      </c>
      <c r="G508">
        <v>8</v>
      </c>
      <c r="H508">
        <v>3356</v>
      </c>
      <c r="I508">
        <v>26848</v>
      </c>
      <c r="J508" s="2">
        <v>3535.08</v>
      </c>
    </row>
    <row r="509" spans="1:10" x14ac:dyDescent="0.3">
      <c r="A509" t="s">
        <v>517</v>
      </c>
      <c r="B509" s="1">
        <v>45165</v>
      </c>
      <c r="C509" t="s">
        <v>1212</v>
      </c>
      <c r="D509" t="s">
        <v>1215</v>
      </c>
      <c r="E509" t="s">
        <v>1220</v>
      </c>
      <c r="F509" t="s">
        <v>1237</v>
      </c>
      <c r="G509">
        <v>4</v>
      </c>
      <c r="H509">
        <v>4259</v>
      </c>
      <c r="I509">
        <v>17036</v>
      </c>
      <c r="J509" s="2">
        <v>2260.92</v>
      </c>
    </row>
    <row r="510" spans="1:10" x14ac:dyDescent="0.3">
      <c r="A510" t="s">
        <v>518</v>
      </c>
      <c r="B510" s="1">
        <v>44951</v>
      </c>
      <c r="C510" t="s">
        <v>1213</v>
      </c>
      <c r="D510" t="s">
        <v>1214</v>
      </c>
      <c r="E510" t="s">
        <v>1222</v>
      </c>
      <c r="F510" t="s">
        <v>1227</v>
      </c>
      <c r="G510">
        <v>2</v>
      </c>
      <c r="H510">
        <v>3813</v>
      </c>
      <c r="I510">
        <v>7626</v>
      </c>
      <c r="J510" s="2">
        <v>1031.8</v>
      </c>
    </row>
    <row r="511" spans="1:10" x14ac:dyDescent="0.3">
      <c r="A511" t="s">
        <v>519</v>
      </c>
      <c r="B511" s="1">
        <v>45154</v>
      </c>
      <c r="C511" t="s">
        <v>1210</v>
      </c>
      <c r="D511" t="s">
        <v>1215</v>
      </c>
      <c r="E511" t="s">
        <v>1219</v>
      </c>
      <c r="F511" t="s">
        <v>1233</v>
      </c>
      <c r="G511">
        <v>9</v>
      </c>
      <c r="H511">
        <v>4791</v>
      </c>
      <c r="I511">
        <v>43119</v>
      </c>
      <c r="J511" s="2">
        <v>10060.950000000001</v>
      </c>
    </row>
    <row r="512" spans="1:10" x14ac:dyDescent="0.3">
      <c r="A512" t="s">
        <v>520</v>
      </c>
      <c r="B512" s="1">
        <v>45213</v>
      </c>
      <c r="C512" t="s">
        <v>1211</v>
      </c>
      <c r="D512" t="s">
        <v>1217</v>
      </c>
      <c r="E512" t="s">
        <v>1220</v>
      </c>
      <c r="F512" t="s">
        <v>1228</v>
      </c>
      <c r="G512">
        <v>8</v>
      </c>
      <c r="H512">
        <v>471</v>
      </c>
      <c r="I512">
        <v>3768</v>
      </c>
      <c r="J512" s="2">
        <v>351.7</v>
      </c>
    </row>
    <row r="513" spans="1:10" x14ac:dyDescent="0.3">
      <c r="A513" t="s">
        <v>521</v>
      </c>
      <c r="B513" s="1">
        <v>45065</v>
      </c>
      <c r="C513" t="s">
        <v>1213</v>
      </c>
      <c r="D513" t="s">
        <v>1217</v>
      </c>
      <c r="E513" t="s">
        <v>1221</v>
      </c>
      <c r="F513" t="s">
        <v>1235</v>
      </c>
      <c r="G513">
        <v>2</v>
      </c>
      <c r="H513">
        <v>4549</v>
      </c>
      <c r="I513">
        <v>9098</v>
      </c>
      <c r="J513" s="2">
        <v>1630.74</v>
      </c>
    </row>
    <row r="514" spans="1:10" x14ac:dyDescent="0.3">
      <c r="A514" t="s">
        <v>522</v>
      </c>
      <c r="B514" s="1">
        <v>45037</v>
      </c>
      <c r="C514" t="s">
        <v>1212</v>
      </c>
      <c r="D514" t="s">
        <v>1214</v>
      </c>
      <c r="E514" t="s">
        <v>1220</v>
      </c>
      <c r="F514" t="s">
        <v>1228</v>
      </c>
      <c r="G514">
        <v>1</v>
      </c>
      <c r="H514">
        <v>4107</v>
      </c>
      <c r="I514">
        <v>4107</v>
      </c>
      <c r="J514" s="2">
        <v>991.29</v>
      </c>
    </row>
    <row r="515" spans="1:10" x14ac:dyDescent="0.3">
      <c r="A515" t="s">
        <v>523</v>
      </c>
      <c r="B515" s="1">
        <v>45143</v>
      </c>
      <c r="C515" t="s">
        <v>1210</v>
      </c>
      <c r="D515" t="s">
        <v>1216</v>
      </c>
      <c r="E515" t="s">
        <v>1222</v>
      </c>
      <c r="F515" t="s">
        <v>1234</v>
      </c>
      <c r="G515">
        <v>6</v>
      </c>
      <c r="H515">
        <v>3000</v>
      </c>
      <c r="I515">
        <v>18000</v>
      </c>
      <c r="J515" s="2">
        <v>3012.39</v>
      </c>
    </row>
    <row r="516" spans="1:10" x14ac:dyDescent="0.3">
      <c r="A516" t="s">
        <v>524</v>
      </c>
      <c r="B516" s="1">
        <v>45124</v>
      </c>
      <c r="C516" t="s">
        <v>1212</v>
      </c>
      <c r="D516" t="s">
        <v>1217</v>
      </c>
      <c r="E516" t="s">
        <v>1222</v>
      </c>
      <c r="F516" t="s">
        <v>1234</v>
      </c>
      <c r="G516">
        <v>8</v>
      </c>
      <c r="H516">
        <v>4399</v>
      </c>
      <c r="I516">
        <v>35192</v>
      </c>
      <c r="J516" s="2">
        <v>3893.41</v>
      </c>
    </row>
    <row r="517" spans="1:10" x14ac:dyDescent="0.3">
      <c r="A517" t="s">
        <v>525</v>
      </c>
      <c r="B517" s="1">
        <v>45095</v>
      </c>
      <c r="C517" t="s">
        <v>1212</v>
      </c>
      <c r="D517" t="s">
        <v>1218</v>
      </c>
      <c r="E517" t="s">
        <v>1219</v>
      </c>
      <c r="F517" t="s">
        <v>1232</v>
      </c>
      <c r="G517">
        <v>9</v>
      </c>
      <c r="H517">
        <v>3864</v>
      </c>
      <c r="I517">
        <v>34776</v>
      </c>
      <c r="J517" s="2">
        <v>2964.51</v>
      </c>
    </row>
    <row r="518" spans="1:10" x14ac:dyDescent="0.3">
      <c r="A518" t="s">
        <v>526</v>
      </c>
      <c r="B518" s="1">
        <v>44929</v>
      </c>
      <c r="C518" t="s">
        <v>1212</v>
      </c>
      <c r="D518" t="s">
        <v>1218</v>
      </c>
      <c r="E518" t="s">
        <v>1222</v>
      </c>
      <c r="F518" t="s">
        <v>1230</v>
      </c>
      <c r="G518">
        <v>6</v>
      </c>
      <c r="H518">
        <v>1563</v>
      </c>
      <c r="I518">
        <v>9378</v>
      </c>
      <c r="J518" s="2">
        <v>2310.2600000000002</v>
      </c>
    </row>
    <row r="519" spans="1:10" x14ac:dyDescent="0.3">
      <c r="A519" t="s">
        <v>527</v>
      </c>
      <c r="B519" s="1">
        <v>45197</v>
      </c>
      <c r="C519" t="s">
        <v>1213</v>
      </c>
      <c r="D519" t="s">
        <v>1216</v>
      </c>
      <c r="E519" t="s">
        <v>1221</v>
      </c>
      <c r="F519" t="s">
        <v>1226</v>
      </c>
      <c r="G519">
        <v>7</v>
      </c>
      <c r="H519">
        <v>4487</v>
      </c>
      <c r="I519">
        <v>31409</v>
      </c>
      <c r="J519" s="2">
        <v>5162.51</v>
      </c>
    </row>
    <row r="520" spans="1:10" x14ac:dyDescent="0.3">
      <c r="A520" t="s">
        <v>528</v>
      </c>
      <c r="B520" s="1">
        <v>45004</v>
      </c>
      <c r="C520" t="s">
        <v>1211</v>
      </c>
      <c r="D520" t="s">
        <v>1218</v>
      </c>
      <c r="E520" t="s">
        <v>1220</v>
      </c>
      <c r="F520" t="s">
        <v>1228</v>
      </c>
      <c r="G520">
        <v>3</v>
      </c>
      <c r="H520">
        <v>242</v>
      </c>
      <c r="I520">
        <v>726</v>
      </c>
      <c r="J520" s="2">
        <v>161.63</v>
      </c>
    </row>
    <row r="521" spans="1:10" x14ac:dyDescent="0.3">
      <c r="A521" t="s">
        <v>529</v>
      </c>
      <c r="B521" s="1">
        <v>45094</v>
      </c>
      <c r="C521" t="s">
        <v>1210</v>
      </c>
      <c r="D521" t="s">
        <v>1215</v>
      </c>
      <c r="E521" t="s">
        <v>1220</v>
      </c>
      <c r="F521" t="s">
        <v>1225</v>
      </c>
      <c r="G521">
        <v>7</v>
      </c>
      <c r="H521">
        <v>3586</v>
      </c>
      <c r="I521">
        <v>25102</v>
      </c>
      <c r="J521" s="2">
        <v>4146.47</v>
      </c>
    </row>
    <row r="522" spans="1:10" x14ac:dyDescent="0.3">
      <c r="A522" t="s">
        <v>530</v>
      </c>
      <c r="B522" s="1">
        <v>45246</v>
      </c>
      <c r="C522" t="s">
        <v>1211</v>
      </c>
      <c r="D522" t="s">
        <v>1214</v>
      </c>
      <c r="E522" t="s">
        <v>1222</v>
      </c>
      <c r="F522" t="s">
        <v>1234</v>
      </c>
      <c r="G522">
        <v>6</v>
      </c>
      <c r="H522">
        <v>1199</v>
      </c>
      <c r="I522">
        <v>7194</v>
      </c>
      <c r="J522" s="2">
        <v>794.75</v>
      </c>
    </row>
    <row r="523" spans="1:10" x14ac:dyDescent="0.3">
      <c r="A523" t="s">
        <v>531</v>
      </c>
      <c r="B523" s="1">
        <v>45077</v>
      </c>
      <c r="C523" t="s">
        <v>1211</v>
      </c>
      <c r="D523" t="s">
        <v>1214</v>
      </c>
      <c r="E523" t="s">
        <v>1219</v>
      </c>
      <c r="F523" t="s">
        <v>1223</v>
      </c>
      <c r="G523">
        <v>9</v>
      </c>
      <c r="H523">
        <v>3931</v>
      </c>
      <c r="I523">
        <v>35379</v>
      </c>
      <c r="J523" s="2">
        <v>6903.01</v>
      </c>
    </row>
    <row r="524" spans="1:10" x14ac:dyDescent="0.3">
      <c r="A524" t="s">
        <v>532</v>
      </c>
      <c r="B524" s="1">
        <v>45040</v>
      </c>
      <c r="C524" t="s">
        <v>1213</v>
      </c>
      <c r="D524" t="s">
        <v>1214</v>
      </c>
      <c r="E524" t="s">
        <v>1222</v>
      </c>
      <c r="F524" t="s">
        <v>1234</v>
      </c>
      <c r="G524">
        <v>8</v>
      </c>
      <c r="H524">
        <v>2766</v>
      </c>
      <c r="I524">
        <v>22128</v>
      </c>
      <c r="J524" s="2">
        <v>2947.16</v>
      </c>
    </row>
    <row r="525" spans="1:10" x14ac:dyDescent="0.3">
      <c r="A525" t="s">
        <v>533</v>
      </c>
      <c r="B525" s="1">
        <v>45039</v>
      </c>
      <c r="C525" t="s">
        <v>1213</v>
      </c>
      <c r="D525" t="s">
        <v>1215</v>
      </c>
      <c r="E525" t="s">
        <v>1219</v>
      </c>
      <c r="F525" t="s">
        <v>1233</v>
      </c>
      <c r="G525">
        <v>4</v>
      </c>
      <c r="H525">
        <v>4759</v>
      </c>
      <c r="I525">
        <v>19036</v>
      </c>
      <c r="J525" s="2">
        <v>2049.77</v>
      </c>
    </row>
    <row r="526" spans="1:10" x14ac:dyDescent="0.3">
      <c r="A526" t="s">
        <v>534</v>
      </c>
      <c r="B526" s="1">
        <v>44983</v>
      </c>
      <c r="C526" t="s">
        <v>1213</v>
      </c>
      <c r="D526" t="s">
        <v>1215</v>
      </c>
      <c r="E526" t="s">
        <v>1219</v>
      </c>
      <c r="F526" t="s">
        <v>1232</v>
      </c>
      <c r="G526">
        <v>1</v>
      </c>
      <c r="H526">
        <v>3149</v>
      </c>
      <c r="I526">
        <v>3149</v>
      </c>
      <c r="J526" s="2">
        <v>430.75</v>
      </c>
    </row>
    <row r="527" spans="1:10" x14ac:dyDescent="0.3">
      <c r="A527" t="s">
        <v>535</v>
      </c>
      <c r="B527" s="1">
        <v>44945</v>
      </c>
      <c r="C527" t="s">
        <v>1211</v>
      </c>
      <c r="D527" t="s">
        <v>1215</v>
      </c>
      <c r="E527" t="s">
        <v>1220</v>
      </c>
      <c r="F527" t="s">
        <v>1224</v>
      </c>
      <c r="G527">
        <v>1</v>
      </c>
      <c r="H527">
        <v>249</v>
      </c>
      <c r="I527">
        <v>249</v>
      </c>
      <c r="J527" s="2">
        <v>38.24</v>
      </c>
    </row>
    <row r="528" spans="1:10" x14ac:dyDescent="0.3">
      <c r="A528" t="s">
        <v>536</v>
      </c>
      <c r="B528" s="1">
        <v>45010</v>
      </c>
      <c r="C528" t="s">
        <v>1211</v>
      </c>
      <c r="D528" t="s">
        <v>1214</v>
      </c>
      <c r="E528" t="s">
        <v>1219</v>
      </c>
      <c r="F528" t="s">
        <v>1233</v>
      </c>
      <c r="G528">
        <v>7</v>
      </c>
      <c r="H528">
        <v>651</v>
      </c>
      <c r="I528">
        <v>4557</v>
      </c>
      <c r="J528" s="2">
        <v>1125.3399999999999</v>
      </c>
    </row>
    <row r="529" spans="1:10" x14ac:dyDescent="0.3">
      <c r="A529" t="s">
        <v>537</v>
      </c>
      <c r="B529" s="1">
        <v>45144</v>
      </c>
      <c r="C529" t="s">
        <v>1211</v>
      </c>
      <c r="D529" t="s">
        <v>1215</v>
      </c>
      <c r="E529" t="s">
        <v>1221</v>
      </c>
      <c r="F529" t="s">
        <v>1229</v>
      </c>
      <c r="G529">
        <v>8</v>
      </c>
      <c r="H529">
        <v>2961</v>
      </c>
      <c r="I529">
        <v>23688</v>
      </c>
      <c r="J529" s="2">
        <v>5578.63</v>
      </c>
    </row>
    <row r="530" spans="1:10" x14ac:dyDescent="0.3">
      <c r="A530" t="s">
        <v>538</v>
      </c>
      <c r="B530" s="1">
        <v>45244</v>
      </c>
      <c r="C530" t="s">
        <v>1212</v>
      </c>
      <c r="D530" t="s">
        <v>1215</v>
      </c>
      <c r="E530" t="s">
        <v>1220</v>
      </c>
      <c r="F530" t="s">
        <v>1228</v>
      </c>
      <c r="G530">
        <v>2</v>
      </c>
      <c r="H530">
        <v>717</v>
      </c>
      <c r="I530">
        <v>1434</v>
      </c>
      <c r="J530" s="2">
        <v>248.26</v>
      </c>
    </row>
    <row r="531" spans="1:10" x14ac:dyDescent="0.3">
      <c r="A531" t="s">
        <v>539</v>
      </c>
      <c r="B531" s="1">
        <v>45103</v>
      </c>
      <c r="C531" t="s">
        <v>1213</v>
      </c>
      <c r="D531" t="s">
        <v>1214</v>
      </c>
      <c r="E531" t="s">
        <v>1220</v>
      </c>
      <c r="F531" t="s">
        <v>1225</v>
      </c>
      <c r="G531">
        <v>4</v>
      </c>
      <c r="H531">
        <v>4720</v>
      </c>
      <c r="I531">
        <v>18880</v>
      </c>
      <c r="J531" s="2">
        <v>2166.5700000000002</v>
      </c>
    </row>
    <row r="532" spans="1:10" x14ac:dyDescent="0.3">
      <c r="A532" t="s">
        <v>540</v>
      </c>
      <c r="B532" s="1">
        <v>45206</v>
      </c>
      <c r="C532" t="s">
        <v>1211</v>
      </c>
      <c r="D532" t="s">
        <v>1217</v>
      </c>
      <c r="E532" t="s">
        <v>1219</v>
      </c>
      <c r="F532" t="s">
        <v>1233</v>
      </c>
      <c r="G532">
        <v>2</v>
      </c>
      <c r="H532">
        <v>407</v>
      </c>
      <c r="I532">
        <v>814</v>
      </c>
      <c r="J532" s="2">
        <v>152.4</v>
      </c>
    </row>
    <row r="533" spans="1:10" x14ac:dyDescent="0.3">
      <c r="A533" t="s">
        <v>541</v>
      </c>
      <c r="B533" s="1">
        <v>45156</v>
      </c>
      <c r="C533" t="s">
        <v>1213</v>
      </c>
      <c r="D533" t="s">
        <v>1214</v>
      </c>
      <c r="E533" t="s">
        <v>1219</v>
      </c>
      <c r="F533" t="s">
        <v>1238</v>
      </c>
      <c r="G533">
        <v>7</v>
      </c>
      <c r="H533">
        <v>4514</v>
      </c>
      <c r="I533">
        <v>31598</v>
      </c>
      <c r="J533" s="2">
        <v>2933.85</v>
      </c>
    </row>
    <row r="534" spans="1:10" x14ac:dyDescent="0.3">
      <c r="A534" t="s">
        <v>542</v>
      </c>
      <c r="B534" s="1">
        <v>45248</v>
      </c>
      <c r="C534" t="s">
        <v>1211</v>
      </c>
      <c r="D534" t="s">
        <v>1215</v>
      </c>
      <c r="E534" t="s">
        <v>1222</v>
      </c>
      <c r="F534" t="s">
        <v>1230</v>
      </c>
      <c r="G534">
        <v>4</v>
      </c>
      <c r="H534">
        <v>4698</v>
      </c>
      <c r="I534">
        <v>18792</v>
      </c>
      <c r="J534" s="2">
        <v>3495.69</v>
      </c>
    </row>
    <row r="535" spans="1:10" x14ac:dyDescent="0.3">
      <c r="A535" t="s">
        <v>543</v>
      </c>
      <c r="B535" s="1">
        <v>44999</v>
      </c>
      <c r="C535" t="s">
        <v>1212</v>
      </c>
      <c r="D535" t="s">
        <v>1218</v>
      </c>
      <c r="E535" t="s">
        <v>1220</v>
      </c>
      <c r="F535" t="s">
        <v>1225</v>
      </c>
      <c r="G535">
        <v>3</v>
      </c>
      <c r="H535">
        <v>1942</v>
      </c>
      <c r="I535">
        <v>5826</v>
      </c>
      <c r="J535" s="2">
        <v>1024.3399999999999</v>
      </c>
    </row>
    <row r="536" spans="1:10" x14ac:dyDescent="0.3">
      <c r="A536" t="s">
        <v>544</v>
      </c>
      <c r="B536" s="1">
        <v>45009</v>
      </c>
      <c r="C536" t="s">
        <v>1211</v>
      </c>
      <c r="D536" t="s">
        <v>1218</v>
      </c>
      <c r="E536" t="s">
        <v>1219</v>
      </c>
      <c r="F536" t="s">
        <v>1223</v>
      </c>
      <c r="G536">
        <v>2</v>
      </c>
      <c r="H536">
        <v>4708</v>
      </c>
      <c r="I536">
        <v>9416</v>
      </c>
      <c r="J536" s="2">
        <v>1031.94</v>
      </c>
    </row>
    <row r="537" spans="1:10" x14ac:dyDescent="0.3">
      <c r="A537" t="s">
        <v>545</v>
      </c>
      <c r="B537" s="1">
        <v>45174</v>
      </c>
      <c r="C537" t="s">
        <v>1211</v>
      </c>
      <c r="D537" t="s">
        <v>1216</v>
      </c>
      <c r="E537" t="s">
        <v>1220</v>
      </c>
      <c r="F537" t="s">
        <v>1228</v>
      </c>
      <c r="G537">
        <v>6</v>
      </c>
      <c r="H537">
        <v>3194</v>
      </c>
      <c r="I537">
        <v>19164</v>
      </c>
      <c r="J537" s="2">
        <v>4409.8100000000004</v>
      </c>
    </row>
    <row r="538" spans="1:10" x14ac:dyDescent="0.3">
      <c r="A538" t="s">
        <v>546</v>
      </c>
      <c r="B538" s="1">
        <v>45227</v>
      </c>
      <c r="C538" t="s">
        <v>1213</v>
      </c>
      <c r="D538" t="s">
        <v>1218</v>
      </c>
      <c r="E538" t="s">
        <v>1220</v>
      </c>
      <c r="F538" t="s">
        <v>1225</v>
      </c>
      <c r="G538">
        <v>9</v>
      </c>
      <c r="H538">
        <v>483</v>
      </c>
      <c r="I538">
        <v>4347</v>
      </c>
      <c r="J538" s="2">
        <v>811.47</v>
      </c>
    </row>
    <row r="539" spans="1:10" x14ac:dyDescent="0.3">
      <c r="A539" t="s">
        <v>547</v>
      </c>
      <c r="B539" s="1">
        <v>44999</v>
      </c>
      <c r="C539" t="s">
        <v>1212</v>
      </c>
      <c r="D539" t="s">
        <v>1217</v>
      </c>
      <c r="E539" t="s">
        <v>1222</v>
      </c>
      <c r="F539" t="s">
        <v>1236</v>
      </c>
      <c r="G539">
        <v>3</v>
      </c>
      <c r="H539">
        <v>2120</v>
      </c>
      <c r="I539">
        <v>6360</v>
      </c>
      <c r="J539" s="2">
        <v>747.19</v>
      </c>
    </row>
    <row r="540" spans="1:10" x14ac:dyDescent="0.3">
      <c r="A540" t="s">
        <v>548</v>
      </c>
      <c r="B540" s="1">
        <v>45256</v>
      </c>
      <c r="C540" t="s">
        <v>1211</v>
      </c>
      <c r="D540" t="s">
        <v>1214</v>
      </c>
      <c r="E540" t="s">
        <v>1221</v>
      </c>
      <c r="F540" t="s">
        <v>1226</v>
      </c>
      <c r="G540">
        <v>6</v>
      </c>
      <c r="H540">
        <v>375</v>
      </c>
      <c r="I540">
        <v>2250</v>
      </c>
      <c r="J540" s="2">
        <v>434.36</v>
      </c>
    </row>
    <row r="541" spans="1:10" x14ac:dyDescent="0.3">
      <c r="A541" t="s">
        <v>549</v>
      </c>
      <c r="B541" s="1">
        <v>45053</v>
      </c>
      <c r="C541" t="s">
        <v>1212</v>
      </c>
      <c r="D541" t="s">
        <v>1216</v>
      </c>
      <c r="E541" t="s">
        <v>1220</v>
      </c>
      <c r="F541" t="s">
        <v>1225</v>
      </c>
      <c r="G541">
        <v>3</v>
      </c>
      <c r="H541">
        <v>1979</v>
      </c>
      <c r="I541">
        <v>5937</v>
      </c>
      <c r="J541" s="2">
        <v>1230.3</v>
      </c>
    </row>
    <row r="542" spans="1:10" x14ac:dyDescent="0.3">
      <c r="A542" t="s">
        <v>550</v>
      </c>
      <c r="B542" s="1">
        <v>45174</v>
      </c>
      <c r="C542" t="s">
        <v>1213</v>
      </c>
      <c r="D542" t="s">
        <v>1218</v>
      </c>
      <c r="E542" t="s">
        <v>1219</v>
      </c>
      <c r="F542" t="s">
        <v>1238</v>
      </c>
      <c r="G542">
        <v>4</v>
      </c>
      <c r="H542">
        <v>3876</v>
      </c>
      <c r="I542">
        <v>15504</v>
      </c>
      <c r="J542" s="2">
        <v>2591.6999999999998</v>
      </c>
    </row>
    <row r="543" spans="1:10" x14ac:dyDescent="0.3">
      <c r="A543" t="s">
        <v>551</v>
      </c>
      <c r="B543" s="1">
        <v>45094</v>
      </c>
      <c r="C543" t="s">
        <v>1210</v>
      </c>
      <c r="D543" t="s">
        <v>1218</v>
      </c>
      <c r="E543" t="s">
        <v>1219</v>
      </c>
      <c r="F543" t="s">
        <v>1232</v>
      </c>
      <c r="G543">
        <v>9</v>
      </c>
      <c r="H543">
        <v>2417</v>
      </c>
      <c r="I543">
        <v>21753</v>
      </c>
      <c r="J543" s="2">
        <v>4332.0600000000004</v>
      </c>
    </row>
    <row r="544" spans="1:10" x14ac:dyDescent="0.3">
      <c r="A544" t="s">
        <v>552</v>
      </c>
      <c r="B544" s="1">
        <v>44995</v>
      </c>
      <c r="C544" t="s">
        <v>1210</v>
      </c>
      <c r="D544" t="s">
        <v>1217</v>
      </c>
      <c r="E544" t="s">
        <v>1222</v>
      </c>
      <c r="F544" t="s">
        <v>1227</v>
      </c>
      <c r="G544">
        <v>4</v>
      </c>
      <c r="H544">
        <v>2984</v>
      </c>
      <c r="I544">
        <v>11936</v>
      </c>
      <c r="J544" s="2">
        <v>1389.94</v>
      </c>
    </row>
    <row r="545" spans="1:10" x14ac:dyDescent="0.3">
      <c r="A545" t="s">
        <v>553</v>
      </c>
      <c r="B545" s="1">
        <v>45087</v>
      </c>
      <c r="C545" t="s">
        <v>1210</v>
      </c>
      <c r="D545" t="s">
        <v>1217</v>
      </c>
      <c r="E545" t="s">
        <v>1221</v>
      </c>
      <c r="F545" t="s">
        <v>1235</v>
      </c>
      <c r="G545">
        <v>2</v>
      </c>
      <c r="H545">
        <v>3210</v>
      </c>
      <c r="I545">
        <v>6420</v>
      </c>
      <c r="J545" s="2">
        <v>748.63</v>
      </c>
    </row>
    <row r="546" spans="1:10" x14ac:dyDescent="0.3">
      <c r="A546" t="s">
        <v>554</v>
      </c>
      <c r="B546" s="1">
        <v>45053</v>
      </c>
      <c r="C546" t="s">
        <v>1210</v>
      </c>
      <c r="D546" t="s">
        <v>1216</v>
      </c>
      <c r="E546" t="s">
        <v>1220</v>
      </c>
      <c r="F546" t="s">
        <v>1224</v>
      </c>
      <c r="G546">
        <v>7</v>
      </c>
      <c r="H546">
        <v>1873</v>
      </c>
      <c r="I546">
        <v>13111</v>
      </c>
      <c r="J546" s="2">
        <v>3021.35</v>
      </c>
    </row>
    <row r="547" spans="1:10" x14ac:dyDescent="0.3">
      <c r="A547" t="s">
        <v>555</v>
      </c>
      <c r="B547" s="1">
        <v>45284</v>
      </c>
      <c r="C547" t="s">
        <v>1212</v>
      </c>
      <c r="D547" t="s">
        <v>1214</v>
      </c>
      <c r="E547" t="s">
        <v>1219</v>
      </c>
      <c r="F547" t="s">
        <v>1238</v>
      </c>
      <c r="G547">
        <v>8</v>
      </c>
      <c r="H547">
        <v>3957</v>
      </c>
      <c r="I547">
        <v>31656</v>
      </c>
      <c r="J547" s="2">
        <v>4671.3599999999997</v>
      </c>
    </row>
    <row r="548" spans="1:10" x14ac:dyDescent="0.3">
      <c r="A548" t="s">
        <v>556</v>
      </c>
      <c r="B548" s="1">
        <v>44999</v>
      </c>
      <c r="C548" t="s">
        <v>1212</v>
      </c>
      <c r="D548" t="s">
        <v>1214</v>
      </c>
      <c r="E548" t="s">
        <v>1220</v>
      </c>
      <c r="F548" t="s">
        <v>1224</v>
      </c>
      <c r="G548">
        <v>3</v>
      </c>
      <c r="H548">
        <v>693</v>
      </c>
      <c r="I548">
        <v>2079</v>
      </c>
      <c r="J548" s="2">
        <v>297.48</v>
      </c>
    </row>
    <row r="549" spans="1:10" x14ac:dyDescent="0.3">
      <c r="A549" t="s">
        <v>557</v>
      </c>
      <c r="B549" s="1">
        <v>45108</v>
      </c>
      <c r="C549" t="s">
        <v>1212</v>
      </c>
      <c r="D549" t="s">
        <v>1218</v>
      </c>
      <c r="E549" t="s">
        <v>1222</v>
      </c>
      <c r="F549" t="s">
        <v>1227</v>
      </c>
      <c r="G549">
        <v>1</v>
      </c>
      <c r="H549">
        <v>4227</v>
      </c>
      <c r="I549">
        <v>4227</v>
      </c>
      <c r="J549" s="2">
        <v>602.91999999999996</v>
      </c>
    </row>
    <row r="550" spans="1:10" x14ac:dyDescent="0.3">
      <c r="A550" t="s">
        <v>558</v>
      </c>
      <c r="B550" s="1">
        <v>45289</v>
      </c>
      <c r="C550" t="s">
        <v>1210</v>
      </c>
      <c r="D550" t="s">
        <v>1216</v>
      </c>
      <c r="E550" t="s">
        <v>1220</v>
      </c>
      <c r="F550" t="s">
        <v>1224</v>
      </c>
      <c r="G550">
        <v>5</v>
      </c>
      <c r="H550">
        <v>3017</v>
      </c>
      <c r="I550">
        <v>15085</v>
      </c>
      <c r="J550" s="2">
        <v>2823.04</v>
      </c>
    </row>
    <row r="551" spans="1:10" x14ac:dyDescent="0.3">
      <c r="A551" t="s">
        <v>559</v>
      </c>
      <c r="B551" s="1">
        <v>45033</v>
      </c>
      <c r="C551" t="s">
        <v>1212</v>
      </c>
      <c r="D551" t="s">
        <v>1216</v>
      </c>
      <c r="E551" t="s">
        <v>1220</v>
      </c>
      <c r="F551" t="s">
        <v>1225</v>
      </c>
      <c r="G551">
        <v>8</v>
      </c>
      <c r="H551">
        <v>2667</v>
      </c>
      <c r="I551">
        <v>21336</v>
      </c>
      <c r="J551" s="2">
        <v>3647.48</v>
      </c>
    </row>
    <row r="552" spans="1:10" x14ac:dyDescent="0.3">
      <c r="A552" t="s">
        <v>560</v>
      </c>
      <c r="B552" s="1">
        <v>45111</v>
      </c>
      <c r="C552" t="s">
        <v>1212</v>
      </c>
      <c r="D552" t="s">
        <v>1216</v>
      </c>
      <c r="E552" t="s">
        <v>1220</v>
      </c>
      <c r="F552" t="s">
        <v>1225</v>
      </c>
      <c r="G552">
        <v>6</v>
      </c>
      <c r="H552">
        <v>2759</v>
      </c>
      <c r="I552">
        <v>16554</v>
      </c>
      <c r="J552" s="2">
        <v>2573.59</v>
      </c>
    </row>
    <row r="553" spans="1:10" x14ac:dyDescent="0.3">
      <c r="A553" t="s">
        <v>561</v>
      </c>
      <c r="B553" s="1">
        <v>45014</v>
      </c>
      <c r="C553" t="s">
        <v>1213</v>
      </c>
      <c r="D553" t="s">
        <v>1216</v>
      </c>
      <c r="E553" t="s">
        <v>1220</v>
      </c>
      <c r="F553" t="s">
        <v>1224</v>
      </c>
      <c r="G553">
        <v>7</v>
      </c>
      <c r="H553">
        <v>3844</v>
      </c>
      <c r="I553">
        <v>26908</v>
      </c>
      <c r="J553" s="2">
        <v>4300.42</v>
      </c>
    </row>
    <row r="554" spans="1:10" x14ac:dyDescent="0.3">
      <c r="A554" t="s">
        <v>562</v>
      </c>
      <c r="B554" s="1">
        <v>45168</v>
      </c>
      <c r="C554" t="s">
        <v>1212</v>
      </c>
      <c r="D554" t="s">
        <v>1218</v>
      </c>
      <c r="E554" t="s">
        <v>1219</v>
      </c>
      <c r="F554" t="s">
        <v>1232</v>
      </c>
      <c r="G554">
        <v>7</v>
      </c>
      <c r="H554">
        <v>3274</v>
      </c>
      <c r="I554">
        <v>22918</v>
      </c>
      <c r="J554" s="2">
        <v>3429.54</v>
      </c>
    </row>
    <row r="555" spans="1:10" x14ac:dyDescent="0.3">
      <c r="A555" t="s">
        <v>563</v>
      </c>
      <c r="B555" s="1">
        <v>45128</v>
      </c>
      <c r="C555" t="s">
        <v>1213</v>
      </c>
      <c r="D555" t="s">
        <v>1215</v>
      </c>
      <c r="E555" t="s">
        <v>1220</v>
      </c>
      <c r="F555" t="s">
        <v>1225</v>
      </c>
      <c r="G555">
        <v>5</v>
      </c>
      <c r="H555">
        <v>1124</v>
      </c>
      <c r="I555">
        <v>5620</v>
      </c>
      <c r="J555" s="2">
        <v>516.95000000000005</v>
      </c>
    </row>
    <row r="556" spans="1:10" x14ac:dyDescent="0.3">
      <c r="A556" t="s">
        <v>564</v>
      </c>
      <c r="B556" s="1">
        <v>45009</v>
      </c>
      <c r="C556" t="s">
        <v>1210</v>
      </c>
      <c r="D556" t="s">
        <v>1216</v>
      </c>
      <c r="E556" t="s">
        <v>1220</v>
      </c>
      <c r="F556" t="s">
        <v>1237</v>
      </c>
      <c r="G556">
        <v>3</v>
      </c>
      <c r="H556">
        <v>2868</v>
      </c>
      <c r="I556">
        <v>8604</v>
      </c>
      <c r="J556" s="2">
        <v>1897.21</v>
      </c>
    </row>
    <row r="557" spans="1:10" x14ac:dyDescent="0.3">
      <c r="A557" t="s">
        <v>565</v>
      </c>
      <c r="B557" s="1">
        <v>45238</v>
      </c>
      <c r="C557" t="s">
        <v>1211</v>
      </c>
      <c r="D557" t="s">
        <v>1218</v>
      </c>
      <c r="E557" t="s">
        <v>1222</v>
      </c>
      <c r="G557">
        <v>4</v>
      </c>
      <c r="H557">
        <v>2387</v>
      </c>
      <c r="I557">
        <v>9548</v>
      </c>
      <c r="J557" s="2">
        <v>1169.56</v>
      </c>
    </row>
    <row r="558" spans="1:10" x14ac:dyDescent="0.3">
      <c r="A558" t="s">
        <v>566</v>
      </c>
      <c r="B558" s="1">
        <v>45237</v>
      </c>
      <c r="C558" t="s">
        <v>1211</v>
      </c>
      <c r="D558" t="s">
        <v>1215</v>
      </c>
      <c r="E558" t="s">
        <v>1222</v>
      </c>
      <c r="F558" t="s">
        <v>1234</v>
      </c>
      <c r="G558">
        <v>4</v>
      </c>
      <c r="H558">
        <v>4127</v>
      </c>
      <c r="I558">
        <v>16508</v>
      </c>
      <c r="J558" s="2">
        <v>3535.68</v>
      </c>
    </row>
    <row r="559" spans="1:10" x14ac:dyDescent="0.3">
      <c r="A559" t="s">
        <v>567</v>
      </c>
      <c r="B559" s="1">
        <v>45023</v>
      </c>
      <c r="C559" t="s">
        <v>1212</v>
      </c>
      <c r="D559" t="s">
        <v>1215</v>
      </c>
      <c r="E559" t="s">
        <v>1221</v>
      </c>
      <c r="F559" t="s">
        <v>1229</v>
      </c>
      <c r="G559">
        <v>1</v>
      </c>
      <c r="H559">
        <v>4609</v>
      </c>
      <c r="I559">
        <v>4609</v>
      </c>
      <c r="J559" s="2">
        <v>1106.1199999999999</v>
      </c>
    </row>
    <row r="560" spans="1:10" x14ac:dyDescent="0.3">
      <c r="A560" t="s">
        <v>568</v>
      </c>
      <c r="B560" s="1">
        <v>45076</v>
      </c>
      <c r="C560" t="s">
        <v>1212</v>
      </c>
      <c r="D560" t="s">
        <v>1215</v>
      </c>
      <c r="E560" t="s">
        <v>1222</v>
      </c>
      <c r="F560" t="s">
        <v>1234</v>
      </c>
      <c r="G560">
        <v>6</v>
      </c>
      <c r="H560">
        <v>2356</v>
      </c>
      <c r="I560">
        <v>14136</v>
      </c>
      <c r="J560" s="2">
        <v>2339.9699999999998</v>
      </c>
    </row>
    <row r="561" spans="1:10" x14ac:dyDescent="0.3">
      <c r="A561" t="s">
        <v>569</v>
      </c>
      <c r="B561" s="1">
        <v>45211</v>
      </c>
      <c r="C561" t="s">
        <v>1210</v>
      </c>
      <c r="D561" t="s">
        <v>1215</v>
      </c>
      <c r="E561" t="s">
        <v>1220</v>
      </c>
      <c r="F561" t="s">
        <v>1237</v>
      </c>
      <c r="G561">
        <v>1</v>
      </c>
      <c r="H561">
        <v>3142</v>
      </c>
      <c r="I561">
        <v>3142</v>
      </c>
      <c r="J561" s="2">
        <v>577.48</v>
      </c>
    </row>
    <row r="562" spans="1:10" x14ac:dyDescent="0.3">
      <c r="A562" t="s">
        <v>570</v>
      </c>
      <c r="B562" s="1">
        <v>44971</v>
      </c>
      <c r="C562" t="s">
        <v>1212</v>
      </c>
      <c r="D562" t="s">
        <v>1215</v>
      </c>
      <c r="E562" t="s">
        <v>1219</v>
      </c>
      <c r="F562" t="s">
        <v>1232</v>
      </c>
      <c r="G562">
        <v>4</v>
      </c>
      <c r="H562">
        <v>4790</v>
      </c>
      <c r="I562">
        <v>19160</v>
      </c>
      <c r="J562" s="2">
        <v>3126.8</v>
      </c>
    </row>
    <row r="563" spans="1:10" x14ac:dyDescent="0.3">
      <c r="A563" t="s">
        <v>571</v>
      </c>
      <c r="B563" s="1">
        <v>45172</v>
      </c>
      <c r="C563" t="s">
        <v>1212</v>
      </c>
      <c r="D563" t="s">
        <v>1218</v>
      </c>
      <c r="E563" t="s">
        <v>1220</v>
      </c>
      <c r="F563" t="s">
        <v>1228</v>
      </c>
      <c r="G563">
        <v>6</v>
      </c>
      <c r="H563">
        <v>3289</v>
      </c>
      <c r="I563">
        <v>19734</v>
      </c>
      <c r="J563" s="2">
        <v>2574.37</v>
      </c>
    </row>
    <row r="564" spans="1:10" x14ac:dyDescent="0.3">
      <c r="A564" t="s">
        <v>572</v>
      </c>
      <c r="B564" s="1">
        <v>45041</v>
      </c>
      <c r="C564" t="s">
        <v>1213</v>
      </c>
      <c r="D564" t="s">
        <v>1217</v>
      </c>
      <c r="E564" t="s">
        <v>1220</v>
      </c>
      <c r="F564" t="s">
        <v>1237</v>
      </c>
      <c r="G564">
        <v>3</v>
      </c>
      <c r="H564">
        <v>4929</v>
      </c>
      <c r="I564">
        <v>14787</v>
      </c>
      <c r="J564" s="2">
        <v>2073.52</v>
      </c>
    </row>
    <row r="565" spans="1:10" x14ac:dyDescent="0.3">
      <c r="A565" t="s">
        <v>573</v>
      </c>
      <c r="B565" s="1">
        <v>45053</v>
      </c>
      <c r="C565" t="s">
        <v>1210</v>
      </c>
      <c r="D565" t="s">
        <v>1216</v>
      </c>
      <c r="E565" t="s">
        <v>1222</v>
      </c>
      <c r="F565" t="s">
        <v>1230</v>
      </c>
      <c r="G565">
        <v>7</v>
      </c>
      <c r="H565">
        <v>2494</v>
      </c>
      <c r="I565">
        <v>17458</v>
      </c>
      <c r="J565" s="2">
        <v>2119.9899999999998</v>
      </c>
    </row>
    <row r="566" spans="1:10" x14ac:dyDescent="0.3">
      <c r="A566" t="s">
        <v>574</v>
      </c>
      <c r="B566" s="1">
        <v>44945</v>
      </c>
      <c r="C566" t="s">
        <v>1210</v>
      </c>
      <c r="D566" t="s">
        <v>1217</v>
      </c>
      <c r="E566" t="s">
        <v>1221</v>
      </c>
      <c r="F566" t="s">
        <v>1226</v>
      </c>
      <c r="G566">
        <v>9</v>
      </c>
      <c r="H566">
        <v>3560</v>
      </c>
      <c r="I566">
        <v>32040</v>
      </c>
      <c r="J566" s="2">
        <v>4899.57</v>
      </c>
    </row>
    <row r="567" spans="1:10" x14ac:dyDescent="0.3">
      <c r="A567" t="s">
        <v>575</v>
      </c>
      <c r="B567" s="1">
        <v>45067</v>
      </c>
      <c r="C567" t="s">
        <v>1211</v>
      </c>
      <c r="D567" t="s">
        <v>1218</v>
      </c>
      <c r="E567" t="s">
        <v>1221</v>
      </c>
      <c r="F567" t="s">
        <v>1235</v>
      </c>
      <c r="G567">
        <v>1</v>
      </c>
      <c r="H567">
        <v>2148</v>
      </c>
      <c r="I567">
        <v>2148</v>
      </c>
      <c r="J567" s="2">
        <v>354.46</v>
      </c>
    </row>
    <row r="568" spans="1:10" x14ac:dyDescent="0.3">
      <c r="A568" t="s">
        <v>576</v>
      </c>
      <c r="B568" s="1">
        <v>45221</v>
      </c>
      <c r="C568" t="s">
        <v>1213</v>
      </c>
      <c r="D568" t="s">
        <v>1217</v>
      </c>
      <c r="E568" t="s">
        <v>1220</v>
      </c>
      <c r="F568" t="s">
        <v>1228</v>
      </c>
      <c r="G568">
        <v>1</v>
      </c>
      <c r="H568">
        <v>4540</v>
      </c>
      <c r="I568">
        <v>4540</v>
      </c>
      <c r="J568" s="2">
        <v>453.66</v>
      </c>
    </row>
    <row r="569" spans="1:10" x14ac:dyDescent="0.3">
      <c r="A569" t="s">
        <v>577</v>
      </c>
      <c r="B569" s="1">
        <v>45240</v>
      </c>
      <c r="C569" t="s">
        <v>1212</v>
      </c>
      <c r="D569" t="s">
        <v>1215</v>
      </c>
      <c r="E569" t="s">
        <v>1222</v>
      </c>
      <c r="F569" t="s">
        <v>1227</v>
      </c>
      <c r="G569">
        <v>5</v>
      </c>
      <c r="H569">
        <v>4600</v>
      </c>
      <c r="I569">
        <v>23000</v>
      </c>
      <c r="J569" s="2">
        <v>4494.49</v>
      </c>
    </row>
    <row r="570" spans="1:10" x14ac:dyDescent="0.3">
      <c r="A570" t="s">
        <v>578</v>
      </c>
      <c r="B570" s="1">
        <v>45133</v>
      </c>
      <c r="C570" t="s">
        <v>1212</v>
      </c>
      <c r="D570" t="s">
        <v>1215</v>
      </c>
      <c r="E570" t="s">
        <v>1222</v>
      </c>
      <c r="F570" t="s">
        <v>1234</v>
      </c>
      <c r="G570">
        <v>1</v>
      </c>
      <c r="H570">
        <v>450</v>
      </c>
      <c r="I570">
        <v>450</v>
      </c>
      <c r="J570" s="2">
        <v>72.28</v>
      </c>
    </row>
    <row r="571" spans="1:10" x14ac:dyDescent="0.3">
      <c r="A571" t="s">
        <v>579</v>
      </c>
      <c r="B571" s="1">
        <v>45046</v>
      </c>
      <c r="C571" t="s">
        <v>1213</v>
      </c>
      <c r="D571" t="s">
        <v>1218</v>
      </c>
      <c r="E571" t="s">
        <v>1219</v>
      </c>
      <c r="F571" t="s">
        <v>1223</v>
      </c>
      <c r="G571">
        <v>9</v>
      </c>
      <c r="H571">
        <v>4093</v>
      </c>
      <c r="I571">
        <v>36837</v>
      </c>
      <c r="J571" s="2">
        <v>7477.37</v>
      </c>
    </row>
    <row r="572" spans="1:10" x14ac:dyDescent="0.3">
      <c r="A572" t="s">
        <v>580</v>
      </c>
      <c r="B572" s="1">
        <v>45044</v>
      </c>
      <c r="C572" t="s">
        <v>1212</v>
      </c>
      <c r="D572" t="s">
        <v>1215</v>
      </c>
      <c r="E572" t="s">
        <v>1222</v>
      </c>
      <c r="F572" t="s">
        <v>1234</v>
      </c>
      <c r="G572">
        <v>6</v>
      </c>
      <c r="H572">
        <v>2672</v>
      </c>
      <c r="I572">
        <v>16032</v>
      </c>
      <c r="J572" s="2">
        <v>2604.66</v>
      </c>
    </row>
    <row r="573" spans="1:10" x14ac:dyDescent="0.3">
      <c r="A573" t="s">
        <v>581</v>
      </c>
      <c r="B573" s="1">
        <v>45065</v>
      </c>
      <c r="C573" t="s">
        <v>1212</v>
      </c>
      <c r="D573" t="s">
        <v>1218</v>
      </c>
      <c r="E573" t="s">
        <v>1219</v>
      </c>
      <c r="F573" t="s">
        <v>1238</v>
      </c>
      <c r="G573">
        <v>2</v>
      </c>
      <c r="H573">
        <v>4208</v>
      </c>
      <c r="I573">
        <v>8416</v>
      </c>
      <c r="J573" s="2">
        <v>1935.98</v>
      </c>
    </row>
    <row r="574" spans="1:10" x14ac:dyDescent="0.3">
      <c r="A574" t="s">
        <v>582</v>
      </c>
      <c r="B574" s="1">
        <v>45150</v>
      </c>
      <c r="C574" t="s">
        <v>1213</v>
      </c>
      <c r="D574" t="s">
        <v>1216</v>
      </c>
      <c r="E574" t="s">
        <v>1221</v>
      </c>
      <c r="F574" t="s">
        <v>1229</v>
      </c>
      <c r="G574">
        <v>3</v>
      </c>
      <c r="H574">
        <v>583</v>
      </c>
      <c r="I574">
        <v>1749</v>
      </c>
      <c r="J574" s="2">
        <v>200.42</v>
      </c>
    </row>
    <row r="575" spans="1:10" x14ac:dyDescent="0.3">
      <c r="A575" t="s">
        <v>583</v>
      </c>
      <c r="B575" s="1">
        <v>45042</v>
      </c>
      <c r="C575" t="s">
        <v>1212</v>
      </c>
      <c r="D575" t="s">
        <v>1218</v>
      </c>
      <c r="E575" t="s">
        <v>1219</v>
      </c>
      <c r="F575" t="s">
        <v>1232</v>
      </c>
      <c r="G575">
        <v>8</v>
      </c>
      <c r="H575">
        <v>2539</v>
      </c>
      <c r="I575">
        <v>20312</v>
      </c>
      <c r="J575" s="2">
        <v>4552.8900000000003</v>
      </c>
    </row>
    <row r="576" spans="1:10" x14ac:dyDescent="0.3">
      <c r="A576" t="s">
        <v>584</v>
      </c>
      <c r="B576" s="1">
        <v>44946</v>
      </c>
      <c r="C576" t="s">
        <v>1213</v>
      </c>
      <c r="D576" t="s">
        <v>1215</v>
      </c>
      <c r="E576" t="s">
        <v>1222</v>
      </c>
      <c r="F576" t="s">
        <v>1230</v>
      </c>
      <c r="G576">
        <v>2</v>
      </c>
      <c r="H576">
        <v>2804</v>
      </c>
      <c r="I576">
        <v>5608</v>
      </c>
      <c r="J576" s="2">
        <v>1391.72</v>
      </c>
    </row>
    <row r="577" spans="1:10" x14ac:dyDescent="0.3">
      <c r="A577" t="s">
        <v>585</v>
      </c>
      <c r="B577" s="1">
        <v>45246</v>
      </c>
      <c r="C577" t="s">
        <v>1213</v>
      </c>
      <c r="D577" t="s">
        <v>1214</v>
      </c>
      <c r="E577" t="s">
        <v>1219</v>
      </c>
      <c r="F577" t="s">
        <v>1233</v>
      </c>
      <c r="G577">
        <v>3</v>
      </c>
      <c r="H577">
        <v>202</v>
      </c>
      <c r="I577">
        <v>606</v>
      </c>
      <c r="J577" s="2">
        <v>84.59</v>
      </c>
    </row>
    <row r="578" spans="1:10" x14ac:dyDescent="0.3">
      <c r="A578" t="s">
        <v>586</v>
      </c>
      <c r="B578" s="1">
        <v>45033</v>
      </c>
      <c r="C578" t="s">
        <v>1213</v>
      </c>
      <c r="D578" t="s">
        <v>1214</v>
      </c>
      <c r="E578" t="s">
        <v>1219</v>
      </c>
      <c r="F578" t="s">
        <v>1233</v>
      </c>
      <c r="G578">
        <v>4</v>
      </c>
      <c r="H578">
        <v>3090</v>
      </c>
      <c r="I578">
        <v>12360</v>
      </c>
      <c r="J578" s="2">
        <v>2368.7199999999998</v>
      </c>
    </row>
    <row r="579" spans="1:10" x14ac:dyDescent="0.3">
      <c r="A579" t="s">
        <v>587</v>
      </c>
      <c r="B579" s="1">
        <v>45274</v>
      </c>
      <c r="C579" t="s">
        <v>1210</v>
      </c>
      <c r="D579" t="s">
        <v>1216</v>
      </c>
      <c r="E579" t="s">
        <v>1220</v>
      </c>
      <c r="F579" t="s">
        <v>1237</v>
      </c>
      <c r="G579">
        <v>2</v>
      </c>
      <c r="H579">
        <v>1285</v>
      </c>
      <c r="I579">
        <v>2570</v>
      </c>
      <c r="J579" s="2">
        <v>573.61</v>
      </c>
    </row>
    <row r="580" spans="1:10" x14ac:dyDescent="0.3">
      <c r="A580" t="s">
        <v>588</v>
      </c>
      <c r="B580" s="1">
        <v>45176</v>
      </c>
      <c r="C580" t="s">
        <v>1211</v>
      </c>
      <c r="D580" t="s">
        <v>1215</v>
      </c>
      <c r="E580" t="s">
        <v>1220</v>
      </c>
      <c r="F580" t="s">
        <v>1228</v>
      </c>
      <c r="G580">
        <v>8</v>
      </c>
      <c r="H580">
        <v>2155</v>
      </c>
      <c r="I580">
        <v>17240</v>
      </c>
      <c r="J580" s="2">
        <v>3625.7</v>
      </c>
    </row>
    <row r="581" spans="1:10" x14ac:dyDescent="0.3">
      <c r="A581" t="s">
        <v>589</v>
      </c>
      <c r="B581" s="1">
        <v>45135</v>
      </c>
      <c r="C581" t="s">
        <v>1210</v>
      </c>
      <c r="D581" t="s">
        <v>1215</v>
      </c>
      <c r="E581" t="s">
        <v>1221</v>
      </c>
      <c r="F581" t="s">
        <v>1231</v>
      </c>
      <c r="G581">
        <v>7</v>
      </c>
      <c r="H581">
        <v>1703</v>
      </c>
      <c r="I581">
        <v>11921</v>
      </c>
      <c r="J581" s="2">
        <v>2003.46</v>
      </c>
    </row>
    <row r="582" spans="1:10" x14ac:dyDescent="0.3">
      <c r="A582" t="s">
        <v>590</v>
      </c>
      <c r="B582" s="1">
        <v>45146</v>
      </c>
      <c r="C582" t="s">
        <v>1211</v>
      </c>
      <c r="D582" t="s">
        <v>1215</v>
      </c>
      <c r="E582" t="s">
        <v>1219</v>
      </c>
      <c r="G582">
        <v>7</v>
      </c>
      <c r="H582">
        <v>3363</v>
      </c>
      <c r="I582">
        <v>23541</v>
      </c>
      <c r="J582" s="2">
        <v>2663.56</v>
      </c>
    </row>
    <row r="583" spans="1:10" x14ac:dyDescent="0.3">
      <c r="A583" t="s">
        <v>591</v>
      </c>
      <c r="B583" s="1">
        <v>44990</v>
      </c>
      <c r="C583" t="s">
        <v>1211</v>
      </c>
      <c r="D583" t="s">
        <v>1216</v>
      </c>
      <c r="E583" t="s">
        <v>1220</v>
      </c>
      <c r="F583" t="s">
        <v>1228</v>
      </c>
      <c r="G583">
        <v>7</v>
      </c>
      <c r="H583">
        <v>1190</v>
      </c>
      <c r="I583">
        <v>8330</v>
      </c>
      <c r="J583" s="2">
        <v>1512.03</v>
      </c>
    </row>
    <row r="584" spans="1:10" x14ac:dyDescent="0.3">
      <c r="A584" t="s">
        <v>592</v>
      </c>
      <c r="B584" s="1">
        <v>45258</v>
      </c>
      <c r="C584" t="s">
        <v>1211</v>
      </c>
      <c r="D584" t="s">
        <v>1215</v>
      </c>
      <c r="E584" t="s">
        <v>1220</v>
      </c>
      <c r="F584" t="s">
        <v>1228</v>
      </c>
      <c r="G584">
        <v>5</v>
      </c>
      <c r="H584">
        <v>1693</v>
      </c>
      <c r="I584">
        <v>8465</v>
      </c>
      <c r="J584" s="2">
        <v>1768.38</v>
      </c>
    </row>
    <row r="585" spans="1:10" x14ac:dyDescent="0.3">
      <c r="A585" t="s">
        <v>593</v>
      </c>
      <c r="B585" s="1">
        <v>44985</v>
      </c>
      <c r="C585" t="s">
        <v>1212</v>
      </c>
      <c r="D585" t="s">
        <v>1215</v>
      </c>
      <c r="E585" t="s">
        <v>1222</v>
      </c>
      <c r="F585" t="s">
        <v>1227</v>
      </c>
      <c r="G585">
        <v>6</v>
      </c>
      <c r="H585">
        <v>2775</v>
      </c>
      <c r="I585">
        <v>16650</v>
      </c>
      <c r="J585" s="2">
        <v>1904.48</v>
      </c>
    </row>
    <row r="586" spans="1:10" x14ac:dyDescent="0.3">
      <c r="A586" t="s">
        <v>594</v>
      </c>
      <c r="B586" s="1">
        <v>45272</v>
      </c>
      <c r="C586" t="s">
        <v>1210</v>
      </c>
      <c r="D586" t="s">
        <v>1217</v>
      </c>
      <c r="E586" t="s">
        <v>1219</v>
      </c>
      <c r="F586" t="s">
        <v>1233</v>
      </c>
      <c r="G586">
        <v>1</v>
      </c>
      <c r="H586">
        <v>4001</v>
      </c>
      <c r="I586">
        <v>4001</v>
      </c>
      <c r="J586" s="2">
        <v>793.58</v>
      </c>
    </row>
    <row r="587" spans="1:10" x14ac:dyDescent="0.3">
      <c r="A587" t="s">
        <v>595</v>
      </c>
      <c r="B587" s="1">
        <v>45165</v>
      </c>
      <c r="C587" t="s">
        <v>1210</v>
      </c>
      <c r="D587" t="s">
        <v>1214</v>
      </c>
      <c r="E587" t="s">
        <v>1220</v>
      </c>
      <c r="F587" t="s">
        <v>1224</v>
      </c>
      <c r="G587">
        <v>1</v>
      </c>
      <c r="H587">
        <v>583</v>
      </c>
      <c r="I587">
        <v>583</v>
      </c>
      <c r="J587" s="2">
        <v>101.09</v>
      </c>
    </row>
    <row r="588" spans="1:10" x14ac:dyDescent="0.3">
      <c r="A588" t="s">
        <v>596</v>
      </c>
      <c r="B588" s="1">
        <v>45036</v>
      </c>
      <c r="C588" t="s">
        <v>1212</v>
      </c>
      <c r="D588" t="s">
        <v>1214</v>
      </c>
      <c r="E588" t="s">
        <v>1220</v>
      </c>
      <c r="F588" t="s">
        <v>1228</v>
      </c>
      <c r="G588">
        <v>1</v>
      </c>
      <c r="H588">
        <v>4451</v>
      </c>
      <c r="I588">
        <v>4451</v>
      </c>
      <c r="J588" s="2">
        <v>706.51</v>
      </c>
    </row>
    <row r="589" spans="1:10" x14ac:dyDescent="0.3">
      <c r="A589" t="s">
        <v>597</v>
      </c>
      <c r="B589" s="1">
        <v>45133</v>
      </c>
      <c r="C589" t="s">
        <v>1213</v>
      </c>
      <c r="D589" t="s">
        <v>1216</v>
      </c>
      <c r="E589" t="s">
        <v>1221</v>
      </c>
      <c r="F589" t="s">
        <v>1235</v>
      </c>
      <c r="G589">
        <v>6</v>
      </c>
      <c r="H589">
        <v>3246</v>
      </c>
      <c r="I589">
        <v>19476</v>
      </c>
      <c r="J589" s="2">
        <v>4129.97</v>
      </c>
    </row>
    <row r="590" spans="1:10" x14ac:dyDescent="0.3">
      <c r="A590" t="s">
        <v>598</v>
      </c>
      <c r="B590" s="1">
        <v>45183</v>
      </c>
      <c r="C590" t="s">
        <v>1212</v>
      </c>
      <c r="D590" t="s">
        <v>1215</v>
      </c>
      <c r="E590" t="s">
        <v>1220</v>
      </c>
      <c r="F590" t="s">
        <v>1228</v>
      </c>
      <c r="G590">
        <v>4</v>
      </c>
      <c r="H590">
        <v>403</v>
      </c>
      <c r="I590">
        <v>1612</v>
      </c>
      <c r="J590" s="2">
        <v>170.23</v>
      </c>
    </row>
    <row r="591" spans="1:10" x14ac:dyDescent="0.3">
      <c r="A591" t="s">
        <v>599</v>
      </c>
      <c r="B591" s="1">
        <v>45228</v>
      </c>
      <c r="C591" t="s">
        <v>1211</v>
      </c>
      <c r="D591" t="s">
        <v>1218</v>
      </c>
      <c r="E591" t="s">
        <v>1222</v>
      </c>
      <c r="F591" t="s">
        <v>1236</v>
      </c>
      <c r="G591">
        <v>3</v>
      </c>
      <c r="H591">
        <v>1740</v>
      </c>
      <c r="I591">
        <v>5220</v>
      </c>
      <c r="J591" s="2">
        <v>976.7</v>
      </c>
    </row>
    <row r="592" spans="1:10" x14ac:dyDescent="0.3">
      <c r="A592" t="s">
        <v>600</v>
      </c>
      <c r="B592" s="1">
        <v>45156</v>
      </c>
      <c r="C592" t="s">
        <v>1211</v>
      </c>
      <c r="D592" t="s">
        <v>1217</v>
      </c>
      <c r="E592" t="s">
        <v>1221</v>
      </c>
      <c r="F592" t="s">
        <v>1229</v>
      </c>
      <c r="G592">
        <v>8</v>
      </c>
      <c r="H592">
        <v>4750</v>
      </c>
      <c r="I592">
        <v>38000</v>
      </c>
      <c r="J592" s="2">
        <v>9475.18</v>
      </c>
    </row>
    <row r="593" spans="1:10" x14ac:dyDescent="0.3">
      <c r="A593" t="s">
        <v>601</v>
      </c>
      <c r="B593" s="1">
        <v>44964</v>
      </c>
      <c r="C593" t="s">
        <v>1213</v>
      </c>
      <c r="D593" t="s">
        <v>1214</v>
      </c>
      <c r="E593" t="s">
        <v>1221</v>
      </c>
      <c r="F593" t="s">
        <v>1235</v>
      </c>
      <c r="G593">
        <v>1</v>
      </c>
      <c r="H593">
        <v>1405</v>
      </c>
      <c r="I593">
        <v>1405</v>
      </c>
      <c r="J593" s="2">
        <v>281.23</v>
      </c>
    </row>
    <row r="594" spans="1:10" x14ac:dyDescent="0.3">
      <c r="A594" t="s">
        <v>602</v>
      </c>
      <c r="B594" s="1">
        <v>45277</v>
      </c>
      <c r="C594" t="s">
        <v>1210</v>
      </c>
      <c r="D594" t="s">
        <v>1215</v>
      </c>
      <c r="E594" t="s">
        <v>1221</v>
      </c>
      <c r="F594" t="s">
        <v>1226</v>
      </c>
      <c r="G594">
        <v>3</v>
      </c>
      <c r="H594">
        <v>4660</v>
      </c>
      <c r="I594">
        <v>13980</v>
      </c>
      <c r="J594" s="2">
        <v>2225.48</v>
      </c>
    </row>
    <row r="595" spans="1:10" x14ac:dyDescent="0.3">
      <c r="A595" t="s">
        <v>603</v>
      </c>
      <c r="B595" s="1">
        <v>45230</v>
      </c>
      <c r="C595" t="s">
        <v>1212</v>
      </c>
      <c r="D595" t="s">
        <v>1214</v>
      </c>
      <c r="E595" t="s">
        <v>1222</v>
      </c>
      <c r="F595" t="s">
        <v>1234</v>
      </c>
      <c r="G595">
        <v>3</v>
      </c>
      <c r="H595">
        <v>2706</v>
      </c>
      <c r="I595">
        <v>8118</v>
      </c>
      <c r="J595" s="2">
        <v>1146.8499999999999</v>
      </c>
    </row>
    <row r="596" spans="1:10" x14ac:dyDescent="0.3">
      <c r="A596" t="s">
        <v>604</v>
      </c>
      <c r="B596" s="1">
        <v>45282</v>
      </c>
      <c r="C596" t="s">
        <v>1213</v>
      </c>
      <c r="D596" t="s">
        <v>1214</v>
      </c>
      <c r="E596" t="s">
        <v>1220</v>
      </c>
      <c r="F596" t="s">
        <v>1225</v>
      </c>
      <c r="G596">
        <v>8</v>
      </c>
      <c r="H596">
        <v>313</v>
      </c>
      <c r="I596">
        <v>2504</v>
      </c>
      <c r="J596" s="2">
        <v>500.92</v>
      </c>
    </row>
    <row r="597" spans="1:10" x14ac:dyDescent="0.3">
      <c r="A597" t="s">
        <v>605</v>
      </c>
      <c r="B597" s="1">
        <v>44951</v>
      </c>
      <c r="C597" t="s">
        <v>1213</v>
      </c>
      <c r="D597" t="s">
        <v>1215</v>
      </c>
      <c r="E597" t="s">
        <v>1220</v>
      </c>
      <c r="F597" t="s">
        <v>1237</v>
      </c>
      <c r="G597">
        <v>3</v>
      </c>
      <c r="H597">
        <v>3396</v>
      </c>
      <c r="I597">
        <v>10188</v>
      </c>
      <c r="J597" s="2">
        <v>1831.59</v>
      </c>
    </row>
    <row r="598" spans="1:10" x14ac:dyDescent="0.3">
      <c r="A598" t="s">
        <v>606</v>
      </c>
      <c r="B598" s="1">
        <v>44987</v>
      </c>
      <c r="C598" t="s">
        <v>1210</v>
      </c>
      <c r="D598" t="s">
        <v>1218</v>
      </c>
      <c r="E598" t="s">
        <v>1222</v>
      </c>
      <c r="F598" t="s">
        <v>1227</v>
      </c>
      <c r="G598">
        <v>3</v>
      </c>
      <c r="H598">
        <v>2930</v>
      </c>
      <c r="I598">
        <v>8790</v>
      </c>
      <c r="J598" s="2">
        <v>1713.53</v>
      </c>
    </row>
    <row r="599" spans="1:10" x14ac:dyDescent="0.3">
      <c r="A599" t="s">
        <v>607</v>
      </c>
      <c r="B599" s="1">
        <v>45036</v>
      </c>
      <c r="C599" t="s">
        <v>1211</v>
      </c>
      <c r="D599" t="s">
        <v>1216</v>
      </c>
      <c r="E599" t="s">
        <v>1221</v>
      </c>
      <c r="G599">
        <v>3</v>
      </c>
      <c r="H599">
        <v>3102</v>
      </c>
      <c r="I599">
        <v>9306</v>
      </c>
      <c r="J599" s="2">
        <v>2212.88</v>
      </c>
    </row>
    <row r="600" spans="1:10" x14ac:dyDescent="0.3">
      <c r="A600" t="s">
        <v>608</v>
      </c>
      <c r="B600" s="1">
        <v>44976</v>
      </c>
      <c r="C600" t="s">
        <v>1213</v>
      </c>
      <c r="D600" t="s">
        <v>1218</v>
      </c>
      <c r="E600" t="s">
        <v>1222</v>
      </c>
      <c r="F600" t="s">
        <v>1227</v>
      </c>
      <c r="G600">
        <v>5</v>
      </c>
      <c r="H600">
        <v>3834</v>
      </c>
      <c r="I600">
        <v>19170</v>
      </c>
      <c r="J600" s="2">
        <v>2977.49</v>
      </c>
    </row>
    <row r="601" spans="1:10" x14ac:dyDescent="0.3">
      <c r="A601" t="s">
        <v>609</v>
      </c>
      <c r="B601" s="1">
        <v>45115</v>
      </c>
      <c r="C601" t="s">
        <v>1211</v>
      </c>
      <c r="D601" t="s">
        <v>1214</v>
      </c>
      <c r="E601" t="s">
        <v>1220</v>
      </c>
      <c r="F601" t="s">
        <v>1224</v>
      </c>
      <c r="G601">
        <v>6</v>
      </c>
      <c r="H601">
        <v>1237</v>
      </c>
      <c r="I601">
        <v>7422</v>
      </c>
      <c r="J601" s="2">
        <v>661.07</v>
      </c>
    </row>
    <row r="602" spans="1:10" x14ac:dyDescent="0.3">
      <c r="A602" t="s">
        <v>610</v>
      </c>
      <c r="B602" s="1">
        <v>45059</v>
      </c>
      <c r="C602" t="s">
        <v>1210</v>
      </c>
      <c r="D602" t="s">
        <v>1218</v>
      </c>
      <c r="E602" t="s">
        <v>1219</v>
      </c>
      <c r="F602" t="s">
        <v>1233</v>
      </c>
      <c r="G602">
        <v>2</v>
      </c>
      <c r="H602">
        <v>1298</v>
      </c>
      <c r="I602">
        <v>2596</v>
      </c>
      <c r="J602" s="2">
        <v>281.54000000000002</v>
      </c>
    </row>
    <row r="603" spans="1:10" x14ac:dyDescent="0.3">
      <c r="A603" t="s">
        <v>611</v>
      </c>
      <c r="B603" s="1">
        <v>45247</v>
      </c>
      <c r="C603" t="s">
        <v>1213</v>
      </c>
      <c r="D603" t="s">
        <v>1216</v>
      </c>
      <c r="E603" t="s">
        <v>1219</v>
      </c>
      <c r="F603" t="s">
        <v>1238</v>
      </c>
      <c r="G603">
        <v>9</v>
      </c>
      <c r="H603">
        <v>2705</v>
      </c>
      <c r="I603">
        <v>24345</v>
      </c>
      <c r="J603" s="2">
        <v>4243.26</v>
      </c>
    </row>
    <row r="604" spans="1:10" x14ac:dyDescent="0.3">
      <c r="A604" t="s">
        <v>612</v>
      </c>
      <c r="B604" s="1">
        <v>45135</v>
      </c>
      <c r="C604" t="s">
        <v>1212</v>
      </c>
      <c r="D604" t="s">
        <v>1217</v>
      </c>
      <c r="E604" t="s">
        <v>1222</v>
      </c>
      <c r="F604" t="s">
        <v>1227</v>
      </c>
      <c r="G604">
        <v>8</v>
      </c>
      <c r="H604">
        <v>4701</v>
      </c>
      <c r="I604">
        <v>37608</v>
      </c>
      <c r="J604" s="2">
        <v>5918.72</v>
      </c>
    </row>
    <row r="605" spans="1:10" x14ac:dyDescent="0.3">
      <c r="A605" t="s">
        <v>613</v>
      </c>
      <c r="B605" s="1">
        <v>45133</v>
      </c>
      <c r="C605" t="s">
        <v>1213</v>
      </c>
      <c r="D605" t="s">
        <v>1216</v>
      </c>
      <c r="E605" t="s">
        <v>1221</v>
      </c>
      <c r="F605" t="s">
        <v>1229</v>
      </c>
      <c r="G605">
        <v>1</v>
      </c>
      <c r="H605">
        <v>574</v>
      </c>
      <c r="I605">
        <v>574</v>
      </c>
      <c r="J605" s="2">
        <v>62.65</v>
      </c>
    </row>
    <row r="606" spans="1:10" x14ac:dyDescent="0.3">
      <c r="A606" t="s">
        <v>614</v>
      </c>
      <c r="B606" s="1">
        <v>44939</v>
      </c>
      <c r="C606" t="s">
        <v>1212</v>
      </c>
      <c r="D606" t="s">
        <v>1217</v>
      </c>
      <c r="E606" t="s">
        <v>1220</v>
      </c>
      <c r="F606" t="s">
        <v>1225</v>
      </c>
      <c r="G606">
        <v>3</v>
      </c>
      <c r="H606">
        <v>3455</v>
      </c>
      <c r="I606">
        <v>10365</v>
      </c>
      <c r="J606" s="2">
        <v>2509.38</v>
      </c>
    </row>
    <row r="607" spans="1:10" x14ac:dyDescent="0.3">
      <c r="A607" t="s">
        <v>615</v>
      </c>
      <c r="B607" s="1">
        <v>45001</v>
      </c>
      <c r="C607" t="s">
        <v>1213</v>
      </c>
      <c r="D607" t="s">
        <v>1216</v>
      </c>
      <c r="E607" t="s">
        <v>1222</v>
      </c>
      <c r="F607" t="s">
        <v>1234</v>
      </c>
      <c r="G607">
        <v>6</v>
      </c>
      <c r="H607">
        <v>4075</v>
      </c>
      <c r="I607">
        <v>24450</v>
      </c>
      <c r="J607" s="2">
        <v>2282.5300000000002</v>
      </c>
    </row>
    <row r="608" spans="1:10" x14ac:dyDescent="0.3">
      <c r="A608" t="s">
        <v>616</v>
      </c>
      <c r="B608" s="1">
        <v>45135</v>
      </c>
      <c r="C608" t="s">
        <v>1213</v>
      </c>
      <c r="D608" t="s">
        <v>1216</v>
      </c>
      <c r="E608" t="s">
        <v>1221</v>
      </c>
      <c r="F608" t="s">
        <v>1235</v>
      </c>
      <c r="G608">
        <v>6</v>
      </c>
      <c r="H608">
        <v>4591</v>
      </c>
      <c r="I608">
        <v>27546</v>
      </c>
      <c r="J608" s="2">
        <v>3284.45</v>
      </c>
    </row>
    <row r="609" spans="1:10" x14ac:dyDescent="0.3">
      <c r="A609" t="s">
        <v>617</v>
      </c>
      <c r="B609" s="1">
        <v>45165</v>
      </c>
      <c r="C609" t="s">
        <v>1213</v>
      </c>
      <c r="D609" t="s">
        <v>1214</v>
      </c>
      <c r="E609" t="s">
        <v>1221</v>
      </c>
      <c r="F609" t="s">
        <v>1235</v>
      </c>
      <c r="G609">
        <v>7</v>
      </c>
      <c r="H609">
        <v>1175</v>
      </c>
      <c r="I609">
        <v>8225</v>
      </c>
      <c r="J609" s="2">
        <v>1864.69</v>
      </c>
    </row>
    <row r="610" spans="1:10" x14ac:dyDescent="0.3">
      <c r="A610" t="s">
        <v>618</v>
      </c>
      <c r="B610" s="1">
        <v>45105</v>
      </c>
      <c r="C610" t="s">
        <v>1213</v>
      </c>
      <c r="D610" t="s">
        <v>1215</v>
      </c>
      <c r="E610" t="s">
        <v>1222</v>
      </c>
      <c r="F610" t="s">
        <v>1227</v>
      </c>
      <c r="G610">
        <v>8</v>
      </c>
      <c r="H610">
        <v>3527</v>
      </c>
      <c r="I610">
        <v>28216</v>
      </c>
      <c r="J610" s="2">
        <v>6107.32</v>
      </c>
    </row>
    <row r="611" spans="1:10" x14ac:dyDescent="0.3">
      <c r="A611" t="s">
        <v>619</v>
      </c>
      <c r="B611" s="1">
        <v>45148</v>
      </c>
      <c r="C611" t="s">
        <v>1211</v>
      </c>
      <c r="D611" t="s">
        <v>1216</v>
      </c>
      <c r="E611" t="s">
        <v>1220</v>
      </c>
      <c r="G611">
        <v>7</v>
      </c>
      <c r="H611">
        <v>1430</v>
      </c>
      <c r="I611">
        <v>10010</v>
      </c>
      <c r="J611" s="2">
        <v>2242.8000000000002</v>
      </c>
    </row>
    <row r="612" spans="1:10" x14ac:dyDescent="0.3">
      <c r="A612" t="s">
        <v>620</v>
      </c>
      <c r="B612" s="1">
        <v>45276</v>
      </c>
      <c r="C612" t="s">
        <v>1212</v>
      </c>
      <c r="D612" t="s">
        <v>1214</v>
      </c>
      <c r="E612" t="s">
        <v>1221</v>
      </c>
      <c r="F612" t="s">
        <v>1235</v>
      </c>
      <c r="G612">
        <v>5</v>
      </c>
      <c r="H612">
        <v>4056</v>
      </c>
      <c r="I612">
        <v>20280</v>
      </c>
      <c r="J612" s="2">
        <v>4561.6400000000003</v>
      </c>
    </row>
    <row r="613" spans="1:10" x14ac:dyDescent="0.3">
      <c r="A613" t="s">
        <v>621</v>
      </c>
      <c r="B613" s="1">
        <v>45216</v>
      </c>
      <c r="C613" t="s">
        <v>1210</v>
      </c>
      <c r="D613" t="s">
        <v>1216</v>
      </c>
      <c r="E613" t="s">
        <v>1220</v>
      </c>
      <c r="F613" t="s">
        <v>1237</v>
      </c>
      <c r="G613">
        <v>2</v>
      </c>
      <c r="H613">
        <v>1294</v>
      </c>
      <c r="I613">
        <v>2588</v>
      </c>
      <c r="J613" s="2">
        <v>299.77999999999997</v>
      </c>
    </row>
    <row r="614" spans="1:10" x14ac:dyDescent="0.3">
      <c r="A614" t="s">
        <v>622</v>
      </c>
      <c r="B614" s="1">
        <v>45010</v>
      </c>
      <c r="C614" t="s">
        <v>1210</v>
      </c>
      <c r="D614" t="s">
        <v>1215</v>
      </c>
      <c r="E614" t="s">
        <v>1220</v>
      </c>
      <c r="F614" t="s">
        <v>1225</v>
      </c>
      <c r="G614">
        <v>8</v>
      </c>
      <c r="H614">
        <v>4859</v>
      </c>
      <c r="I614">
        <v>38872</v>
      </c>
      <c r="J614" s="2">
        <v>6007.19</v>
      </c>
    </row>
    <row r="615" spans="1:10" x14ac:dyDescent="0.3">
      <c r="A615" t="s">
        <v>623</v>
      </c>
      <c r="B615" s="1">
        <v>44982</v>
      </c>
      <c r="C615" t="s">
        <v>1210</v>
      </c>
      <c r="D615" t="s">
        <v>1214</v>
      </c>
      <c r="E615" t="s">
        <v>1220</v>
      </c>
      <c r="F615" t="s">
        <v>1228</v>
      </c>
      <c r="G615">
        <v>8</v>
      </c>
      <c r="H615">
        <v>783</v>
      </c>
      <c r="I615">
        <v>6264</v>
      </c>
      <c r="J615" s="2">
        <v>969.39</v>
      </c>
    </row>
    <row r="616" spans="1:10" x14ac:dyDescent="0.3">
      <c r="A616" t="s">
        <v>624</v>
      </c>
      <c r="B616" s="1">
        <v>45064</v>
      </c>
      <c r="C616" t="s">
        <v>1210</v>
      </c>
      <c r="D616" t="s">
        <v>1216</v>
      </c>
      <c r="E616" t="s">
        <v>1220</v>
      </c>
      <c r="F616" t="s">
        <v>1224</v>
      </c>
      <c r="G616">
        <v>8</v>
      </c>
      <c r="H616">
        <v>1061</v>
      </c>
      <c r="I616">
        <v>8488</v>
      </c>
      <c r="J616" s="2">
        <v>708.65</v>
      </c>
    </row>
    <row r="617" spans="1:10" x14ac:dyDescent="0.3">
      <c r="A617" t="s">
        <v>625</v>
      </c>
      <c r="B617" s="1">
        <v>44930</v>
      </c>
      <c r="C617" t="s">
        <v>1210</v>
      </c>
      <c r="D617" t="s">
        <v>1217</v>
      </c>
      <c r="E617" t="s">
        <v>1222</v>
      </c>
      <c r="F617" t="s">
        <v>1236</v>
      </c>
      <c r="G617">
        <v>4</v>
      </c>
      <c r="H617">
        <v>2348</v>
      </c>
      <c r="I617">
        <v>9392</v>
      </c>
      <c r="J617" s="2">
        <v>1022.97</v>
      </c>
    </row>
    <row r="618" spans="1:10" x14ac:dyDescent="0.3">
      <c r="A618" t="s">
        <v>626</v>
      </c>
      <c r="B618" s="1">
        <v>45204</v>
      </c>
      <c r="C618" t="s">
        <v>1211</v>
      </c>
      <c r="D618" t="s">
        <v>1214</v>
      </c>
      <c r="E618" t="s">
        <v>1221</v>
      </c>
      <c r="F618" t="s">
        <v>1229</v>
      </c>
      <c r="G618">
        <v>8</v>
      </c>
      <c r="H618">
        <v>4166</v>
      </c>
      <c r="I618">
        <v>33328</v>
      </c>
      <c r="J618" s="2">
        <v>4203.7299999999996</v>
      </c>
    </row>
    <row r="619" spans="1:10" x14ac:dyDescent="0.3">
      <c r="A619" t="s">
        <v>627</v>
      </c>
      <c r="B619" s="1">
        <v>45054</v>
      </c>
      <c r="C619" t="s">
        <v>1211</v>
      </c>
      <c r="D619" t="s">
        <v>1214</v>
      </c>
      <c r="E619" t="s">
        <v>1221</v>
      </c>
      <c r="F619" t="s">
        <v>1229</v>
      </c>
      <c r="G619">
        <v>5</v>
      </c>
      <c r="H619">
        <v>4781</v>
      </c>
      <c r="I619">
        <v>23905</v>
      </c>
      <c r="J619" s="2">
        <v>5084.46</v>
      </c>
    </row>
    <row r="620" spans="1:10" x14ac:dyDescent="0.3">
      <c r="A620" t="s">
        <v>628</v>
      </c>
      <c r="B620" s="1">
        <v>45149</v>
      </c>
      <c r="C620" t="s">
        <v>1210</v>
      </c>
      <c r="D620" t="s">
        <v>1217</v>
      </c>
      <c r="E620" t="s">
        <v>1221</v>
      </c>
      <c r="F620" t="s">
        <v>1226</v>
      </c>
      <c r="G620">
        <v>7</v>
      </c>
      <c r="H620">
        <v>3416</v>
      </c>
      <c r="I620">
        <v>23912</v>
      </c>
      <c r="J620" s="2">
        <v>3708.68</v>
      </c>
    </row>
    <row r="621" spans="1:10" x14ac:dyDescent="0.3">
      <c r="A621" t="s">
        <v>629</v>
      </c>
      <c r="B621" s="1">
        <v>45015</v>
      </c>
      <c r="C621" t="s">
        <v>1213</v>
      </c>
      <c r="D621" t="s">
        <v>1217</v>
      </c>
      <c r="E621" t="s">
        <v>1222</v>
      </c>
      <c r="F621" t="s">
        <v>1227</v>
      </c>
      <c r="G621">
        <v>5</v>
      </c>
      <c r="H621">
        <v>425</v>
      </c>
      <c r="I621">
        <v>2125</v>
      </c>
      <c r="J621" s="2">
        <v>335.61</v>
      </c>
    </row>
    <row r="622" spans="1:10" x14ac:dyDescent="0.3">
      <c r="A622" t="s">
        <v>630</v>
      </c>
      <c r="B622" s="1">
        <v>45245</v>
      </c>
      <c r="C622" t="s">
        <v>1210</v>
      </c>
      <c r="D622" t="s">
        <v>1215</v>
      </c>
      <c r="E622" t="s">
        <v>1219</v>
      </c>
      <c r="F622" t="s">
        <v>1223</v>
      </c>
      <c r="G622">
        <v>8</v>
      </c>
      <c r="H622">
        <v>2353</v>
      </c>
      <c r="I622">
        <v>18824</v>
      </c>
      <c r="J622" s="2">
        <v>2510.35</v>
      </c>
    </row>
    <row r="623" spans="1:10" x14ac:dyDescent="0.3">
      <c r="A623" t="s">
        <v>631</v>
      </c>
      <c r="B623" s="1">
        <v>45145</v>
      </c>
      <c r="C623" t="s">
        <v>1212</v>
      </c>
      <c r="D623" t="s">
        <v>1217</v>
      </c>
      <c r="E623" t="s">
        <v>1222</v>
      </c>
      <c r="F623" t="s">
        <v>1236</v>
      </c>
      <c r="G623">
        <v>9</v>
      </c>
      <c r="H623">
        <v>4335</v>
      </c>
      <c r="I623">
        <v>39015</v>
      </c>
      <c r="J623" s="2">
        <v>5584.98</v>
      </c>
    </row>
    <row r="624" spans="1:10" x14ac:dyDescent="0.3">
      <c r="A624" t="s">
        <v>632</v>
      </c>
      <c r="B624" s="1">
        <v>44964</v>
      </c>
      <c r="C624" t="s">
        <v>1210</v>
      </c>
      <c r="D624" t="s">
        <v>1216</v>
      </c>
      <c r="E624" t="s">
        <v>1222</v>
      </c>
      <c r="F624" t="s">
        <v>1236</v>
      </c>
      <c r="G624">
        <v>9</v>
      </c>
      <c r="H624">
        <v>646</v>
      </c>
      <c r="I624">
        <v>5814</v>
      </c>
      <c r="J624" s="2">
        <v>1018.2</v>
      </c>
    </row>
    <row r="625" spans="1:10" x14ac:dyDescent="0.3">
      <c r="A625" t="s">
        <v>633</v>
      </c>
      <c r="B625" s="1">
        <v>45221</v>
      </c>
      <c r="C625" t="s">
        <v>1213</v>
      </c>
      <c r="D625" t="s">
        <v>1214</v>
      </c>
      <c r="E625" t="s">
        <v>1219</v>
      </c>
      <c r="F625" t="s">
        <v>1232</v>
      </c>
      <c r="G625">
        <v>3</v>
      </c>
      <c r="H625">
        <v>4343</v>
      </c>
      <c r="I625">
        <v>13029</v>
      </c>
      <c r="J625" s="2">
        <v>1943.36</v>
      </c>
    </row>
    <row r="626" spans="1:10" x14ac:dyDescent="0.3">
      <c r="A626" t="s">
        <v>634</v>
      </c>
      <c r="B626" s="1">
        <v>45155</v>
      </c>
      <c r="C626" t="s">
        <v>1211</v>
      </c>
      <c r="D626" t="s">
        <v>1214</v>
      </c>
      <c r="E626" t="s">
        <v>1222</v>
      </c>
      <c r="F626" t="s">
        <v>1236</v>
      </c>
      <c r="G626">
        <v>8</v>
      </c>
      <c r="H626">
        <v>2132</v>
      </c>
      <c r="I626">
        <v>17056</v>
      </c>
      <c r="J626" s="2">
        <v>3944.72</v>
      </c>
    </row>
    <row r="627" spans="1:10" x14ac:dyDescent="0.3">
      <c r="A627" t="s">
        <v>635</v>
      </c>
      <c r="B627" s="1">
        <v>44998</v>
      </c>
      <c r="C627" t="s">
        <v>1212</v>
      </c>
      <c r="D627" t="s">
        <v>1215</v>
      </c>
      <c r="E627" t="s">
        <v>1222</v>
      </c>
      <c r="F627" t="s">
        <v>1234</v>
      </c>
      <c r="G627">
        <v>6</v>
      </c>
      <c r="H627">
        <v>3403</v>
      </c>
      <c r="I627">
        <v>20418</v>
      </c>
      <c r="J627" s="2">
        <v>5001.1899999999996</v>
      </c>
    </row>
    <row r="628" spans="1:10" x14ac:dyDescent="0.3">
      <c r="A628" t="s">
        <v>636</v>
      </c>
      <c r="B628" s="1">
        <v>45146</v>
      </c>
      <c r="C628" t="s">
        <v>1212</v>
      </c>
      <c r="D628" t="s">
        <v>1214</v>
      </c>
      <c r="E628" t="s">
        <v>1221</v>
      </c>
      <c r="F628" t="s">
        <v>1235</v>
      </c>
      <c r="G628">
        <v>6</v>
      </c>
      <c r="H628">
        <v>3462</v>
      </c>
      <c r="I628">
        <v>20772</v>
      </c>
      <c r="J628" s="2">
        <v>3677.67</v>
      </c>
    </row>
    <row r="629" spans="1:10" x14ac:dyDescent="0.3">
      <c r="A629" t="s">
        <v>637</v>
      </c>
      <c r="B629" s="1">
        <v>45022</v>
      </c>
      <c r="C629" t="s">
        <v>1212</v>
      </c>
      <c r="D629" t="s">
        <v>1218</v>
      </c>
      <c r="E629" t="s">
        <v>1221</v>
      </c>
      <c r="F629" t="s">
        <v>1235</v>
      </c>
      <c r="G629">
        <v>6</v>
      </c>
      <c r="H629">
        <v>2985</v>
      </c>
      <c r="I629">
        <v>17910</v>
      </c>
      <c r="J629" s="2">
        <v>4182.74</v>
      </c>
    </row>
    <row r="630" spans="1:10" x14ac:dyDescent="0.3">
      <c r="A630" t="s">
        <v>638</v>
      </c>
      <c r="B630" s="1">
        <v>45113</v>
      </c>
      <c r="C630" t="s">
        <v>1213</v>
      </c>
      <c r="D630" t="s">
        <v>1218</v>
      </c>
      <c r="E630" t="s">
        <v>1220</v>
      </c>
      <c r="F630" t="s">
        <v>1225</v>
      </c>
      <c r="G630">
        <v>3</v>
      </c>
      <c r="H630">
        <v>3153</v>
      </c>
      <c r="I630">
        <v>9459</v>
      </c>
      <c r="J630" s="2">
        <v>1347.5</v>
      </c>
    </row>
    <row r="631" spans="1:10" x14ac:dyDescent="0.3">
      <c r="A631" t="s">
        <v>639</v>
      </c>
      <c r="B631" s="1">
        <v>45213</v>
      </c>
      <c r="C631" t="s">
        <v>1211</v>
      </c>
      <c r="D631" t="s">
        <v>1215</v>
      </c>
      <c r="E631" t="s">
        <v>1219</v>
      </c>
      <c r="F631" t="s">
        <v>1238</v>
      </c>
      <c r="G631">
        <v>5</v>
      </c>
      <c r="H631">
        <v>507</v>
      </c>
      <c r="I631">
        <v>2535</v>
      </c>
      <c r="J631" s="2">
        <v>492.73</v>
      </c>
    </row>
    <row r="632" spans="1:10" x14ac:dyDescent="0.3">
      <c r="A632" t="s">
        <v>640</v>
      </c>
      <c r="B632" s="1">
        <v>44939</v>
      </c>
      <c r="C632" t="s">
        <v>1212</v>
      </c>
      <c r="D632" t="s">
        <v>1217</v>
      </c>
      <c r="E632" t="s">
        <v>1220</v>
      </c>
      <c r="F632" t="s">
        <v>1224</v>
      </c>
      <c r="G632">
        <v>7</v>
      </c>
      <c r="H632">
        <v>4678</v>
      </c>
      <c r="I632">
        <v>32746</v>
      </c>
      <c r="J632" s="2">
        <v>4085.13</v>
      </c>
    </row>
    <row r="633" spans="1:10" x14ac:dyDescent="0.3">
      <c r="A633" t="s">
        <v>641</v>
      </c>
      <c r="B633" s="1">
        <v>45199</v>
      </c>
      <c r="C633" t="s">
        <v>1213</v>
      </c>
      <c r="D633" t="s">
        <v>1217</v>
      </c>
      <c r="E633" t="s">
        <v>1220</v>
      </c>
      <c r="F633" t="s">
        <v>1228</v>
      </c>
      <c r="G633">
        <v>4</v>
      </c>
      <c r="H633">
        <v>2747</v>
      </c>
      <c r="I633">
        <v>10988</v>
      </c>
      <c r="J633" s="2">
        <v>2280.5100000000002</v>
      </c>
    </row>
    <row r="634" spans="1:10" x14ac:dyDescent="0.3">
      <c r="A634" t="s">
        <v>642</v>
      </c>
      <c r="B634" s="1">
        <v>45241</v>
      </c>
      <c r="C634" t="s">
        <v>1211</v>
      </c>
      <c r="D634" t="s">
        <v>1214</v>
      </c>
      <c r="E634" t="s">
        <v>1221</v>
      </c>
      <c r="F634" t="s">
        <v>1229</v>
      </c>
      <c r="G634">
        <v>7</v>
      </c>
      <c r="H634">
        <v>3957</v>
      </c>
      <c r="I634">
        <v>27699</v>
      </c>
      <c r="J634" s="2">
        <v>5088.03</v>
      </c>
    </row>
    <row r="635" spans="1:10" x14ac:dyDescent="0.3">
      <c r="A635" t="s">
        <v>643</v>
      </c>
      <c r="B635" s="1">
        <v>45115</v>
      </c>
      <c r="C635" t="s">
        <v>1213</v>
      </c>
      <c r="D635" t="s">
        <v>1217</v>
      </c>
      <c r="E635" t="s">
        <v>1222</v>
      </c>
      <c r="F635" t="s">
        <v>1227</v>
      </c>
      <c r="G635">
        <v>5</v>
      </c>
      <c r="H635">
        <v>1720</v>
      </c>
      <c r="I635">
        <v>8600</v>
      </c>
      <c r="J635" s="2">
        <v>1817.42</v>
      </c>
    </row>
    <row r="636" spans="1:10" x14ac:dyDescent="0.3">
      <c r="A636" t="s">
        <v>644</v>
      </c>
      <c r="B636" s="1">
        <v>45022</v>
      </c>
      <c r="C636" t="s">
        <v>1211</v>
      </c>
      <c r="D636" t="s">
        <v>1215</v>
      </c>
      <c r="E636" t="s">
        <v>1220</v>
      </c>
      <c r="F636" t="s">
        <v>1225</v>
      </c>
      <c r="G636">
        <v>1</v>
      </c>
      <c r="H636">
        <v>3557</v>
      </c>
      <c r="I636">
        <v>3557</v>
      </c>
      <c r="J636" s="2">
        <v>888.98</v>
      </c>
    </row>
    <row r="637" spans="1:10" x14ac:dyDescent="0.3">
      <c r="A637" t="s">
        <v>645</v>
      </c>
      <c r="B637" s="1">
        <v>45020</v>
      </c>
      <c r="C637" t="s">
        <v>1212</v>
      </c>
      <c r="D637" t="s">
        <v>1218</v>
      </c>
      <c r="E637" t="s">
        <v>1220</v>
      </c>
      <c r="F637" t="s">
        <v>1225</v>
      </c>
      <c r="G637">
        <v>2</v>
      </c>
      <c r="H637">
        <v>3028</v>
      </c>
      <c r="I637">
        <v>6056</v>
      </c>
      <c r="J637" s="2">
        <v>1178.79</v>
      </c>
    </row>
    <row r="638" spans="1:10" x14ac:dyDescent="0.3">
      <c r="A638" t="s">
        <v>646</v>
      </c>
      <c r="B638" s="1">
        <v>45128</v>
      </c>
      <c r="C638" t="s">
        <v>1213</v>
      </c>
      <c r="D638" t="s">
        <v>1215</v>
      </c>
      <c r="E638" t="s">
        <v>1221</v>
      </c>
      <c r="F638" t="s">
        <v>1235</v>
      </c>
      <c r="G638">
        <v>4</v>
      </c>
      <c r="H638">
        <v>342</v>
      </c>
      <c r="I638">
        <v>1368</v>
      </c>
      <c r="J638" s="2">
        <v>321.20999999999998</v>
      </c>
    </row>
    <row r="639" spans="1:10" x14ac:dyDescent="0.3">
      <c r="A639" t="s">
        <v>647</v>
      </c>
      <c r="B639" s="1">
        <v>45063</v>
      </c>
      <c r="C639" t="s">
        <v>1211</v>
      </c>
      <c r="D639" t="s">
        <v>1218</v>
      </c>
      <c r="E639" t="s">
        <v>1219</v>
      </c>
      <c r="F639" t="s">
        <v>1223</v>
      </c>
      <c r="G639">
        <v>4</v>
      </c>
      <c r="H639">
        <v>4712</v>
      </c>
      <c r="I639">
        <v>18848</v>
      </c>
      <c r="J639" s="2">
        <v>4240.93</v>
      </c>
    </row>
    <row r="640" spans="1:10" x14ac:dyDescent="0.3">
      <c r="A640" t="s">
        <v>648</v>
      </c>
      <c r="B640" s="1">
        <v>45197</v>
      </c>
      <c r="C640" t="s">
        <v>1213</v>
      </c>
      <c r="D640" t="s">
        <v>1218</v>
      </c>
      <c r="E640" t="s">
        <v>1221</v>
      </c>
      <c r="F640" t="s">
        <v>1235</v>
      </c>
      <c r="G640">
        <v>2</v>
      </c>
      <c r="H640">
        <v>3991</v>
      </c>
      <c r="I640">
        <v>7982</v>
      </c>
      <c r="J640" s="2">
        <v>960.8</v>
      </c>
    </row>
    <row r="641" spans="1:10" x14ac:dyDescent="0.3">
      <c r="A641" t="s">
        <v>649</v>
      </c>
      <c r="B641" s="1">
        <v>45116</v>
      </c>
      <c r="C641" t="s">
        <v>1213</v>
      </c>
      <c r="D641" t="s">
        <v>1218</v>
      </c>
      <c r="E641" t="s">
        <v>1222</v>
      </c>
      <c r="F641" t="s">
        <v>1230</v>
      </c>
      <c r="G641">
        <v>9</v>
      </c>
      <c r="H641">
        <v>3151</v>
      </c>
      <c r="I641">
        <v>28359</v>
      </c>
      <c r="J641" s="2">
        <v>3623.67</v>
      </c>
    </row>
    <row r="642" spans="1:10" x14ac:dyDescent="0.3">
      <c r="A642" t="s">
        <v>650</v>
      </c>
      <c r="B642" s="1">
        <v>45277</v>
      </c>
      <c r="C642" t="s">
        <v>1212</v>
      </c>
      <c r="D642" t="s">
        <v>1218</v>
      </c>
      <c r="E642" t="s">
        <v>1219</v>
      </c>
      <c r="F642" t="s">
        <v>1223</v>
      </c>
      <c r="G642">
        <v>3</v>
      </c>
      <c r="H642">
        <v>4434</v>
      </c>
      <c r="I642">
        <v>13302</v>
      </c>
      <c r="J642" s="2">
        <v>2349.65</v>
      </c>
    </row>
    <row r="643" spans="1:10" x14ac:dyDescent="0.3">
      <c r="A643" t="s">
        <v>651</v>
      </c>
      <c r="B643" s="1">
        <v>44982</v>
      </c>
      <c r="C643" t="s">
        <v>1211</v>
      </c>
      <c r="D643" t="s">
        <v>1217</v>
      </c>
      <c r="E643" t="s">
        <v>1221</v>
      </c>
      <c r="F643" t="s">
        <v>1229</v>
      </c>
      <c r="G643">
        <v>5</v>
      </c>
      <c r="H643">
        <v>4124</v>
      </c>
      <c r="I643">
        <v>20620</v>
      </c>
      <c r="J643" s="2">
        <v>4576.84</v>
      </c>
    </row>
    <row r="644" spans="1:10" x14ac:dyDescent="0.3">
      <c r="A644" t="s">
        <v>652</v>
      </c>
      <c r="B644" s="1">
        <v>45065</v>
      </c>
      <c r="C644" t="s">
        <v>1213</v>
      </c>
      <c r="D644" t="s">
        <v>1218</v>
      </c>
      <c r="E644" t="s">
        <v>1220</v>
      </c>
      <c r="F644" t="s">
        <v>1228</v>
      </c>
      <c r="G644">
        <v>3</v>
      </c>
      <c r="H644">
        <v>1456</v>
      </c>
      <c r="I644">
        <v>4368</v>
      </c>
      <c r="J644" s="2">
        <v>559.44000000000005</v>
      </c>
    </row>
    <row r="645" spans="1:10" x14ac:dyDescent="0.3">
      <c r="A645" t="s">
        <v>653</v>
      </c>
      <c r="B645" s="1">
        <v>45285</v>
      </c>
      <c r="C645" t="s">
        <v>1213</v>
      </c>
      <c r="D645" t="s">
        <v>1214</v>
      </c>
      <c r="E645" t="s">
        <v>1222</v>
      </c>
      <c r="F645" t="s">
        <v>1227</v>
      </c>
      <c r="G645">
        <v>2</v>
      </c>
      <c r="H645">
        <v>1286</v>
      </c>
      <c r="I645">
        <v>2572</v>
      </c>
      <c r="J645" s="2">
        <v>223.91</v>
      </c>
    </row>
    <row r="646" spans="1:10" x14ac:dyDescent="0.3">
      <c r="A646" t="s">
        <v>654</v>
      </c>
      <c r="B646" s="1">
        <v>44964</v>
      </c>
      <c r="C646" t="s">
        <v>1210</v>
      </c>
      <c r="D646" t="s">
        <v>1215</v>
      </c>
      <c r="E646" t="s">
        <v>1222</v>
      </c>
      <c r="F646" t="s">
        <v>1230</v>
      </c>
      <c r="G646">
        <v>3</v>
      </c>
      <c r="H646">
        <v>4269</v>
      </c>
      <c r="I646">
        <v>12807</v>
      </c>
      <c r="J646" s="2">
        <v>1668.26</v>
      </c>
    </row>
    <row r="647" spans="1:10" x14ac:dyDescent="0.3">
      <c r="A647" t="s">
        <v>655</v>
      </c>
      <c r="B647" s="1">
        <v>45225</v>
      </c>
      <c r="C647" t="s">
        <v>1213</v>
      </c>
      <c r="D647" t="s">
        <v>1217</v>
      </c>
      <c r="E647" t="s">
        <v>1219</v>
      </c>
      <c r="F647" t="s">
        <v>1223</v>
      </c>
      <c r="G647">
        <v>4</v>
      </c>
      <c r="H647">
        <v>3997</v>
      </c>
      <c r="I647">
        <v>15988</v>
      </c>
      <c r="J647" s="2">
        <v>2033.18</v>
      </c>
    </row>
    <row r="648" spans="1:10" x14ac:dyDescent="0.3">
      <c r="A648" t="s">
        <v>656</v>
      </c>
      <c r="B648" s="1">
        <v>45114</v>
      </c>
      <c r="C648" t="s">
        <v>1211</v>
      </c>
      <c r="D648" t="s">
        <v>1214</v>
      </c>
      <c r="E648" t="s">
        <v>1222</v>
      </c>
      <c r="F648" t="s">
        <v>1236</v>
      </c>
      <c r="G648">
        <v>1</v>
      </c>
      <c r="H648">
        <v>3376</v>
      </c>
      <c r="I648">
        <v>3376</v>
      </c>
      <c r="J648" s="2">
        <v>469.16</v>
      </c>
    </row>
    <row r="649" spans="1:10" x14ac:dyDescent="0.3">
      <c r="A649" t="s">
        <v>657</v>
      </c>
      <c r="B649" s="1">
        <v>45222</v>
      </c>
      <c r="C649" t="s">
        <v>1212</v>
      </c>
      <c r="D649" t="s">
        <v>1216</v>
      </c>
      <c r="E649" t="s">
        <v>1220</v>
      </c>
      <c r="F649" t="s">
        <v>1224</v>
      </c>
      <c r="G649">
        <v>3</v>
      </c>
      <c r="H649">
        <v>2161</v>
      </c>
      <c r="I649">
        <v>6483</v>
      </c>
      <c r="J649" s="2">
        <v>897.09</v>
      </c>
    </row>
    <row r="650" spans="1:10" x14ac:dyDescent="0.3">
      <c r="A650" t="s">
        <v>658</v>
      </c>
      <c r="B650" s="1">
        <v>45063</v>
      </c>
      <c r="C650" t="s">
        <v>1210</v>
      </c>
      <c r="E650" t="s">
        <v>1221</v>
      </c>
      <c r="F650" t="s">
        <v>1226</v>
      </c>
      <c r="G650">
        <v>2</v>
      </c>
      <c r="H650">
        <v>4205</v>
      </c>
      <c r="I650">
        <v>8410</v>
      </c>
      <c r="J650" s="2">
        <v>761.17</v>
      </c>
    </row>
    <row r="651" spans="1:10" x14ac:dyDescent="0.3">
      <c r="A651" t="s">
        <v>659</v>
      </c>
      <c r="B651" s="1">
        <v>45216</v>
      </c>
      <c r="C651" t="s">
        <v>1210</v>
      </c>
      <c r="D651" t="s">
        <v>1217</v>
      </c>
      <c r="E651" t="s">
        <v>1219</v>
      </c>
      <c r="F651" t="s">
        <v>1223</v>
      </c>
      <c r="G651">
        <v>7</v>
      </c>
      <c r="H651">
        <v>2996</v>
      </c>
      <c r="I651">
        <v>20972</v>
      </c>
      <c r="J651" s="2">
        <v>3270.4</v>
      </c>
    </row>
    <row r="652" spans="1:10" x14ac:dyDescent="0.3">
      <c r="A652" t="s">
        <v>660</v>
      </c>
      <c r="B652" s="1">
        <v>45286</v>
      </c>
      <c r="C652" t="s">
        <v>1211</v>
      </c>
      <c r="D652" t="s">
        <v>1214</v>
      </c>
      <c r="E652" t="s">
        <v>1221</v>
      </c>
      <c r="F652" t="s">
        <v>1229</v>
      </c>
      <c r="G652">
        <v>6</v>
      </c>
      <c r="H652">
        <v>3249</v>
      </c>
      <c r="I652">
        <v>19494</v>
      </c>
      <c r="J652" s="2">
        <v>4557.8999999999996</v>
      </c>
    </row>
    <row r="653" spans="1:10" x14ac:dyDescent="0.3">
      <c r="A653" t="s">
        <v>661</v>
      </c>
      <c r="B653" s="1">
        <v>45039</v>
      </c>
      <c r="C653" t="s">
        <v>1210</v>
      </c>
      <c r="D653" t="s">
        <v>1214</v>
      </c>
      <c r="E653" t="s">
        <v>1219</v>
      </c>
      <c r="F653" t="s">
        <v>1223</v>
      </c>
      <c r="G653">
        <v>5</v>
      </c>
      <c r="H653">
        <v>2177</v>
      </c>
      <c r="I653">
        <v>10885</v>
      </c>
      <c r="J653" s="2">
        <v>2613.06</v>
      </c>
    </row>
    <row r="654" spans="1:10" x14ac:dyDescent="0.3">
      <c r="A654" t="s">
        <v>662</v>
      </c>
      <c r="B654" s="1">
        <v>45066</v>
      </c>
      <c r="C654" t="s">
        <v>1210</v>
      </c>
      <c r="D654" t="s">
        <v>1216</v>
      </c>
      <c r="E654" t="s">
        <v>1221</v>
      </c>
      <c r="F654" t="s">
        <v>1231</v>
      </c>
      <c r="G654">
        <v>5</v>
      </c>
      <c r="H654">
        <v>2598</v>
      </c>
      <c r="I654">
        <v>12990</v>
      </c>
      <c r="J654" s="2">
        <v>1827.05</v>
      </c>
    </row>
    <row r="655" spans="1:10" x14ac:dyDescent="0.3">
      <c r="A655" t="s">
        <v>663</v>
      </c>
      <c r="B655" s="1">
        <v>44992</v>
      </c>
      <c r="C655" t="s">
        <v>1211</v>
      </c>
      <c r="D655" t="s">
        <v>1214</v>
      </c>
      <c r="E655" t="s">
        <v>1219</v>
      </c>
      <c r="F655" t="s">
        <v>1223</v>
      </c>
      <c r="G655">
        <v>7</v>
      </c>
      <c r="H655">
        <v>328</v>
      </c>
      <c r="I655">
        <v>2296</v>
      </c>
      <c r="J655" s="2">
        <v>355.44</v>
      </c>
    </row>
    <row r="656" spans="1:10" x14ac:dyDescent="0.3">
      <c r="A656" t="s">
        <v>664</v>
      </c>
      <c r="B656" s="1">
        <v>45220</v>
      </c>
      <c r="C656" t="s">
        <v>1212</v>
      </c>
      <c r="D656" t="s">
        <v>1217</v>
      </c>
      <c r="E656" t="s">
        <v>1220</v>
      </c>
      <c r="G656">
        <v>9</v>
      </c>
      <c r="H656">
        <v>827</v>
      </c>
      <c r="I656">
        <v>7443</v>
      </c>
      <c r="J656" s="2">
        <v>747.14</v>
      </c>
    </row>
    <row r="657" spans="1:10" x14ac:dyDescent="0.3">
      <c r="A657" t="s">
        <v>665</v>
      </c>
      <c r="B657" s="1">
        <v>45203</v>
      </c>
      <c r="C657" t="s">
        <v>1213</v>
      </c>
      <c r="D657" t="s">
        <v>1218</v>
      </c>
      <c r="E657" t="s">
        <v>1220</v>
      </c>
      <c r="F657" t="s">
        <v>1225</v>
      </c>
      <c r="G657">
        <v>4</v>
      </c>
      <c r="H657">
        <v>1174</v>
      </c>
      <c r="I657">
        <v>4696</v>
      </c>
      <c r="J657" s="2">
        <v>722.03</v>
      </c>
    </row>
    <row r="658" spans="1:10" x14ac:dyDescent="0.3">
      <c r="A658" t="s">
        <v>666</v>
      </c>
      <c r="B658" s="1">
        <v>45290</v>
      </c>
      <c r="C658" t="s">
        <v>1210</v>
      </c>
      <c r="D658" t="s">
        <v>1216</v>
      </c>
      <c r="E658" t="s">
        <v>1220</v>
      </c>
      <c r="F658" t="s">
        <v>1228</v>
      </c>
      <c r="G658">
        <v>6</v>
      </c>
      <c r="H658">
        <v>2872</v>
      </c>
      <c r="I658">
        <v>17232</v>
      </c>
      <c r="J658" s="2">
        <v>1511.11</v>
      </c>
    </row>
    <row r="659" spans="1:10" x14ac:dyDescent="0.3">
      <c r="A659" t="s">
        <v>667</v>
      </c>
      <c r="B659" s="1">
        <v>45286</v>
      </c>
      <c r="C659" t="s">
        <v>1210</v>
      </c>
      <c r="D659" t="s">
        <v>1214</v>
      </c>
      <c r="E659" t="s">
        <v>1219</v>
      </c>
      <c r="F659" t="s">
        <v>1233</v>
      </c>
      <c r="G659">
        <v>5</v>
      </c>
      <c r="H659">
        <v>4259</v>
      </c>
      <c r="I659">
        <v>21295</v>
      </c>
      <c r="J659" s="2">
        <v>4864.0600000000004</v>
      </c>
    </row>
    <row r="660" spans="1:10" x14ac:dyDescent="0.3">
      <c r="A660" t="s">
        <v>668</v>
      </c>
      <c r="B660" s="1">
        <v>45129</v>
      </c>
      <c r="C660" t="s">
        <v>1212</v>
      </c>
      <c r="D660" t="s">
        <v>1215</v>
      </c>
      <c r="E660" t="s">
        <v>1221</v>
      </c>
      <c r="F660" t="s">
        <v>1229</v>
      </c>
      <c r="G660">
        <v>9</v>
      </c>
      <c r="H660">
        <v>1208</v>
      </c>
      <c r="I660">
        <v>10872</v>
      </c>
      <c r="J660" s="2">
        <v>1022.67</v>
      </c>
    </row>
    <row r="661" spans="1:10" x14ac:dyDescent="0.3">
      <c r="A661" t="s">
        <v>669</v>
      </c>
      <c r="B661" s="1">
        <v>45163</v>
      </c>
      <c r="C661" t="s">
        <v>1211</v>
      </c>
      <c r="D661" t="s">
        <v>1215</v>
      </c>
      <c r="E661" t="s">
        <v>1220</v>
      </c>
      <c r="F661" t="s">
        <v>1228</v>
      </c>
      <c r="G661">
        <v>5</v>
      </c>
      <c r="H661">
        <v>510</v>
      </c>
      <c r="I661">
        <v>2550</v>
      </c>
      <c r="J661" s="2">
        <v>360.73</v>
      </c>
    </row>
    <row r="662" spans="1:10" x14ac:dyDescent="0.3">
      <c r="A662" t="s">
        <v>670</v>
      </c>
      <c r="B662" s="1">
        <v>44956</v>
      </c>
      <c r="C662" t="s">
        <v>1210</v>
      </c>
      <c r="D662" t="s">
        <v>1216</v>
      </c>
      <c r="E662" t="s">
        <v>1222</v>
      </c>
      <c r="F662" t="s">
        <v>1234</v>
      </c>
      <c r="G662">
        <v>2</v>
      </c>
      <c r="H662">
        <v>559</v>
      </c>
      <c r="I662">
        <v>1118</v>
      </c>
      <c r="J662" s="2">
        <v>95.61</v>
      </c>
    </row>
    <row r="663" spans="1:10" x14ac:dyDescent="0.3">
      <c r="A663" t="s">
        <v>671</v>
      </c>
      <c r="B663" s="1">
        <v>45146</v>
      </c>
      <c r="C663" t="s">
        <v>1211</v>
      </c>
      <c r="D663" t="s">
        <v>1218</v>
      </c>
      <c r="E663" t="s">
        <v>1221</v>
      </c>
      <c r="F663" t="s">
        <v>1226</v>
      </c>
      <c r="G663">
        <v>7</v>
      </c>
      <c r="H663">
        <v>1825</v>
      </c>
      <c r="I663">
        <v>12775</v>
      </c>
      <c r="J663" s="2">
        <v>2736.58</v>
      </c>
    </row>
    <row r="664" spans="1:10" x14ac:dyDescent="0.3">
      <c r="A664" t="s">
        <v>672</v>
      </c>
      <c r="B664" s="1">
        <v>45173</v>
      </c>
      <c r="C664" t="s">
        <v>1210</v>
      </c>
      <c r="D664" t="s">
        <v>1216</v>
      </c>
      <c r="E664" t="s">
        <v>1219</v>
      </c>
      <c r="F664" t="s">
        <v>1238</v>
      </c>
      <c r="G664">
        <v>5</v>
      </c>
      <c r="H664">
        <v>1919</v>
      </c>
      <c r="I664">
        <v>9595</v>
      </c>
      <c r="J664" s="2">
        <v>1334.46</v>
      </c>
    </row>
    <row r="665" spans="1:10" x14ac:dyDescent="0.3">
      <c r="A665" t="s">
        <v>673</v>
      </c>
      <c r="B665" s="1">
        <v>45037</v>
      </c>
      <c r="C665" t="s">
        <v>1212</v>
      </c>
      <c r="D665" t="s">
        <v>1218</v>
      </c>
      <c r="E665" t="s">
        <v>1222</v>
      </c>
      <c r="F665" t="s">
        <v>1236</v>
      </c>
      <c r="G665">
        <v>1</v>
      </c>
      <c r="H665">
        <v>477</v>
      </c>
      <c r="I665">
        <v>477</v>
      </c>
      <c r="J665" s="2">
        <v>56.53</v>
      </c>
    </row>
    <row r="666" spans="1:10" x14ac:dyDescent="0.3">
      <c r="A666" t="s">
        <v>674</v>
      </c>
      <c r="B666" s="1">
        <v>45135</v>
      </c>
      <c r="C666" t="s">
        <v>1211</v>
      </c>
      <c r="D666" t="s">
        <v>1214</v>
      </c>
      <c r="E666" t="s">
        <v>1222</v>
      </c>
      <c r="F666" t="s">
        <v>1227</v>
      </c>
      <c r="G666">
        <v>6</v>
      </c>
      <c r="H666">
        <v>1649</v>
      </c>
      <c r="I666">
        <v>9894</v>
      </c>
      <c r="J666" s="2">
        <v>2176.7199999999998</v>
      </c>
    </row>
    <row r="667" spans="1:10" x14ac:dyDescent="0.3">
      <c r="A667" t="s">
        <v>675</v>
      </c>
      <c r="B667" s="1">
        <v>45016</v>
      </c>
      <c r="C667" t="s">
        <v>1212</v>
      </c>
      <c r="D667" t="s">
        <v>1218</v>
      </c>
      <c r="E667" t="s">
        <v>1222</v>
      </c>
      <c r="F667" t="s">
        <v>1236</v>
      </c>
      <c r="G667">
        <v>8</v>
      </c>
      <c r="H667">
        <v>3958</v>
      </c>
      <c r="I667">
        <v>31664</v>
      </c>
      <c r="J667" s="2">
        <v>2811.88</v>
      </c>
    </row>
    <row r="668" spans="1:10" x14ac:dyDescent="0.3">
      <c r="A668" t="s">
        <v>676</v>
      </c>
      <c r="B668" s="1">
        <v>45165</v>
      </c>
      <c r="C668" t="s">
        <v>1213</v>
      </c>
      <c r="D668" t="s">
        <v>1215</v>
      </c>
      <c r="E668" t="s">
        <v>1220</v>
      </c>
      <c r="F668" t="s">
        <v>1228</v>
      </c>
      <c r="G668">
        <v>6</v>
      </c>
      <c r="H668">
        <v>4458</v>
      </c>
      <c r="I668">
        <v>26748</v>
      </c>
      <c r="J668" s="2">
        <v>3145.85</v>
      </c>
    </row>
    <row r="669" spans="1:10" x14ac:dyDescent="0.3">
      <c r="A669" t="s">
        <v>677</v>
      </c>
      <c r="B669" s="1">
        <v>45089</v>
      </c>
      <c r="C669" t="s">
        <v>1213</v>
      </c>
      <c r="D669" t="s">
        <v>1215</v>
      </c>
      <c r="E669" t="s">
        <v>1219</v>
      </c>
      <c r="F669" t="s">
        <v>1233</v>
      </c>
      <c r="G669">
        <v>1</v>
      </c>
      <c r="H669">
        <v>2662</v>
      </c>
      <c r="I669">
        <v>2662</v>
      </c>
      <c r="J669" s="2">
        <v>350.21</v>
      </c>
    </row>
    <row r="670" spans="1:10" x14ac:dyDescent="0.3">
      <c r="A670" t="s">
        <v>678</v>
      </c>
      <c r="B670" s="1">
        <v>44952</v>
      </c>
      <c r="C670" t="s">
        <v>1210</v>
      </c>
      <c r="D670" t="s">
        <v>1215</v>
      </c>
      <c r="E670" t="s">
        <v>1220</v>
      </c>
      <c r="F670" t="s">
        <v>1225</v>
      </c>
      <c r="G670">
        <v>1</v>
      </c>
      <c r="H670">
        <v>606</v>
      </c>
      <c r="I670">
        <v>606</v>
      </c>
      <c r="J670" s="2">
        <v>103.24</v>
      </c>
    </row>
    <row r="671" spans="1:10" x14ac:dyDescent="0.3">
      <c r="A671" t="s">
        <v>679</v>
      </c>
      <c r="B671" s="1">
        <v>45168</v>
      </c>
      <c r="C671" t="s">
        <v>1211</v>
      </c>
      <c r="D671" t="s">
        <v>1216</v>
      </c>
      <c r="E671" t="s">
        <v>1220</v>
      </c>
      <c r="F671" t="s">
        <v>1224</v>
      </c>
      <c r="G671">
        <v>6</v>
      </c>
      <c r="H671">
        <v>909</v>
      </c>
      <c r="I671">
        <v>5454</v>
      </c>
      <c r="J671" s="2">
        <v>1042.8399999999999</v>
      </c>
    </row>
    <row r="672" spans="1:10" x14ac:dyDescent="0.3">
      <c r="A672" t="s">
        <v>680</v>
      </c>
      <c r="B672" s="1">
        <v>44945</v>
      </c>
      <c r="C672" t="s">
        <v>1210</v>
      </c>
      <c r="D672" t="s">
        <v>1214</v>
      </c>
      <c r="E672" t="s">
        <v>1222</v>
      </c>
      <c r="F672" t="s">
        <v>1234</v>
      </c>
      <c r="G672">
        <v>7</v>
      </c>
      <c r="H672">
        <v>4851</v>
      </c>
      <c r="I672">
        <v>33957</v>
      </c>
      <c r="J672" s="2">
        <v>3388.26</v>
      </c>
    </row>
    <row r="673" spans="1:10" x14ac:dyDescent="0.3">
      <c r="A673" t="s">
        <v>681</v>
      </c>
      <c r="B673" s="1">
        <v>45026</v>
      </c>
      <c r="C673" t="s">
        <v>1210</v>
      </c>
      <c r="D673" t="s">
        <v>1217</v>
      </c>
      <c r="E673" t="s">
        <v>1219</v>
      </c>
      <c r="F673" t="s">
        <v>1223</v>
      </c>
      <c r="G673">
        <v>3</v>
      </c>
      <c r="H673">
        <v>2666</v>
      </c>
      <c r="I673">
        <v>7998</v>
      </c>
      <c r="J673" s="2">
        <v>1122.07</v>
      </c>
    </row>
    <row r="674" spans="1:10" x14ac:dyDescent="0.3">
      <c r="A674" t="s">
        <v>682</v>
      </c>
      <c r="B674" s="1">
        <v>44976</v>
      </c>
      <c r="C674" t="s">
        <v>1212</v>
      </c>
      <c r="D674" t="s">
        <v>1214</v>
      </c>
      <c r="E674" t="s">
        <v>1221</v>
      </c>
      <c r="F674" t="s">
        <v>1226</v>
      </c>
      <c r="G674">
        <v>8</v>
      </c>
      <c r="H674">
        <v>4440</v>
      </c>
      <c r="I674">
        <v>35520</v>
      </c>
      <c r="J674" s="2">
        <v>8271.69</v>
      </c>
    </row>
    <row r="675" spans="1:10" x14ac:dyDescent="0.3">
      <c r="A675" t="s">
        <v>683</v>
      </c>
      <c r="B675" s="1">
        <v>45165</v>
      </c>
      <c r="C675" t="s">
        <v>1211</v>
      </c>
      <c r="D675" t="s">
        <v>1216</v>
      </c>
      <c r="E675" t="s">
        <v>1221</v>
      </c>
      <c r="F675" t="s">
        <v>1226</v>
      </c>
      <c r="G675">
        <v>6</v>
      </c>
      <c r="H675">
        <v>1351</v>
      </c>
      <c r="I675">
        <v>8106</v>
      </c>
      <c r="J675" s="2">
        <v>1555.44</v>
      </c>
    </row>
    <row r="676" spans="1:10" x14ac:dyDescent="0.3">
      <c r="A676" t="s">
        <v>684</v>
      </c>
      <c r="B676" s="1">
        <v>45278</v>
      </c>
      <c r="C676" t="s">
        <v>1212</v>
      </c>
      <c r="E676" t="s">
        <v>1221</v>
      </c>
      <c r="F676" t="s">
        <v>1235</v>
      </c>
      <c r="G676">
        <v>4</v>
      </c>
      <c r="H676">
        <v>4724</v>
      </c>
      <c r="I676">
        <v>18896</v>
      </c>
      <c r="J676" s="2">
        <v>2218.6799999999998</v>
      </c>
    </row>
    <row r="677" spans="1:10" x14ac:dyDescent="0.3">
      <c r="A677" t="s">
        <v>685</v>
      </c>
      <c r="B677" s="1">
        <v>45097</v>
      </c>
      <c r="C677" t="s">
        <v>1210</v>
      </c>
      <c r="D677" t="s">
        <v>1218</v>
      </c>
      <c r="E677" t="s">
        <v>1219</v>
      </c>
      <c r="F677" t="s">
        <v>1238</v>
      </c>
      <c r="G677">
        <v>6</v>
      </c>
      <c r="H677">
        <v>4431</v>
      </c>
      <c r="I677">
        <v>26586</v>
      </c>
      <c r="J677" s="2">
        <v>4397.66</v>
      </c>
    </row>
    <row r="678" spans="1:10" x14ac:dyDescent="0.3">
      <c r="A678" t="s">
        <v>686</v>
      </c>
      <c r="B678" s="1">
        <v>45290</v>
      </c>
      <c r="C678" t="s">
        <v>1210</v>
      </c>
      <c r="D678" t="s">
        <v>1217</v>
      </c>
      <c r="E678" t="s">
        <v>1219</v>
      </c>
      <c r="F678" t="s">
        <v>1232</v>
      </c>
      <c r="G678">
        <v>2</v>
      </c>
      <c r="H678">
        <v>4047</v>
      </c>
      <c r="I678">
        <v>8094</v>
      </c>
      <c r="J678" s="2">
        <v>716.61</v>
      </c>
    </row>
    <row r="679" spans="1:10" x14ac:dyDescent="0.3">
      <c r="A679" t="s">
        <v>687</v>
      </c>
      <c r="B679" s="1">
        <v>45072</v>
      </c>
      <c r="C679" t="s">
        <v>1211</v>
      </c>
      <c r="D679" t="s">
        <v>1215</v>
      </c>
      <c r="E679" t="s">
        <v>1222</v>
      </c>
      <c r="G679">
        <v>3</v>
      </c>
      <c r="H679">
        <v>3045</v>
      </c>
      <c r="I679">
        <v>9135</v>
      </c>
      <c r="J679" s="2">
        <v>1899.24</v>
      </c>
    </row>
    <row r="680" spans="1:10" x14ac:dyDescent="0.3">
      <c r="A680" t="s">
        <v>688</v>
      </c>
      <c r="B680" s="1">
        <v>45099</v>
      </c>
      <c r="C680" t="s">
        <v>1210</v>
      </c>
      <c r="D680" t="s">
        <v>1215</v>
      </c>
      <c r="E680" t="s">
        <v>1222</v>
      </c>
      <c r="F680" t="s">
        <v>1234</v>
      </c>
      <c r="G680">
        <v>7</v>
      </c>
      <c r="H680">
        <v>3881</v>
      </c>
      <c r="I680">
        <v>27167</v>
      </c>
      <c r="J680" s="2">
        <v>5981.09</v>
      </c>
    </row>
    <row r="681" spans="1:10" x14ac:dyDescent="0.3">
      <c r="A681" t="s">
        <v>689</v>
      </c>
      <c r="B681" s="1">
        <v>45034</v>
      </c>
      <c r="C681" t="s">
        <v>1213</v>
      </c>
      <c r="D681" t="s">
        <v>1215</v>
      </c>
      <c r="E681" t="s">
        <v>1220</v>
      </c>
      <c r="F681" t="s">
        <v>1225</v>
      </c>
      <c r="G681">
        <v>8</v>
      </c>
      <c r="H681">
        <v>1857</v>
      </c>
      <c r="I681">
        <v>14856</v>
      </c>
      <c r="J681" s="2">
        <v>1787.39</v>
      </c>
    </row>
    <row r="682" spans="1:10" x14ac:dyDescent="0.3">
      <c r="A682" t="s">
        <v>690</v>
      </c>
      <c r="B682" s="1">
        <v>45022</v>
      </c>
      <c r="C682" t="s">
        <v>1212</v>
      </c>
      <c r="D682" t="s">
        <v>1215</v>
      </c>
      <c r="E682" t="s">
        <v>1219</v>
      </c>
      <c r="F682" t="s">
        <v>1233</v>
      </c>
      <c r="G682">
        <v>2</v>
      </c>
      <c r="H682">
        <v>4054</v>
      </c>
      <c r="I682">
        <v>8108</v>
      </c>
      <c r="J682" s="2">
        <v>1315.79</v>
      </c>
    </row>
    <row r="683" spans="1:10" x14ac:dyDescent="0.3">
      <c r="A683" t="s">
        <v>691</v>
      </c>
      <c r="B683" s="1">
        <v>45249</v>
      </c>
      <c r="C683" t="s">
        <v>1211</v>
      </c>
      <c r="D683" t="s">
        <v>1214</v>
      </c>
      <c r="E683" t="s">
        <v>1220</v>
      </c>
      <c r="F683" t="s">
        <v>1224</v>
      </c>
      <c r="G683">
        <v>6</v>
      </c>
      <c r="H683">
        <v>2871</v>
      </c>
      <c r="I683">
        <v>17226</v>
      </c>
      <c r="J683" s="2">
        <v>3967.84</v>
      </c>
    </row>
    <row r="684" spans="1:10" x14ac:dyDescent="0.3">
      <c r="A684" t="s">
        <v>692</v>
      </c>
      <c r="B684" s="1">
        <v>45140</v>
      </c>
      <c r="C684" t="s">
        <v>1213</v>
      </c>
      <c r="D684" t="s">
        <v>1214</v>
      </c>
      <c r="E684" t="s">
        <v>1219</v>
      </c>
      <c r="F684" t="s">
        <v>1232</v>
      </c>
      <c r="G684">
        <v>4</v>
      </c>
      <c r="H684">
        <v>1675</v>
      </c>
      <c r="I684">
        <v>6700</v>
      </c>
      <c r="J684" s="2">
        <v>802.41</v>
      </c>
    </row>
    <row r="685" spans="1:10" x14ac:dyDescent="0.3">
      <c r="A685" t="s">
        <v>693</v>
      </c>
      <c r="B685" s="1">
        <v>45193</v>
      </c>
      <c r="C685" t="s">
        <v>1212</v>
      </c>
      <c r="D685" t="s">
        <v>1214</v>
      </c>
      <c r="E685" t="s">
        <v>1220</v>
      </c>
      <c r="F685" t="s">
        <v>1228</v>
      </c>
      <c r="G685">
        <v>4</v>
      </c>
      <c r="H685">
        <v>2397</v>
      </c>
      <c r="I685">
        <v>9588</v>
      </c>
      <c r="J685" s="2">
        <v>2043.78</v>
      </c>
    </row>
    <row r="686" spans="1:10" x14ac:dyDescent="0.3">
      <c r="A686" t="s">
        <v>694</v>
      </c>
      <c r="B686" s="1">
        <v>45151</v>
      </c>
      <c r="C686" t="s">
        <v>1211</v>
      </c>
      <c r="D686" t="s">
        <v>1218</v>
      </c>
      <c r="E686" t="s">
        <v>1220</v>
      </c>
      <c r="F686" t="s">
        <v>1237</v>
      </c>
      <c r="G686">
        <v>9</v>
      </c>
      <c r="H686">
        <v>2323</v>
      </c>
      <c r="I686">
        <v>20907</v>
      </c>
      <c r="J686" s="2">
        <v>4016.57</v>
      </c>
    </row>
    <row r="687" spans="1:10" x14ac:dyDescent="0.3">
      <c r="A687" t="s">
        <v>695</v>
      </c>
      <c r="B687" s="1">
        <v>45051</v>
      </c>
      <c r="C687" t="s">
        <v>1210</v>
      </c>
      <c r="D687" t="s">
        <v>1215</v>
      </c>
      <c r="E687" t="s">
        <v>1219</v>
      </c>
      <c r="F687" t="s">
        <v>1232</v>
      </c>
      <c r="G687">
        <v>9</v>
      </c>
      <c r="H687">
        <v>2014</v>
      </c>
      <c r="I687">
        <v>18126</v>
      </c>
      <c r="J687" s="2">
        <v>1652.51</v>
      </c>
    </row>
    <row r="688" spans="1:10" x14ac:dyDescent="0.3">
      <c r="A688" t="s">
        <v>696</v>
      </c>
      <c r="B688" s="1">
        <v>45163</v>
      </c>
      <c r="C688" t="s">
        <v>1213</v>
      </c>
      <c r="D688" t="s">
        <v>1218</v>
      </c>
      <c r="E688" t="s">
        <v>1219</v>
      </c>
      <c r="F688" t="s">
        <v>1223</v>
      </c>
      <c r="G688">
        <v>7</v>
      </c>
      <c r="H688">
        <v>4325</v>
      </c>
      <c r="I688">
        <v>30275</v>
      </c>
      <c r="J688" s="2">
        <v>6417.37</v>
      </c>
    </row>
    <row r="689" spans="1:10" x14ac:dyDescent="0.3">
      <c r="A689" t="s">
        <v>697</v>
      </c>
      <c r="B689" s="1">
        <v>45053</v>
      </c>
      <c r="C689" t="s">
        <v>1212</v>
      </c>
      <c r="D689" t="s">
        <v>1218</v>
      </c>
      <c r="E689" t="s">
        <v>1220</v>
      </c>
      <c r="G689">
        <v>9</v>
      </c>
      <c r="H689">
        <v>3765</v>
      </c>
      <c r="I689">
        <v>33885</v>
      </c>
      <c r="J689" s="2">
        <v>4975.26</v>
      </c>
    </row>
    <row r="690" spans="1:10" x14ac:dyDescent="0.3">
      <c r="A690" t="s">
        <v>698</v>
      </c>
      <c r="B690" s="1">
        <v>45025</v>
      </c>
      <c r="C690" t="s">
        <v>1210</v>
      </c>
      <c r="D690" t="s">
        <v>1214</v>
      </c>
      <c r="E690" t="s">
        <v>1220</v>
      </c>
      <c r="F690" t="s">
        <v>1237</v>
      </c>
      <c r="G690">
        <v>4</v>
      </c>
      <c r="H690">
        <v>2295</v>
      </c>
      <c r="I690">
        <v>9180</v>
      </c>
      <c r="J690" s="2">
        <v>988.81</v>
      </c>
    </row>
    <row r="691" spans="1:10" x14ac:dyDescent="0.3">
      <c r="A691" t="s">
        <v>699</v>
      </c>
      <c r="B691" s="1">
        <v>45135</v>
      </c>
      <c r="C691" t="s">
        <v>1213</v>
      </c>
      <c r="D691" t="s">
        <v>1217</v>
      </c>
      <c r="E691" t="s">
        <v>1222</v>
      </c>
      <c r="F691" t="s">
        <v>1234</v>
      </c>
      <c r="G691">
        <v>6</v>
      </c>
      <c r="H691">
        <v>4980</v>
      </c>
      <c r="I691">
        <v>29880</v>
      </c>
      <c r="J691" s="2">
        <v>3937.66</v>
      </c>
    </row>
    <row r="692" spans="1:10" x14ac:dyDescent="0.3">
      <c r="A692" t="s">
        <v>700</v>
      </c>
      <c r="B692" s="1">
        <v>45167</v>
      </c>
      <c r="C692" t="s">
        <v>1210</v>
      </c>
      <c r="E692" t="s">
        <v>1221</v>
      </c>
      <c r="F692" t="s">
        <v>1231</v>
      </c>
      <c r="G692">
        <v>2</v>
      </c>
      <c r="H692">
        <v>3266</v>
      </c>
      <c r="I692">
        <v>6532</v>
      </c>
      <c r="J692" s="2">
        <v>566.29999999999995</v>
      </c>
    </row>
    <row r="693" spans="1:10" x14ac:dyDescent="0.3">
      <c r="A693" t="s">
        <v>701</v>
      </c>
      <c r="B693" s="1">
        <v>45230</v>
      </c>
      <c r="C693" t="s">
        <v>1211</v>
      </c>
      <c r="D693" t="s">
        <v>1216</v>
      </c>
      <c r="E693" t="s">
        <v>1219</v>
      </c>
      <c r="G693">
        <v>6</v>
      </c>
      <c r="H693">
        <v>4786</v>
      </c>
      <c r="I693">
        <v>28716</v>
      </c>
      <c r="J693" s="2">
        <v>3793.2</v>
      </c>
    </row>
    <row r="694" spans="1:10" x14ac:dyDescent="0.3">
      <c r="A694" t="s">
        <v>702</v>
      </c>
      <c r="B694" s="1">
        <v>44998</v>
      </c>
      <c r="C694" t="s">
        <v>1210</v>
      </c>
      <c r="D694" t="s">
        <v>1216</v>
      </c>
      <c r="E694" t="s">
        <v>1221</v>
      </c>
      <c r="F694" t="s">
        <v>1231</v>
      </c>
      <c r="G694">
        <v>4</v>
      </c>
      <c r="H694">
        <v>2530</v>
      </c>
      <c r="I694">
        <v>10120</v>
      </c>
      <c r="J694" s="2">
        <v>1783.47</v>
      </c>
    </row>
    <row r="695" spans="1:10" x14ac:dyDescent="0.3">
      <c r="A695" t="s">
        <v>703</v>
      </c>
      <c r="B695" s="1">
        <v>45218</v>
      </c>
      <c r="C695" t="s">
        <v>1212</v>
      </c>
      <c r="D695" t="s">
        <v>1215</v>
      </c>
      <c r="E695" t="s">
        <v>1221</v>
      </c>
      <c r="F695" t="s">
        <v>1231</v>
      </c>
      <c r="G695">
        <v>1</v>
      </c>
      <c r="H695">
        <v>4548</v>
      </c>
      <c r="I695">
        <v>4548</v>
      </c>
      <c r="J695" s="2">
        <v>609.36</v>
      </c>
    </row>
    <row r="696" spans="1:10" x14ac:dyDescent="0.3">
      <c r="A696" t="s">
        <v>704</v>
      </c>
      <c r="B696" s="1">
        <v>45101</v>
      </c>
      <c r="C696" t="s">
        <v>1213</v>
      </c>
      <c r="D696" t="s">
        <v>1215</v>
      </c>
      <c r="E696" t="s">
        <v>1220</v>
      </c>
      <c r="F696" t="s">
        <v>1224</v>
      </c>
      <c r="G696">
        <v>4</v>
      </c>
      <c r="H696">
        <v>3043</v>
      </c>
      <c r="I696">
        <v>12172</v>
      </c>
      <c r="J696" s="2">
        <v>1078.3800000000001</v>
      </c>
    </row>
    <row r="697" spans="1:10" x14ac:dyDescent="0.3">
      <c r="A697" t="s">
        <v>705</v>
      </c>
      <c r="B697" s="1">
        <v>45211</v>
      </c>
      <c r="C697" t="s">
        <v>1210</v>
      </c>
      <c r="D697" t="s">
        <v>1216</v>
      </c>
      <c r="E697" t="s">
        <v>1220</v>
      </c>
      <c r="F697" t="s">
        <v>1237</v>
      </c>
      <c r="G697">
        <v>7</v>
      </c>
      <c r="H697">
        <v>3395</v>
      </c>
      <c r="I697">
        <v>23765</v>
      </c>
      <c r="J697" s="2">
        <v>4967.95</v>
      </c>
    </row>
    <row r="698" spans="1:10" x14ac:dyDescent="0.3">
      <c r="A698" t="s">
        <v>706</v>
      </c>
      <c r="B698" s="1">
        <v>44990</v>
      </c>
      <c r="C698" t="s">
        <v>1212</v>
      </c>
      <c r="D698" t="s">
        <v>1214</v>
      </c>
      <c r="E698" t="s">
        <v>1219</v>
      </c>
      <c r="F698" t="s">
        <v>1233</v>
      </c>
      <c r="G698">
        <v>4</v>
      </c>
      <c r="H698">
        <v>4756</v>
      </c>
      <c r="I698">
        <v>19024</v>
      </c>
      <c r="J698" s="2">
        <v>3371.8</v>
      </c>
    </row>
    <row r="699" spans="1:10" x14ac:dyDescent="0.3">
      <c r="A699" t="s">
        <v>707</v>
      </c>
      <c r="B699" s="1">
        <v>45150</v>
      </c>
      <c r="C699" t="s">
        <v>1213</v>
      </c>
      <c r="D699" t="s">
        <v>1217</v>
      </c>
      <c r="E699" t="s">
        <v>1219</v>
      </c>
      <c r="F699" t="s">
        <v>1223</v>
      </c>
      <c r="G699">
        <v>4</v>
      </c>
      <c r="H699">
        <v>1387</v>
      </c>
      <c r="I699">
        <v>5548</v>
      </c>
      <c r="J699" s="2">
        <v>828.38</v>
      </c>
    </row>
    <row r="700" spans="1:10" x14ac:dyDescent="0.3">
      <c r="A700" t="s">
        <v>708</v>
      </c>
      <c r="B700" s="1">
        <v>44960</v>
      </c>
      <c r="C700" t="s">
        <v>1212</v>
      </c>
      <c r="D700" t="s">
        <v>1214</v>
      </c>
      <c r="E700" t="s">
        <v>1222</v>
      </c>
      <c r="F700" t="s">
        <v>1230</v>
      </c>
      <c r="G700">
        <v>4</v>
      </c>
      <c r="H700">
        <v>244</v>
      </c>
      <c r="I700">
        <v>976</v>
      </c>
      <c r="J700" s="2">
        <v>134.08000000000001</v>
      </c>
    </row>
    <row r="701" spans="1:10" x14ac:dyDescent="0.3">
      <c r="A701" t="s">
        <v>709</v>
      </c>
      <c r="B701" s="1">
        <v>45255</v>
      </c>
      <c r="C701" t="s">
        <v>1210</v>
      </c>
      <c r="D701" t="s">
        <v>1214</v>
      </c>
      <c r="E701" t="s">
        <v>1220</v>
      </c>
      <c r="F701" t="s">
        <v>1225</v>
      </c>
      <c r="G701">
        <v>4</v>
      </c>
      <c r="H701">
        <v>2781</v>
      </c>
      <c r="I701">
        <v>11124</v>
      </c>
      <c r="J701" s="2">
        <v>1527.8</v>
      </c>
    </row>
    <row r="702" spans="1:10" x14ac:dyDescent="0.3">
      <c r="A702" t="s">
        <v>710</v>
      </c>
      <c r="B702" s="1">
        <v>44935</v>
      </c>
      <c r="C702" t="s">
        <v>1213</v>
      </c>
      <c r="D702" t="s">
        <v>1216</v>
      </c>
      <c r="E702" t="s">
        <v>1219</v>
      </c>
      <c r="F702" t="s">
        <v>1233</v>
      </c>
      <c r="G702">
        <v>6</v>
      </c>
      <c r="H702">
        <v>3606</v>
      </c>
      <c r="I702">
        <v>21636</v>
      </c>
      <c r="J702" s="2">
        <v>4769.25</v>
      </c>
    </row>
    <row r="703" spans="1:10" x14ac:dyDescent="0.3">
      <c r="A703" t="s">
        <v>711</v>
      </c>
      <c r="B703" s="1">
        <v>45001</v>
      </c>
      <c r="C703" t="s">
        <v>1212</v>
      </c>
      <c r="D703" t="s">
        <v>1217</v>
      </c>
      <c r="E703" t="s">
        <v>1220</v>
      </c>
      <c r="F703" t="s">
        <v>1225</v>
      </c>
      <c r="G703">
        <v>5</v>
      </c>
      <c r="H703">
        <v>1115</v>
      </c>
      <c r="I703">
        <v>5575</v>
      </c>
      <c r="J703" s="2">
        <v>1068.0899999999999</v>
      </c>
    </row>
    <row r="704" spans="1:10" x14ac:dyDescent="0.3">
      <c r="A704" t="s">
        <v>712</v>
      </c>
      <c r="B704" s="1">
        <v>44994</v>
      </c>
      <c r="C704" t="s">
        <v>1210</v>
      </c>
      <c r="D704" t="s">
        <v>1217</v>
      </c>
      <c r="E704" t="s">
        <v>1221</v>
      </c>
      <c r="F704" t="s">
        <v>1231</v>
      </c>
      <c r="G704">
        <v>2</v>
      </c>
      <c r="H704">
        <v>4913</v>
      </c>
      <c r="I704">
        <v>9826</v>
      </c>
      <c r="J704" s="2">
        <v>1629.01</v>
      </c>
    </row>
    <row r="705" spans="1:10" x14ac:dyDescent="0.3">
      <c r="A705" t="s">
        <v>713</v>
      </c>
      <c r="B705" s="1">
        <v>45265</v>
      </c>
      <c r="C705" t="s">
        <v>1210</v>
      </c>
      <c r="D705" t="s">
        <v>1215</v>
      </c>
      <c r="E705" t="s">
        <v>1220</v>
      </c>
      <c r="F705" t="s">
        <v>1237</v>
      </c>
      <c r="G705">
        <v>3</v>
      </c>
      <c r="H705">
        <v>2688</v>
      </c>
      <c r="I705">
        <v>8064</v>
      </c>
      <c r="J705" s="2">
        <v>1340.27</v>
      </c>
    </row>
    <row r="706" spans="1:10" x14ac:dyDescent="0.3">
      <c r="A706" t="s">
        <v>714</v>
      </c>
      <c r="B706" s="1">
        <v>45242</v>
      </c>
      <c r="C706" t="s">
        <v>1213</v>
      </c>
      <c r="D706" t="s">
        <v>1218</v>
      </c>
      <c r="E706" t="s">
        <v>1221</v>
      </c>
      <c r="F706" t="s">
        <v>1229</v>
      </c>
      <c r="G706">
        <v>4</v>
      </c>
      <c r="H706">
        <v>1361</v>
      </c>
      <c r="I706">
        <v>5444</v>
      </c>
      <c r="J706" s="2">
        <v>831.15</v>
      </c>
    </row>
    <row r="707" spans="1:10" x14ac:dyDescent="0.3">
      <c r="A707" t="s">
        <v>715</v>
      </c>
      <c r="B707" s="1">
        <v>45014</v>
      </c>
      <c r="C707" t="s">
        <v>1212</v>
      </c>
      <c r="D707" t="s">
        <v>1214</v>
      </c>
      <c r="E707" t="s">
        <v>1221</v>
      </c>
      <c r="F707" t="s">
        <v>1226</v>
      </c>
      <c r="G707">
        <v>7</v>
      </c>
      <c r="H707">
        <v>444</v>
      </c>
      <c r="I707">
        <v>3108</v>
      </c>
      <c r="J707" s="2">
        <v>475.64</v>
      </c>
    </row>
    <row r="708" spans="1:10" x14ac:dyDescent="0.3">
      <c r="A708" t="s">
        <v>716</v>
      </c>
      <c r="B708" s="1">
        <v>45232</v>
      </c>
      <c r="C708" t="s">
        <v>1213</v>
      </c>
      <c r="D708" t="s">
        <v>1218</v>
      </c>
      <c r="E708" t="s">
        <v>1219</v>
      </c>
      <c r="F708" t="s">
        <v>1232</v>
      </c>
      <c r="G708">
        <v>4</v>
      </c>
      <c r="H708">
        <v>3598</v>
      </c>
      <c r="I708">
        <v>14392</v>
      </c>
      <c r="J708" s="2">
        <v>1191</v>
      </c>
    </row>
    <row r="709" spans="1:10" x14ac:dyDescent="0.3">
      <c r="A709" t="s">
        <v>717</v>
      </c>
      <c r="B709" s="1">
        <v>45032</v>
      </c>
      <c r="C709" t="s">
        <v>1210</v>
      </c>
      <c r="D709" t="s">
        <v>1217</v>
      </c>
      <c r="E709" t="s">
        <v>1222</v>
      </c>
      <c r="F709" t="s">
        <v>1227</v>
      </c>
      <c r="G709">
        <v>1</v>
      </c>
      <c r="H709">
        <v>4854</v>
      </c>
      <c r="I709">
        <v>4854</v>
      </c>
      <c r="J709" s="2">
        <v>561.87</v>
      </c>
    </row>
    <row r="710" spans="1:10" x14ac:dyDescent="0.3">
      <c r="A710" t="s">
        <v>718</v>
      </c>
      <c r="B710" s="1">
        <v>45222</v>
      </c>
      <c r="C710" t="s">
        <v>1211</v>
      </c>
      <c r="D710" t="s">
        <v>1214</v>
      </c>
      <c r="E710" t="s">
        <v>1220</v>
      </c>
      <c r="F710" t="s">
        <v>1224</v>
      </c>
      <c r="G710">
        <v>4</v>
      </c>
      <c r="H710">
        <v>1331</v>
      </c>
      <c r="I710">
        <v>5324</v>
      </c>
      <c r="J710" s="2">
        <v>481.14</v>
      </c>
    </row>
    <row r="711" spans="1:10" x14ac:dyDescent="0.3">
      <c r="A711" t="s">
        <v>719</v>
      </c>
      <c r="B711" s="1">
        <v>45209</v>
      </c>
      <c r="C711" t="s">
        <v>1212</v>
      </c>
      <c r="D711" t="s">
        <v>1217</v>
      </c>
      <c r="E711" t="s">
        <v>1219</v>
      </c>
      <c r="F711" t="s">
        <v>1232</v>
      </c>
      <c r="G711">
        <v>3</v>
      </c>
      <c r="H711">
        <v>211</v>
      </c>
      <c r="I711">
        <v>633</v>
      </c>
      <c r="J711" s="2">
        <v>66.97</v>
      </c>
    </row>
    <row r="712" spans="1:10" x14ac:dyDescent="0.3">
      <c r="A712" t="s">
        <v>720</v>
      </c>
      <c r="B712" s="1">
        <v>45210</v>
      </c>
      <c r="C712" t="s">
        <v>1212</v>
      </c>
      <c r="D712" t="s">
        <v>1215</v>
      </c>
      <c r="E712" t="s">
        <v>1222</v>
      </c>
      <c r="F712" t="s">
        <v>1236</v>
      </c>
      <c r="G712">
        <v>2</v>
      </c>
      <c r="H712">
        <v>2277</v>
      </c>
      <c r="I712">
        <v>4554</v>
      </c>
      <c r="J712" s="2">
        <v>657.04</v>
      </c>
    </row>
    <row r="713" spans="1:10" x14ac:dyDescent="0.3">
      <c r="A713" t="s">
        <v>721</v>
      </c>
      <c r="B713" s="1">
        <v>44968</v>
      </c>
      <c r="C713" t="s">
        <v>1210</v>
      </c>
      <c r="D713" t="s">
        <v>1215</v>
      </c>
      <c r="E713" t="s">
        <v>1220</v>
      </c>
      <c r="F713" t="s">
        <v>1224</v>
      </c>
      <c r="G713">
        <v>8</v>
      </c>
      <c r="H713">
        <v>1044</v>
      </c>
      <c r="I713">
        <v>8352</v>
      </c>
      <c r="J713" s="2">
        <v>1606.87</v>
      </c>
    </row>
    <row r="714" spans="1:10" x14ac:dyDescent="0.3">
      <c r="A714" t="s">
        <v>722</v>
      </c>
      <c r="B714" s="1">
        <v>45289</v>
      </c>
      <c r="C714" t="s">
        <v>1210</v>
      </c>
      <c r="D714" t="s">
        <v>1218</v>
      </c>
      <c r="E714" t="s">
        <v>1220</v>
      </c>
      <c r="F714" t="s">
        <v>1224</v>
      </c>
      <c r="G714">
        <v>6</v>
      </c>
      <c r="H714">
        <v>384</v>
      </c>
      <c r="I714">
        <v>2304</v>
      </c>
      <c r="J714" s="2">
        <v>517.03</v>
      </c>
    </row>
    <row r="715" spans="1:10" x14ac:dyDescent="0.3">
      <c r="A715" t="s">
        <v>723</v>
      </c>
      <c r="B715" s="1">
        <v>44936</v>
      </c>
      <c r="C715" t="s">
        <v>1213</v>
      </c>
      <c r="D715" t="s">
        <v>1218</v>
      </c>
      <c r="E715" t="s">
        <v>1221</v>
      </c>
      <c r="F715" t="s">
        <v>1229</v>
      </c>
      <c r="G715">
        <v>9</v>
      </c>
      <c r="H715">
        <v>4883</v>
      </c>
      <c r="I715">
        <v>43947</v>
      </c>
      <c r="J715" s="2">
        <v>3723.78</v>
      </c>
    </row>
    <row r="716" spans="1:10" x14ac:dyDescent="0.3">
      <c r="A716" t="s">
        <v>724</v>
      </c>
      <c r="B716" s="1">
        <v>45050</v>
      </c>
      <c r="C716" t="s">
        <v>1213</v>
      </c>
      <c r="D716" t="s">
        <v>1214</v>
      </c>
      <c r="E716" t="s">
        <v>1220</v>
      </c>
      <c r="F716" t="s">
        <v>1224</v>
      </c>
      <c r="G716">
        <v>4</v>
      </c>
      <c r="H716">
        <v>4355</v>
      </c>
      <c r="I716">
        <v>17420</v>
      </c>
      <c r="J716" s="2">
        <v>3695.96</v>
      </c>
    </row>
    <row r="717" spans="1:10" x14ac:dyDescent="0.3">
      <c r="A717" t="s">
        <v>725</v>
      </c>
      <c r="B717" s="1">
        <v>45082</v>
      </c>
      <c r="C717" t="s">
        <v>1213</v>
      </c>
      <c r="D717" t="s">
        <v>1215</v>
      </c>
      <c r="E717" t="s">
        <v>1220</v>
      </c>
      <c r="F717" t="s">
        <v>1237</v>
      </c>
      <c r="G717">
        <v>9</v>
      </c>
      <c r="H717">
        <v>726</v>
      </c>
      <c r="I717">
        <v>6534</v>
      </c>
      <c r="J717" s="2">
        <v>1511.74</v>
      </c>
    </row>
    <row r="718" spans="1:10" x14ac:dyDescent="0.3">
      <c r="A718" t="s">
        <v>726</v>
      </c>
      <c r="B718" s="1">
        <v>45283</v>
      </c>
      <c r="C718" t="s">
        <v>1211</v>
      </c>
      <c r="D718" t="s">
        <v>1217</v>
      </c>
      <c r="E718" t="s">
        <v>1219</v>
      </c>
      <c r="F718" t="s">
        <v>1223</v>
      </c>
      <c r="G718">
        <v>5</v>
      </c>
      <c r="H718">
        <v>4177</v>
      </c>
      <c r="I718">
        <v>20885</v>
      </c>
      <c r="J718" s="2">
        <v>3611.82</v>
      </c>
    </row>
    <row r="719" spans="1:10" x14ac:dyDescent="0.3">
      <c r="A719" t="s">
        <v>727</v>
      </c>
      <c r="B719" s="1">
        <v>44948</v>
      </c>
      <c r="C719" t="s">
        <v>1211</v>
      </c>
      <c r="D719" t="s">
        <v>1215</v>
      </c>
      <c r="E719" t="s">
        <v>1221</v>
      </c>
      <c r="F719" t="s">
        <v>1229</v>
      </c>
      <c r="G719">
        <v>6</v>
      </c>
      <c r="H719">
        <v>4331</v>
      </c>
      <c r="I719">
        <v>25986</v>
      </c>
      <c r="J719" s="2">
        <v>6458.75</v>
      </c>
    </row>
    <row r="720" spans="1:10" x14ac:dyDescent="0.3">
      <c r="A720" t="s">
        <v>728</v>
      </c>
      <c r="B720" s="1">
        <v>45090</v>
      </c>
      <c r="C720" t="s">
        <v>1213</v>
      </c>
      <c r="D720" t="s">
        <v>1217</v>
      </c>
      <c r="E720" t="s">
        <v>1221</v>
      </c>
      <c r="F720" t="s">
        <v>1226</v>
      </c>
      <c r="G720">
        <v>9</v>
      </c>
      <c r="H720">
        <v>1319</v>
      </c>
      <c r="I720">
        <v>11871</v>
      </c>
      <c r="J720" s="2">
        <v>2314.62</v>
      </c>
    </row>
    <row r="721" spans="1:10" x14ac:dyDescent="0.3">
      <c r="A721" t="s">
        <v>729</v>
      </c>
      <c r="B721" s="1">
        <v>45113</v>
      </c>
      <c r="C721" t="s">
        <v>1212</v>
      </c>
      <c r="D721" t="s">
        <v>1216</v>
      </c>
      <c r="E721" t="s">
        <v>1220</v>
      </c>
      <c r="F721" t="s">
        <v>1237</v>
      </c>
      <c r="G721">
        <v>7</v>
      </c>
      <c r="H721">
        <v>679</v>
      </c>
      <c r="I721">
        <v>4753</v>
      </c>
      <c r="J721" s="2">
        <v>991.37</v>
      </c>
    </row>
    <row r="722" spans="1:10" x14ac:dyDescent="0.3">
      <c r="A722" t="s">
        <v>730</v>
      </c>
      <c r="B722" s="1">
        <v>45124</v>
      </c>
      <c r="C722" t="s">
        <v>1213</v>
      </c>
      <c r="D722" t="s">
        <v>1218</v>
      </c>
      <c r="E722" t="s">
        <v>1222</v>
      </c>
      <c r="F722" t="s">
        <v>1236</v>
      </c>
      <c r="G722">
        <v>3</v>
      </c>
      <c r="H722">
        <v>4014</v>
      </c>
      <c r="I722">
        <v>12042</v>
      </c>
      <c r="J722" s="2">
        <v>996.61</v>
      </c>
    </row>
    <row r="723" spans="1:10" x14ac:dyDescent="0.3">
      <c r="A723" t="s">
        <v>731</v>
      </c>
      <c r="B723" s="1">
        <v>44970</v>
      </c>
      <c r="C723" t="s">
        <v>1212</v>
      </c>
      <c r="D723" t="s">
        <v>1218</v>
      </c>
      <c r="E723" t="s">
        <v>1222</v>
      </c>
      <c r="F723" t="s">
        <v>1227</v>
      </c>
      <c r="G723">
        <v>7</v>
      </c>
      <c r="H723">
        <v>3829</v>
      </c>
      <c r="I723">
        <v>26803</v>
      </c>
      <c r="J723" s="2">
        <v>2757.44</v>
      </c>
    </row>
    <row r="724" spans="1:10" x14ac:dyDescent="0.3">
      <c r="A724" t="s">
        <v>732</v>
      </c>
      <c r="B724" s="1">
        <v>45269</v>
      </c>
      <c r="C724" t="s">
        <v>1213</v>
      </c>
      <c r="D724" t="s">
        <v>1214</v>
      </c>
      <c r="E724" t="s">
        <v>1220</v>
      </c>
      <c r="F724" t="s">
        <v>1237</v>
      </c>
      <c r="G724">
        <v>2</v>
      </c>
      <c r="H724">
        <v>2356</v>
      </c>
      <c r="I724">
        <v>4712</v>
      </c>
      <c r="J724" s="2">
        <v>1093.3</v>
      </c>
    </row>
    <row r="725" spans="1:10" x14ac:dyDescent="0.3">
      <c r="A725" t="s">
        <v>733</v>
      </c>
      <c r="B725" s="1">
        <v>45199</v>
      </c>
      <c r="C725" t="s">
        <v>1213</v>
      </c>
      <c r="D725" t="s">
        <v>1214</v>
      </c>
      <c r="E725" t="s">
        <v>1220</v>
      </c>
      <c r="F725" t="s">
        <v>1237</v>
      </c>
      <c r="G725">
        <v>1</v>
      </c>
      <c r="H725">
        <v>1468</v>
      </c>
      <c r="I725">
        <v>1468</v>
      </c>
      <c r="J725" s="2">
        <v>295.16000000000003</v>
      </c>
    </row>
    <row r="726" spans="1:10" x14ac:dyDescent="0.3">
      <c r="A726" t="s">
        <v>734</v>
      </c>
      <c r="B726" s="1">
        <v>45138</v>
      </c>
      <c r="C726" t="s">
        <v>1210</v>
      </c>
      <c r="D726" t="s">
        <v>1215</v>
      </c>
      <c r="E726" t="s">
        <v>1220</v>
      </c>
      <c r="F726" t="s">
        <v>1225</v>
      </c>
      <c r="G726">
        <v>7</v>
      </c>
      <c r="H726">
        <v>1135</v>
      </c>
      <c r="I726">
        <v>7945</v>
      </c>
      <c r="J726" s="2">
        <v>1843.63</v>
      </c>
    </row>
    <row r="727" spans="1:10" x14ac:dyDescent="0.3">
      <c r="A727" t="s">
        <v>735</v>
      </c>
      <c r="B727" s="1">
        <v>45204</v>
      </c>
      <c r="C727" t="s">
        <v>1211</v>
      </c>
      <c r="D727" t="s">
        <v>1215</v>
      </c>
      <c r="E727" t="s">
        <v>1222</v>
      </c>
      <c r="G727">
        <v>6</v>
      </c>
      <c r="H727">
        <v>1734</v>
      </c>
      <c r="I727">
        <v>10404</v>
      </c>
      <c r="J727" s="2">
        <v>1803.1</v>
      </c>
    </row>
    <row r="728" spans="1:10" x14ac:dyDescent="0.3">
      <c r="A728" t="s">
        <v>736</v>
      </c>
      <c r="B728" s="1">
        <v>45269</v>
      </c>
      <c r="C728" t="s">
        <v>1213</v>
      </c>
      <c r="D728" t="s">
        <v>1214</v>
      </c>
      <c r="E728" t="s">
        <v>1222</v>
      </c>
      <c r="F728" t="s">
        <v>1236</v>
      </c>
      <c r="G728">
        <v>9</v>
      </c>
      <c r="H728">
        <v>1470</v>
      </c>
      <c r="I728">
        <v>13230</v>
      </c>
      <c r="J728" s="2">
        <v>2138.0700000000002</v>
      </c>
    </row>
    <row r="729" spans="1:10" x14ac:dyDescent="0.3">
      <c r="A729" t="s">
        <v>737</v>
      </c>
      <c r="B729" s="1">
        <v>44980</v>
      </c>
      <c r="C729" t="s">
        <v>1211</v>
      </c>
      <c r="D729" t="s">
        <v>1214</v>
      </c>
      <c r="E729" t="s">
        <v>1219</v>
      </c>
      <c r="F729" t="s">
        <v>1238</v>
      </c>
      <c r="G729">
        <v>6</v>
      </c>
      <c r="H729">
        <v>1567</v>
      </c>
      <c r="I729">
        <v>9402</v>
      </c>
      <c r="J729" s="2">
        <v>1399.05</v>
      </c>
    </row>
    <row r="730" spans="1:10" x14ac:dyDescent="0.3">
      <c r="A730" t="s">
        <v>738</v>
      </c>
      <c r="B730" s="1">
        <v>45037</v>
      </c>
      <c r="C730" t="s">
        <v>1212</v>
      </c>
      <c r="D730" t="s">
        <v>1218</v>
      </c>
      <c r="E730" t="s">
        <v>1221</v>
      </c>
      <c r="F730" t="s">
        <v>1229</v>
      </c>
      <c r="G730">
        <v>3</v>
      </c>
      <c r="H730">
        <v>2440</v>
      </c>
      <c r="I730">
        <v>7320</v>
      </c>
      <c r="J730" s="2">
        <v>983.84</v>
      </c>
    </row>
    <row r="731" spans="1:10" x14ac:dyDescent="0.3">
      <c r="A731" t="s">
        <v>739</v>
      </c>
      <c r="B731" s="1">
        <v>45087</v>
      </c>
      <c r="C731" t="s">
        <v>1210</v>
      </c>
      <c r="D731" t="s">
        <v>1216</v>
      </c>
      <c r="E731" t="s">
        <v>1220</v>
      </c>
      <c r="F731" t="s">
        <v>1228</v>
      </c>
      <c r="G731">
        <v>4</v>
      </c>
      <c r="H731">
        <v>4303</v>
      </c>
      <c r="I731">
        <v>17212</v>
      </c>
      <c r="J731" s="2">
        <v>2299.36</v>
      </c>
    </row>
    <row r="732" spans="1:10" x14ac:dyDescent="0.3">
      <c r="A732" t="s">
        <v>740</v>
      </c>
      <c r="B732" s="1">
        <v>45093</v>
      </c>
      <c r="C732" t="s">
        <v>1213</v>
      </c>
      <c r="D732" t="s">
        <v>1214</v>
      </c>
      <c r="E732" t="s">
        <v>1219</v>
      </c>
      <c r="F732" t="s">
        <v>1232</v>
      </c>
      <c r="G732">
        <v>4</v>
      </c>
      <c r="H732">
        <v>1844</v>
      </c>
      <c r="I732">
        <v>7376</v>
      </c>
      <c r="J732" s="2">
        <v>912.02</v>
      </c>
    </row>
    <row r="733" spans="1:10" x14ac:dyDescent="0.3">
      <c r="A733" t="s">
        <v>741</v>
      </c>
      <c r="B733" s="1">
        <v>45114</v>
      </c>
      <c r="C733" t="s">
        <v>1212</v>
      </c>
      <c r="D733" t="s">
        <v>1216</v>
      </c>
      <c r="E733" t="s">
        <v>1220</v>
      </c>
      <c r="F733" t="s">
        <v>1237</v>
      </c>
      <c r="G733">
        <v>6</v>
      </c>
      <c r="H733">
        <v>370</v>
      </c>
      <c r="I733">
        <v>2220</v>
      </c>
      <c r="J733" s="2">
        <v>248.04</v>
      </c>
    </row>
    <row r="734" spans="1:10" x14ac:dyDescent="0.3">
      <c r="A734" t="s">
        <v>742</v>
      </c>
      <c r="B734" s="1">
        <v>45126</v>
      </c>
      <c r="C734" t="s">
        <v>1211</v>
      </c>
      <c r="D734" t="s">
        <v>1217</v>
      </c>
      <c r="E734" t="s">
        <v>1221</v>
      </c>
      <c r="F734" t="s">
        <v>1235</v>
      </c>
      <c r="G734">
        <v>5</v>
      </c>
      <c r="H734">
        <v>4125</v>
      </c>
      <c r="I734">
        <v>20625</v>
      </c>
      <c r="J734" s="2">
        <v>2465.35</v>
      </c>
    </row>
    <row r="735" spans="1:10" x14ac:dyDescent="0.3">
      <c r="A735" t="s">
        <v>743</v>
      </c>
      <c r="B735" s="1">
        <v>45063</v>
      </c>
      <c r="C735" t="s">
        <v>1213</v>
      </c>
      <c r="D735" t="s">
        <v>1214</v>
      </c>
      <c r="E735" t="s">
        <v>1221</v>
      </c>
      <c r="F735" t="s">
        <v>1235</v>
      </c>
      <c r="G735">
        <v>7</v>
      </c>
      <c r="H735">
        <v>498</v>
      </c>
      <c r="I735">
        <v>3486</v>
      </c>
      <c r="J735" s="2">
        <v>443.54</v>
      </c>
    </row>
    <row r="736" spans="1:10" x14ac:dyDescent="0.3">
      <c r="A736" t="s">
        <v>744</v>
      </c>
      <c r="B736" s="1">
        <v>45193</v>
      </c>
      <c r="C736" t="s">
        <v>1211</v>
      </c>
      <c r="D736" t="s">
        <v>1217</v>
      </c>
      <c r="E736" t="s">
        <v>1221</v>
      </c>
      <c r="F736" t="s">
        <v>1235</v>
      </c>
      <c r="G736">
        <v>3</v>
      </c>
      <c r="H736">
        <v>4262</v>
      </c>
      <c r="I736">
        <v>12786</v>
      </c>
      <c r="J736" s="2">
        <v>1167.8499999999999</v>
      </c>
    </row>
    <row r="737" spans="1:10" x14ac:dyDescent="0.3">
      <c r="A737" t="s">
        <v>745</v>
      </c>
      <c r="B737" s="1">
        <v>45156</v>
      </c>
      <c r="C737" t="s">
        <v>1212</v>
      </c>
      <c r="D737" t="s">
        <v>1217</v>
      </c>
      <c r="E737" t="s">
        <v>1219</v>
      </c>
      <c r="F737" t="s">
        <v>1238</v>
      </c>
      <c r="G737">
        <v>6</v>
      </c>
      <c r="H737">
        <v>2857</v>
      </c>
      <c r="I737">
        <v>17142</v>
      </c>
      <c r="J737" s="2">
        <v>2822.98</v>
      </c>
    </row>
    <row r="738" spans="1:10" x14ac:dyDescent="0.3">
      <c r="A738" t="s">
        <v>746</v>
      </c>
      <c r="B738" s="1">
        <v>45189</v>
      </c>
      <c r="C738" t="s">
        <v>1210</v>
      </c>
      <c r="D738" t="s">
        <v>1215</v>
      </c>
      <c r="E738" t="s">
        <v>1221</v>
      </c>
      <c r="F738" t="s">
        <v>1231</v>
      </c>
      <c r="G738">
        <v>3</v>
      </c>
      <c r="H738">
        <v>4623</v>
      </c>
      <c r="I738">
        <v>13869</v>
      </c>
      <c r="J738" s="2">
        <v>2484.38</v>
      </c>
    </row>
    <row r="739" spans="1:10" x14ac:dyDescent="0.3">
      <c r="A739" t="s">
        <v>747</v>
      </c>
      <c r="B739" s="1">
        <v>44972</v>
      </c>
      <c r="C739" t="s">
        <v>1212</v>
      </c>
      <c r="D739" t="s">
        <v>1218</v>
      </c>
      <c r="E739" t="s">
        <v>1221</v>
      </c>
      <c r="F739" t="s">
        <v>1231</v>
      </c>
      <c r="G739">
        <v>6</v>
      </c>
      <c r="H739">
        <v>3834</v>
      </c>
      <c r="I739">
        <v>23004</v>
      </c>
      <c r="J739" s="2">
        <v>5404.28</v>
      </c>
    </row>
    <row r="740" spans="1:10" x14ac:dyDescent="0.3">
      <c r="A740" t="s">
        <v>748</v>
      </c>
      <c r="B740" s="1">
        <v>45044</v>
      </c>
      <c r="C740" t="s">
        <v>1213</v>
      </c>
      <c r="D740" t="s">
        <v>1214</v>
      </c>
      <c r="E740" t="s">
        <v>1222</v>
      </c>
      <c r="F740" t="s">
        <v>1234</v>
      </c>
      <c r="G740">
        <v>6</v>
      </c>
      <c r="H740">
        <v>3837</v>
      </c>
      <c r="I740">
        <v>23022</v>
      </c>
      <c r="J740" s="2">
        <v>3138.59</v>
      </c>
    </row>
    <row r="741" spans="1:10" x14ac:dyDescent="0.3">
      <c r="A741" t="s">
        <v>749</v>
      </c>
      <c r="B741" s="1">
        <v>45274</v>
      </c>
      <c r="C741" t="s">
        <v>1211</v>
      </c>
      <c r="D741" t="s">
        <v>1218</v>
      </c>
      <c r="E741" t="s">
        <v>1221</v>
      </c>
      <c r="F741" t="s">
        <v>1231</v>
      </c>
      <c r="G741">
        <v>7</v>
      </c>
      <c r="H741">
        <v>565</v>
      </c>
      <c r="I741">
        <v>3955</v>
      </c>
      <c r="J741" s="2">
        <v>522.97</v>
      </c>
    </row>
    <row r="742" spans="1:10" x14ac:dyDescent="0.3">
      <c r="A742" t="s">
        <v>750</v>
      </c>
      <c r="B742" s="1">
        <v>45239</v>
      </c>
      <c r="C742" t="s">
        <v>1211</v>
      </c>
      <c r="D742" t="s">
        <v>1218</v>
      </c>
      <c r="E742" t="s">
        <v>1219</v>
      </c>
      <c r="F742" t="s">
        <v>1232</v>
      </c>
      <c r="G742">
        <v>7</v>
      </c>
      <c r="H742">
        <v>3769</v>
      </c>
      <c r="I742">
        <v>26383</v>
      </c>
      <c r="J742" s="2">
        <v>4732.38</v>
      </c>
    </row>
    <row r="743" spans="1:10" x14ac:dyDescent="0.3">
      <c r="A743" t="s">
        <v>751</v>
      </c>
      <c r="B743" s="1">
        <v>45212</v>
      </c>
      <c r="C743" t="s">
        <v>1213</v>
      </c>
      <c r="D743" t="s">
        <v>1218</v>
      </c>
      <c r="E743" t="s">
        <v>1220</v>
      </c>
      <c r="F743" t="s">
        <v>1228</v>
      </c>
      <c r="G743">
        <v>3</v>
      </c>
      <c r="H743">
        <v>3029</v>
      </c>
      <c r="I743">
        <v>9087</v>
      </c>
      <c r="J743" s="2">
        <v>977.1</v>
      </c>
    </row>
    <row r="744" spans="1:10" x14ac:dyDescent="0.3">
      <c r="A744" t="s">
        <v>752</v>
      </c>
      <c r="B744" s="1">
        <v>45036</v>
      </c>
      <c r="C744" t="s">
        <v>1213</v>
      </c>
      <c r="D744" t="s">
        <v>1218</v>
      </c>
      <c r="E744" t="s">
        <v>1219</v>
      </c>
      <c r="F744" t="s">
        <v>1223</v>
      </c>
      <c r="G744">
        <v>4</v>
      </c>
      <c r="H744">
        <v>3364</v>
      </c>
      <c r="I744">
        <v>13456</v>
      </c>
      <c r="J744" s="2">
        <v>3072.7</v>
      </c>
    </row>
    <row r="745" spans="1:10" x14ac:dyDescent="0.3">
      <c r="A745" t="s">
        <v>753</v>
      </c>
      <c r="B745" s="1">
        <v>45246</v>
      </c>
      <c r="C745" t="s">
        <v>1210</v>
      </c>
      <c r="D745" t="s">
        <v>1218</v>
      </c>
      <c r="E745" t="s">
        <v>1219</v>
      </c>
      <c r="F745" t="s">
        <v>1233</v>
      </c>
      <c r="G745">
        <v>5</v>
      </c>
      <c r="H745">
        <v>443</v>
      </c>
      <c r="I745">
        <v>2215</v>
      </c>
      <c r="J745" s="2">
        <v>326.67</v>
      </c>
    </row>
    <row r="746" spans="1:10" x14ac:dyDescent="0.3">
      <c r="A746" t="s">
        <v>754</v>
      </c>
      <c r="B746" s="1">
        <v>45095</v>
      </c>
      <c r="C746" t="s">
        <v>1211</v>
      </c>
      <c r="D746" t="s">
        <v>1217</v>
      </c>
      <c r="E746" t="s">
        <v>1220</v>
      </c>
      <c r="F746" t="s">
        <v>1237</v>
      </c>
      <c r="G746">
        <v>6</v>
      </c>
      <c r="H746">
        <v>2072</v>
      </c>
      <c r="I746">
        <v>12432</v>
      </c>
      <c r="J746" s="2">
        <v>3011.98</v>
      </c>
    </row>
    <row r="747" spans="1:10" x14ac:dyDescent="0.3">
      <c r="A747" t="s">
        <v>755</v>
      </c>
      <c r="B747" s="1">
        <v>45114</v>
      </c>
      <c r="C747" t="s">
        <v>1211</v>
      </c>
      <c r="D747" t="s">
        <v>1216</v>
      </c>
      <c r="E747" t="s">
        <v>1222</v>
      </c>
      <c r="F747" t="s">
        <v>1227</v>
      </c>
      <c r="G747">
        <v>2</v>
      </c>
      <c r="H747">
        <v>872</v>
      </c>
      <c r="I747">
        <v>1744</v>
      </c>
      <c r="J747" s="2">
        <v>177.12</v>
      </c>
    </row>
    <row r="748" spans="1:10" x14ac:dyDescent="0.3">
      <c r="A748" t="s">
        <v>756</v>
      </c>
      <c r="B748" s="1">
        <v>44997</v>
      </c>
      <c r="C748" t="s">
        <v>1211</v>
      </c>
      <c r="D748" t="s">
        <v>1217</v>
      </c>
      <c r="E748" t="s">
        <v>1222</v>
      </c>
      <c r="F748" t="s">
        <v>1236</v>
      </c>
      <c r="G748">
        <v>6</v>
      </c>
      <c r="H748">
        <v>929</v>
      </c>
      <c r="I748">
        <v>5574</v>
      </c>
      <c r="J748" s="2">
        <v>649.57000000000005</v>
      </c>
    </row>
    <row r="749" spans="1:10" x14ac:dyDescent="0.3">
      <c r="A749" t="s">
        <v>757</v>
      </c>
      <c r="B749" s="1">
        <v>45218</v>
      </c>
      <c r="C749" t="s">
        <v>1211</v>
      </c>
      <c r="D749" t="s">
        <v>1216</v>
      </c>
      <c r="E749" t="s">
        <v>1222</v>
      </c>
      <c r="F749" t="s">
        <v>1234</v>
      </c>
      <c r="G749">
        <v>3</v>
      </c>
      <c r="H749">
        <v>4036</v>
      </c>
      <c r="I749">
        <v>12108</v>
      </c>
      <c r="J749" s="2">
        <v>1492</v>
      </c>
    </row>
    <row r="750" spans="1:10" x14ac:dyDescent="0.3">
      <c r="A750" t="s">
        <v>758</v>
      </c>
      <c r="B750" s="1">
        <v>45281</v>
      </c>
      <c r="C750" t="s">
        <v>1210</v>
      </c>
      <c r="D750" t="s">
        <v>1214</v>
      </c>
      <c r="E750" t="s">
        <v>1219</v>
      </c>
      <c r="F750" t="s">
        <v>1238</v>
      </c>
      <c r="G750">
        <v>9</v>
      </c>
      <c r="H750">
        <v>707</v>
      </c>
      <c r="I750">
        <v>6363</v>
      </c>
      <c r="J750" s="2">
        <v>1459.61</v>
      </c>
    </row>
    <row r="751" spans="1:10" x14ac:dyDescent="0.3">
      <c r="A751" t="s">
        <v>759</v>
      </c>
      <c r="B751" s="1">
        <v>45230</v>
      </c>
      <c r="C751" t="s">
        <v>1211</v>
      </c>
      <c r="D751" t="s">
        <v>1217</v>
      </c>
      <c r="E751" t="s">
        <v>1219</v>
      </c>
      <c r="F751" t="s">
        <v>1238</v>
      </c>
      <c r="G751">
        <v>4</v>
      </c>
      <c r="H751">
        <v>4716</v>
      </c>
      <c r="I751">
        <v>18864</v>
      </c>
      <c r="J751" s="2">
        <v>1767.64</v>
      </c>
    </row>
    <row r="752" spans="1:10" x14ac:dyDescent="0.3">
      <c r="A752" t="s">
        <v>760</v>
      </c>
      <c r="B752" s="1">
        <v>45204</v>
      </c>
      <c r="C752" t="s">
        <v>1210</v>
      </c>
      <c r="D752" t="s">
        <v>1217</v>
      </c>
      <c r="E752" t="s">
        <v>1221</v>
      </c>
      <c r="F752" t="s">
        <v>1235</v>
      </c>
      <c r="G752">
        <v>9</v>
      </c>
      <c r="H752">
        <v>3915</v>
      </c>
      <c r="I752">
        <v>35235</v>
      </c>
      <c r="J752" s="2">
        <v>4021.41</v>
      </c>
    </row>
    <row r="753" spans="1:10" x14ac:dyDescent="0.3">
      <c r="A753" t="s">
        <v>761</v>
      </c>
      <c r="B753" s="1">
        <v>45179</v>
      </c>
      <c r="C753" t="s">
        <v>1212</v>
      </c>
      <c r="D753" t="s">
        <v>1217</v>
      </c>
      <c r="E753" t="s">
        <v>1221</v>
      </c>
      <c r="F753" t="s">
        <v>1226</v>
      </c>
      <c r="G753">
        <v>4</v>
      </c>
      <c r="H753">
        <v>892</v>
      </c>
      <c r="I753">
        <v>3568</v>
      </c>
      <c r="J753" s="2">
        <v>403.84</v>
      </c>
    </row>
    <row r="754" spans="1:10" x14ac:dyDescent="0.3">
      <c r="A754" t="s">
        <v>762</v>
      </c>
      <c r="B754" s="1">
        <v>45078</v>
      </c>
      <c r="C754" t="s">
        <v>1211</v>
      </c>
      <c r="D754" t="s">
        <v>1214</v>
      </c>
      <c r="E754" t="s">
        <v>1220</v>
      </c>
      <c r="F754" t="s">
        <v>1237</v>
      </c>
      <c r="G754">
        <v>6</v>
      </c>
      <c r="H754">
        <v>4877</v>
      </c>
      <c r="I754">
        <v>29262</v>
      </c>
      <c r="J754" s="2">
        <v>5342.27</v>
      </c>
    </row>
    <row r="755" spans="1:10" x14ac:dyDescent="0.3">
      <c r="A755" t="s">
        <v>763</v>
      </c>
      <c r="B755" s="1">
        <v>44938</v>
      </c>
      <c r="C755" t="s">
        <v>1211</v>
      </c>
      <c r="D755" t="s">
        <v>1214</v>
      </c>
      <c r="E755" t="s">
        <v>1222</v>
      </c>
      <c r="F755" t="s">
        <v>1230</v>
      </c>
      <c r="G755">
        <v>5</v>
      </c>
      <c r="H755">
        <v>2280</v>
      </c>
      <c r="I755">
        <v>11400</v>
      </c>
      <c r="J755" s="2">
        <v>1201.03</v>
      </c>
    </row>
    <row r="756" spans="1:10" x14ac:dyDescent="0.3">
      <c r="A756" t="s">
        <v>764</v>
      </c>
      <c r="B756" s="1">
        <v>44955</v>
      </c>
      <c r="C756" t="s">
        <v>1212</v>
      </c>
      <c r="D756" t="s">
        <v>1214</v>
      </c>
      <c r="E756" t="s">
        <v>1219</v>
      </c>
      <c r="F756" t="s">
        <v>1232</v>
      </c>
      <c r="G756">
        <v>6</v>
      </c>
      <c r="H756">
        <v>604</v>
      </c>
      <c r="I756">
        <v>3624</v>
      </c>
      <c r="J756" s="2">
        <v>297.87</v>
      </c>
    </row>
    <row r="757" spans="1:10" x14ac:dyDescent="0.3">
      <c r="A757" t="s">
        <v>765</v>
      </c>
      <c r="B757" s="1">
        <v>45200</v>
      </c>
      <c r="C757" t="s">
        <v>1210</v>
      </c>
      <c r="D757" t="s">
        <v>1214</v>
      </c>
      <c r="E757" t="s">
        <v>1220</v>
      </c>
      <c r="F757" t="s">
        <v>1228</v>
      </c>
      <c r="G757">
        <v>2</v>
      </c>
      <c r="H757">
        <v>4156</v>
      </c>
      <c r="I757">
        <v>8312</v>
      </c>
      <c r="J757" s="2">
        <v>829.52</v>
      </c>
    </row>
    <row r="758" spans="1:10" x14ac:dyDescent="0.3">
      <c r="A758" t="s">
        <v>766</v>
      </c>
      <c r="B758" s="1">
        <v>45021</v>
      </c>
      <c r="C758" t="s">
        <v>1211</v>
      </c>
      <c r="D758" t="s">
        <v>1214</v>
      </c>
      <c r="E758" t="s">
        <v>1220</v>
      </c>
      <c r="F758" t="s">
        <v>1224</v>
      </c>
      <c r="G758">
        <v>6</v>
      </c>
      <c r="H758">
        <v>1409</v>
      </c>
      <c r="I758">
        <v>8454</v>
      </c>
      <c r="J758" s="2">
        <v>1312.38</v>
      </c>
    </row>
    <row r="759" spans="1:10" x14ac:dyDescent="0.3">
      <c r="A759" t="s">
        <v>767</v>
      </c>
      <c r="B759" s="1">
        <v>45019</v>
      </c>
      <c r="C759" t="s">
        <v>1213</v>
      </c>
      <c r="D759" t="s">
        <v>1217</v>
      </c>
      <c r="E759" t="s">
        <v>1221</v>
      </c>
      <c r="F759" t="s">
        <v>1235</v>
      </c>
      <c r="G759">
        <v>2</v>
      </c>
      <c r="H759">
        <v>3467</v>
      </c>
      <c r="I759">
        <v>6934</v>
      </c>
      <c r="J759" s="2">
        <v>970.95</v>
      </c>
    </row>
    <row r="760" spans="1:10" x14ac:dyDescent="0.3">
      <c r="A760" t="s">
        <v>768</v>
      </c>
      <c r="B760" s="1">
        <v>45111</v>
      </c>
      <c r="C760" t="s">
        <v>1212</v>
      </c>
      <c r="D760" t="s">
        <v>1214</v>
      </c>
      <c r="E760" t="s">
        <v>1221</v>
      </c>
      <c r="F760" t="s">
        <v>1235</v>
      </c>
      <c r="G760">
        <v>6</v>
      </c>
      <c r="H760">
        <v>1649</v>
      </c>
      <c r="I760">
        <v>9894</v>
      </c>
      <c r="J760" s="2">
        <v>2110.87</v>
      </c>
    </row>
    <row r="761" spans="1:10" x14ac:dyDescent="0.3">
      <c r="A761" t="s">
        <v>769</v>
      </c>
      <c r="B761" s="1">
        <v>45105</v>
      </c>
      <c r="C761" t="s">
        <v>1210</v>
      </c>
      <c r="D761" t="s">
        <v>1218</v>
      </c>
      <c r="E761" t="s">
        <v>1221</v>
      </c>
      <c r="F761" t="s">
        <v>1235</v>
      </c>
      <c r="G761">
        <v>7</v>
      </c>
      <c r="H761">
        <v>1635</v>
      </c>
      <c r="I761">
        <v>11445</v>
      </c>
      <c r="J761" s="2">
        <v>1723.29</v>
      </c>
    </row>
    <row r="762" spans="1:10" x14ac:dyDescent="0.3">
      <c r="A762" t="s">
        <v>770</v>
      </c>
      <c r="B762" s="1">
        <v>44979</v>
      </c>
      <c r="C762" t="s">
        <v>1213</v>
      </c>
      <c r="D762" t="s">
        <v>1214</v>
      </c>
      <c r="E762" t="s">
        <v>1222</v>
      </c>
      <c r="F762" t="s">
        <v>1230</v>
      </c>
      <c r="G762">
        <v>6</v>
      </c>
      <c r="H762">
        <v>2974</v>
      </c>
      <c r="I762">
        <v>17844</v>
      </c>
      <c r="J762" s="2">
        <v>3817.12</v>
      </c>
    </row>
    <row r="763" spans="1:10" x14ac:dyDescent="0.3">
      <c r="A763" t="s">
        <v>771</v>
      </c>
      <c r="B763" s="1">
        <v>45049</v>
      </c>
      <c r="C763" t="s">
        <v>1210</v>
      </c>
      <c r="D763" t="s">
        <v>1214</v>
      </c>
      <c r="E763" t="s">
        <v>1220</v>
      </c>
      <c r="F763" t="s">
        <v>1237</v>
      </c>
      <c r="G763">
        <v>7</v>
      </c>
      <c r="H763">
        <v>1089</v>
      </c>
      <c r="I763">
        <v>7623</v>
      </c>
      <c r="J763" s="2">
        <v>713.65</v>
      </c>
    </row>
    <row r="764" spans="1:10" x14ac:dyDescent="0.3">
      <c r="A764" t="s">
        <v>772</v>
      </c>
      <c r="B764" s="1">
        <v>45220</v>
      </c>
      <c r="C764" t="s">
        <v>1212</v>
      </c>
      <c r="D764" t="s">
        <v>1215</v>
      </c>
      <c r="E764" t="s">
        <v>1219</v>
      </c>
      <c r="F764" t="s">
        <v>1233</v>
      </c>
      <c r="G764">
        <v>3</v>
      </c>
      <c r="H764">
        <v>3789</v>
      </c>
      <c r="I764">
        <v>11367</v>
      </c>
      <c r="J764" s="2">
        <v>1653.53</v>
      </c>
    </row>
    <row r="765" spans="1:10" x14ac:dyDescent="0.3">
      <c r="A765" t="s">
        <v>773</v>
      </c>
      <c r="B765" s="1">
        <v>45101</v>
      </c>
      <c r="C765" t="s">
        <v>1213</v>
      </c>
      <c r="D765" t="s">
        <v>1214</v>
      </c>
      <c r="E765" t="s">
        <v>1219</v>
      </c>
      <c r="F765" t="s">
        <v>1238</v>
      </c>
      <c r="G765">
        <v>8</v>
      </c>
      <c r="H765">
        <v>4286</v>
      </c>
      <c r="I765">
        <v>34288</v>
      </c>
      <c r="J765" s="2">
        <v>3874.81</v>
      </c>
    </row>
    <row r="766" spans="1:10" x14ac:dyDescent="0.3">
      <c r="A766" t="s">
        <v>774</v>
      </c>
      <c r="B766" s="1">
        <v>44935</v>
      </c>
      <c r="C766" t="s">
        <v>1213</v>
      </c>
      <c r="D766" t="s">
        <v>1215</v>
      </c>
      <c r="E766" t="s">
        <v>1222</v>
      </c>
      <c r="F766" t="s">
        <v>1227</v>
      </c>
      <c r="G766">
        <v>8</v>
      </c>
      <c r="H766">
        <v>3287</v>
      </c>
      <c r="I766">
        <v>26296</v>
      </c>
      <c r="J766" s="2">
        <v>4633.96</v>
      </c>
    </row>
    <row r="767" spans="1:10" x14ac:dyDescent="0.3">
      <c r="A767" t="s">
        <v>775</v>
      </c>
      <c r="B767" s="1">
        <v>45152</v>
      </c>
      <c r="C767" t="s">
        <v>1212</v>
      </c>
      <c r="D767" t="s">
        <v>1218</v>
      </c>
      <c r="E767" t="s">
        <v>1222</v>
      </c>
      <c r="F767" t="s">
        <v>1234</v>
      </c>
      <c r="G767">
        <v>7</v>
      </c>
      <c r="H767">
        <v>2262</v>
      </c>
      <c r="I767">
        <v>15834</v>
      </c>
      <c r="J767" s="2">
        <v>3360.42</v>
      </c>
    </row>
    <row r="768" spans="1:10" x14ac:dyDescent="0.3">
      <c r="A768" t="s">
        <v>776</v>
      </c>
      <c r="B768" s="1">
        <v>45036</v>
      </c>
      <c r="C768" t="s">
        <v>1213</v>
      </c>
      <c r="D768" t="s">
        <v>1218</v>
      </c>
      <c r="E768" t="s">
        <v>1222</v>
      </c>
      <c r="F768" t="s">
        <v>1236</v>
      </c>
      <c r="G768">
        <v>1</v>
      </c>
      <c r="H768">
        <v>2513</v>
      </c>
      <c r="I768">
        <v>2513</v>
      </c>
      <c r="J768" s="2">
        <v>605.16999999999996</v>
      </c>
    </row>
    <row r="769" spans="1:10" x14ac:dyDescent="0.3">
      <c r="A769" t="s">
        <v>777</v>
      </c>
      <c r="B769" s="1">
        <v>45260</v>
      </c>
      <c r="C769" t="s">
        <v>1212</v>
      </c>
      <c r="D769" t="s">
        <v>1216</v>
      </c>
      <c r="E769" t="s">
        <v>1222</v>
      </c>
      <c r="F769" t="s">
        <v>1230</v>
      </c>
      <c r="G769">
        <v>9</v>
      </c>
      <c r="H769">
        <v>3736</v>
      </c>
      <c r="I769">
        <v>33624</v>
      </c>
      <c r="J769" s="2">
        <v>7242.69</v>
      </c>
    </row>
    <row r="770" spans="1:10" x14ac:dyDescent="0.3">
      <c r="A770" t="s">
        <v>778</v>
      </c>
      <c r="B770" s="1">
        <v>45116</v>
      </c>
      <c r="C770" t="s">
        <v>1212</v>
      </c>
      <c r="D770" t="s">
        <v>1214</v>
      </c>
      <c r="E770" t="s">
        <v>1222</v>
      </c>
      <c r="F770" t="s">
        <v>1227</v>
      </c>
      <c r="G770">
        <v>6</v>
      </c>
      <c r="H770">
        <v>1650</v>
      </c>
      <c r="I770">
        <v>9900</v>
      </c>
      <c r="J770" s="2">
        <v>871.06</v>
      </c>
    </row>
    <row r="771" spans="1:10" x14ac:dyDescent="0.3">
      <c r="A771" t="s">
        <v>779</v>
      </c>
      <c r="B771" s="1">
        <v>45018</v>
      </c>
      <c r="C771" t="s">
        <v>1210</v>
      </c>
      <c r="D771" t="s">
        <v>1214</v>
      </c>
      <c r="E771" t="s">
        <v>1220</v>
      </c>
      <c r="F771" t="s">
        <v>1224</v>
      </c>
      <c r="G771">
        <v>2</v>
      </c>
      <c r="H771">
        <v>3715</v>
      </c>
      <c r="I771">
        <v>7430</v>
      </c>
      <c r="J771" s="2">
        <v>808.97</v>
      </c>
    </row>
    <row r="772" spans="1:10" x14ac:dyDescent="0.3">
      <c r="A772" t="s">
        <v>780</v>
      </c>
      <c r="B772" s="1">
        <v>44994</v>
      </c>
      <c r="C772" t="s">
        <v>1211</v>
      </c>
      <c r="D772" t="s">
        <v>1218</v>
      </c>
      <c r="E772" t="s">
        <v>1221</v>
      </c>
      <c r="F772" t="s">
        <v>1235</v>
      </c>
      <c r="G772">
        <v>9</v>
      </c>
      <c r="H772">
        <v>4763</v>
      </c>
      <c r="I772">
        <v>42867</v>
      </c>
      <c r="J772" s="2">
        <v>7653.27</v>
      </c>
    </row>
    <row r="773" spans="1:10" x14ac:dyDescent="0.3">
      <c r="A773" t="s">
        <v>781</v>
      </c>
      <c r="B773" s="1">
        <v>45206</v>
      </c>
      <c r="C773" t="s">
        <v>1213</v>
      </c>
      <c r="D773" t="s">
        <v>1215</v>
      </c>
      <c r="E773" t="s">
        <v>1220</v>
      </c>
      <c r="F773" t="s">
        <v>1224</v>
      </c>
      <c r="G773">
        <v>3</v>
      </c>
      <c r="H773">
        <v>3169</v>
      </c>
      <c r="I773">
        <v>9507</v>
      </c>
      <c r="J773" s="2">
        <v>1729.24</v>
      </c>
    </row>
    <row r="774" spans="1:10" x14ac:dyDescent="0.3">
      <c r="A774" t="s">
        <v>782</v>
      </c>
      <c r="B774" s="1">
        <v>45264</v>
      </c>
      <c r="C774" t="s">
        <v>1211</v>
      </c>
      <c r="D774" t="s">
        <v>1217</v>
      </c>
      <c r="E774" t="s">
        <v>1222</v>
      </c>
      <c r="F774" t="s">
        <v>1234</v>
      </c>
      <c r="G774">
        <v>9</v>
      </c>
      <c r="H774">
        <v>4443</v>
      </c>
      <c r="I774">
        <v>39987</v>
      </c>
      <c r="J774" s="2">
        <v>4415.9799999999996</v>
      </c>
    </row>
    <row r="775" spans="1:10" x14ac:dyDescent="0.3">
      <c r="A775" t="s">
        <v>783</v>
      </c>
      <c r="B775" s="1">
        <v>45040</v>
      </c>
      <c r="C775" t="s">
        <v>1210</v>
      </c>
      <c r="D775" t="s">
        <v>1218</v>
      </c>
      <c r="E775" t="s">
        <v>1219</v>
      </c>
      <c r="F775" t="s">
        <v>1232</v>
      </c>
      <c r="G775">
        <v>2</v>
      </c>
      <c r="H775">
        <v>4470</v>
      </c>
      <c r="I775">
        <v>8940</v>
      </c>
      <c r="J775" s="2">
        <v>2117.12</v>
      </c>
    </row>
    <row r="776" spans="1:10" x14ac:dyDescent="0.3">
      <c r="A776" t="s">
        <v>784</v>
      </c>
      <c r="B776" s="1">
        <v>44952</v>
      </c>
      <c r="C776" t="s">
        <v>1211</v>
      </c>
      <c r="D776" t="s">
        <v>1215</v>
      </c>
      <c r="E776" t="s">
        <v>1219</v>
      </c>
      <c r="F776" t="s">
        <v>1238</v>
      </c>
      <c r="G776">
        <v>3</v>
      </c>
      <c r="H776">
        <v>4330</v>
      </c>
      <c r="I776">
        <v>12990</v>
      </c>
      <c r="J776" s="2">
        <v>1756.73</v>
      </c>
    </row>
    <row r="777" spans="1:10" x14ac:dyDescent="0.3">
      <c r="A777" t="s">
        <v>785</v>
      </c>
      <c r="B777" s="1">
        <v>45140</v>
      </c>
      <c r="C777" t="s">
        <v>1210</v>
      </c>
      <c r="D777" t="s">
        <v>1214</v>
      </c>
      <c r="E777" t="s">
        <v>1221</v>
      </c>
      <c r="F777" t="s">
        <v>1226</v>
      </c>
      <c r="G777">
        <v>9</v>
      </c>
      <c r="H777">
        <v>4858</v>
      </c>
      <c r="I777">
        <v>43722</v>
      </c>
      <c r="J777" s="2">
        <v>8995.6299999999992</v>
      </c>
    </row>
    <row r="778" spans="1:10" x14ac:dyDescent="0.3">
      <c r="A778" t="s">
        <v>786</v>
      </c>
      <c r="B778" s="1">
        <v>45113</v>
      </c>
      <c r="C778" t="s">
        <v>1212</v>
      </c>
      <c r="D778" t="s">
        <v>1214</v>
      </c>
      <c r="E778" t="s">
        <v>1220</v>
      </c>
      <c r="F778" t="s">
        <v>1224</v>
      </c>
      <c r="G778">
        <v>7</v>
      </c>
      <c r="H778">
        <v>4003</v>
      </c>
      <c r="I778">
        <v>28021</v>
      </c>
      <c r="J778" s="2">
        <v>4242.43</v>
      </c>
    </row>
    <row r="779" spans="1:10" x14ac:dyDescent="0.3">
      <c r="A779" t="s">
        <v>787</v>
      </c>
      <c r="B779" s="1">
        <v>44963</v>
      </c>
      <c r="C779" t="s">
        <v>1211</v>
      </c>
      <c r="D779" t="s">
        <v>1214</v>
      </c>
      <c r="E779" t="s">
        <v>1221</v>
      </c>
      <c r="F779" t="s">
        <v>1235</v>
      </c>
      <c r="G779">
        <v>4</v>
      </c>
      <c r="H779">
        <v>2500</v>
      </c>
      <c r="I779">
        <v>10000</v>
      </c>
      <c r="J779" s="2">
        <v>1108.08</v>
      </c>
    </row>
    <row r="780" spans="1:10" x14ac:dyDescent="0.3">
      <c r="A780" t="s">
        <v>788</v>
      </c>
      <c r="B780" s="1">
        <v>45259</v>
      </c>
      <c r="C780" t="s">
        <v>1211</v>
      </c>
      <c r="D780" t="s">
        <v>1216</v>
      </c>
      <c r="E780" t="s">
        <v>1220</v>
      </c>
      <c r="F780" t="s">
        <v>1237</v>
      </c>
      <c r="G780">
        <v>3</v>
      </c>
      <c r="H780">
        <v>1391</v>
      </c>
      <c r="I780">
        <v>4173</v>
      </c>
      <c r="J780" s="2">
        <v>723.01</v>
      </c>
    </row>
    <row r="781" spans="1:10" x14ac:dyDescent="0.3">
      <c r="A781" t="s">
        <v>789</v>
      </c>
      <c r="B781" s="1">
        <v>45254</v>
      </c>
      <c r="C781" t="s">
        <v>1213</v>
      </c>
      <c r="D781" t="s">
        <v>1215</v>
      </c>
      <c r="E781" t="s">
        <v>1220</v>
      </c>
      <c r="F781" t="s">
        <v>1225</v>
      </c>
      <c r="G781">
        <v>3</v>
      </c>
      <c r="H781">
        <v>4739</v>
      </c>
      <c r="I781">
        <v>14217</v>
      </c>
      <c r="J781" s="2">
        <v>3539.95</v>
      </c>
    </row>
    <row r="782" spans="1:10" x14ac:dyDescent="0.3">
      <c r="A782" t="s">
        <v>790</v>
      </c>
      <c r="B782" s="1">
        <v>45077</v>
      </c>
      <c r="C782" t="s">
        <v>1210</v>
      </c>
      <c r="D782" t="s">
        <v>1214</v>
      </c>
      <c r="E782" t="s">
        <v>1220</v>
      </c>
      <c r="F782" t="s">
        <v>1224</v>
      </c>
      <c r="G782">
        <v>5</v>
      </c>
      <c r="H782">
        <v>3760</v>
      </c>
      <c r="I782">
        <v>18800</v>
      </c>
      <c r="J782" s="2">
        <v>2169.7800000000002</v>
      </c>
    </row>
    <row r="783" spans="1:10" x14ac:dyDescent="0.3">
      <c r="A783" t="s">
        <v>791</v>
      </c>
      <c r="B783" s="1">
        <v>45239</v>
      </c>
      <c r="C783" t="s">
        <v>1210</v>
      </c>
      <c r="D783" t="s">
        <v>1214</v>
      </c>
      <c r="E783" t="s">
        <v>1219</v>
      </c>
      <c r="F783" t="s">
        <v>1238</v>
      </c>
      <c r="G783">
        <v>2</v>
      </c>
      <c r="H783">
        <v>3734</v>
      </c>
      <c r="I783">
        <v>7468</v>
      </c>
      <c r="J783" s="2">
        <v>802.42</v>
      </c>
    </row>
    <row r="784" spans="1:10" x14ac:dyDescent="0.3">
      <c r="A784" t="s">
        <v>792</v>
      </c>
      <c r="B784" s="1">
        <v>45094</v>
      </c>
      <c r="C784" t="s">
        <v>1210</v>
      </c>
      <c r="D784" t="s">
        <v>1217</v>
      </c>
      <c r="E784" t="s">
        <v>1222</v>
      </c>
      <c r="F784" t="s">
        <v>1236</v>
      </c>
      <c r="G784">
        <v>2</v>
      </c>
      <c r="H784">
        <v>3359</v>
      </c>
      <c r="I784">
        <v>6718</v>
      </c>
      <c r="J784" s="2">
        <v>1385.16</v>
      </c>
    </row>
    <row r="785" spans="1:10" x14ac:dyDescent="0.3">
      <c r="A785" t="s">
        <v>793</v>
      </c>
      <c r="B785" s="1">
        <v>45063</v>
      </c>
      <c r="C785" t="s">
        <v>1212</v>
      </c>
      <c r="D785" t="s">
        <v>1215</v>
      </c>
      <c r="E785" t="s">
        <v>1219</v>
      </c>
      <c r="F785" t="s">
        <v>1233</v>
      </c>
      <c r="G785">
        <v>4</v>
      </c>
      <c r="H785">
        <v>2594</v>
      </c>
      <c r="I785">
        <v>10376</v>
      </c>
      <c r="J785" s="2">
        <v>1290.75</v>
      </c>
    </row>
    <row r="786" spans="1:10" x14ac:dyDescent="0.3">
      <c r="A786" t="s">
        <v>794</v>
      </c>
      <c r="B786" s="1">
        <v>45003</v>
      </c>
      <c r="C786" t="s">
        <v>1212</v>
      </c>
      <c r="D786" t="s">
        <v>1216</v>
      </c>
      <c r="E786" t="s">
        <v>1222</v>
      </c>
      <c r="F786" t="s">
        <v>1227</v>
      </c>
      <c r="G786">
        <v>5</v>
      </c>
      <c r="H786">
        <v>4591</v>
      </c>
      <c r="I786">
        <v>22955</v>
      </c>
      <c r="J786" s="2">
        <v>4217.25</v>
      </c>
    </row>
    <row r="787" spans="1:10" x14ac:dyDescent="0.3">
      <c r="A787" t="s">
        <v>795</v>
      </c>
      <c r="B787" s="1">
        <v>44951</v>
      </c>
      <c r="C787" t="s">
        <v>1211</v>
      </c>
      <c r="D787" t="s">
        <v>1217</v>
      </c>
      <c r="E787" t="s">
        <v>1222</v>
      </c>
      <c r="F787" t="s">
        <v>1230</v>
      </c>
      <c r="G787">
        <v>5</v>
      </c>
      <c r="H787">
        <v>1827</v>
      </c>
      <c r="I787">
        <v>9135</v>
      </c>
      <c r="J787" s="2">
        <v>1661.48</v>
      </c>
    </row>
    <row r="788" spans="1:10" x14ac:dyDescent="0.3">
      <c r="A788" t="s">
        <v>796</v>
      </c>
      <c r="B788" s="1">
        <v>45001</v>
      </c>
      <c r="C788" t="s">
        <v>1211</v>
      </c>
      <c r="D788" t="s">
        <v>1217</v>
      </c>
      <c r="E788" t="s">
        <v>1222</v>
      </c>
      <c r="F788" t="s">
        <v>1230</v>
      </c>
      <c r="G788">
        <v>9</v>
      </c>
      <c r="H788">
        <v>2797</v>
      </c>
      <c r="I788">
        <v>25173</v>
      </c>
      <c r="J788" s="2">
        <v>2404.59</v>
      </c>
    </row>
    <row r="789" spans="1:10" x14ac:dyDescent="0.3">
      <c r="A789" t="s">
        <v>797</v>
      </c>
      <c r="B789" s="1">
        <v>44945</v>
      </c>
      <c r="C789" t="s">
        <v>1211</v>
      </c>
      <c r="D789" t="s">
        <v>1218</v>
      </c>
      <c r="E789" t="s">
        <v>1221</v>
      </c>
      <c r="F789" t="s">
        <v>1235</v>
      </c>
      <c r="G789">
        <v>7</v>
      </c>
      <c r="H789">
        <v>1578</v>
      </c>
      <c r="I789">
        <v>11046</v>
      </c>
      <c r="J789" s="2">
        <v>998.04</v>
      </c>
    </row>
    <row r="790" spans="1:10" x14ac:dyDescent="0.3">
      <c r="A790" t="s">
        <v>798</v>
      </c>
      <c r="B790" s="1">
        <v>45079</v>
      </c>
      <c r="C790" t="s">
        <v>1212</v>
      </c>
      <c r="D790" t="s">
        <v>1218</v>
      </c>
      <c r="E790" t="s">
        <v>1221</v>
      </c>
      <c r="F790" t="s">
        <v>1231</v>
      </c>
      <c r="G790">
        <v>8</v>
      </c>
      <c r="H790">
        <v>1258</v>
      </c>
      <c r="I790">
        <v>10064</v>
      </c>
      <c r="J790" s="2">
        <v>2339.0500000000002</v>
      </c>
    </row>
    <row r="791" spans="1:10" x14ac:dyDescent="0.3">
      <c r="A791" t="s">
        <v>799</v>
      </c>
      <c r="B791" s="1">
        <v>45147</v>
      </c>
      <c r="C791" t="s">
        <v>1210</v>
      </c>
      <c r="D791" t="s">
        <v>1214</v>
      </c>
      <c r="E791" t="s">
        <v>1221</v>
      </c>
      <c r="F791" t="s">
        <v>1229</v>
      </c>
      <c r="G791">
        <v>2</v>
      </c>
      <c r="H791">
        <v>4640</v>
      </c>
      <c r="I791">
        <v>9280</v>
      </c>
      <c r="J791" s="2">
        <v>1241.04</v>
      </c>
    </row>
    <row r="792" spans="1:10" x14ac:dyDescent="0.3">
      <c r="A792" t="s">
        <v>800</v>
      </c>
      <c r="B792" s="1">
        <v>45262</v>
      </c>
      <c r="C792" t="s">
        <v>1213</v>
      </c>
      <c r="D792" t="s">
        <v>1217</v>
      </c>
      <c r="E792" t="s">
        <v>1222</v>
      </c>
      <c r="F792" t="s">
        <v>1236</v>
      </c>
      <c r="G792">
        <v>6</v>
      </c>
      <c r="H792">
        <v>3088</v>
      </c>
      <c r="I792">
        <v>18528</v>
      </c>
      <c r="J792" s="2">
        <v>3284.29</v>
      </c>
    </row>
    <row r="793" spans="1:10" x14ac:dyDescent="0.3">
      <c r="A793" t="s">
        <v>801</v>
      </c>
      <c r="B793" s="1">
        <v>45278</v>
      </c>
      <c r="C793" t="s">
        <v>1212</v>
      </c>
      <c r="D793" t="s">
        <v>1214</v>
      </c>
      <c r="E793" t="s">
        <v>1220</v>
      </c>
      <c r="F793" t="s">
        <v>1228</v>
      </c>
      <c r="G793">
        <v>6</v>
      </c>
      <c r="H793">
        <v>2268</v>
      </c>
      <c r="I793">
        <v>13608</v>
      </c>
      <c r="J793" s="2">
        <v>2075.29</v>
      </c>
    </row>
    <row r="794" spans="1:10" x14ac:dyDescent="0.3">
      <c r="A794" t="s">
        <v>802</v>
      </c>
      <c r="B794" s="1">
        <v>45170</v>
      </c>
      <c r="C794" t="s">
        <v>1212</v>
      </c>
      <c r="D794" t="s">
        <v>1218</v>
      </c>
      <c r="E794" t="s">
        <v>1219</v>
      </c>
      <c r="F794" t="s">
        <v>1238</v>
      </c>
      <c r="G794">
        <v>9</v>
      </c>
      <c r="H794">
        <v>473</v>
      </c>
      <c r="I794">
        <v>4257</v>
      </c>
      <c r="J794" s="2">
        <v>545.57000000000005</v>
      </c>
    </row>
    <row r="795" spans="1:10" x14ac:dyDescent="0.3">
      <c r="A795" t="s">
        <v>803</v>
      </c>
      <c r="B795" s="1">
        <v>45035</v>
      </c>
      <c r="C795" t="s">
        <v>1212</v>
      </c>
      <c r="D795" t="s">
        <v>1217</v>
      </c>
      <c r="E795" t="s">
        <v>1219</v>
      </c>
      <c r="F795" t="s">
        <v>1238</v>
      </c>
      <c r="G795">
        <v>4</v>
      </c>
      <c r="H795">
        <v>4486</v>
      </c>
      <c r="I795">
        <v>17944</v>
      </c>
      <c r="J795" s="2">
        <v>4069.55</v>
      </c>
    </row>
    <row r="796" spans="1:10" x14ac:dyDescent="0.3">
      <c r="A796" t="s">
        <v>804</v>
      </c>
      <c r="B796" s="1">
        <v>45072</v>
      </c>
      <c r="C796" t="s">
        <v>1210</v>
      </c>
      <c r="D796" t="s">
        <v>1217</v>
      </c>
      <c r="E796" t="s">
        <v>1221</v>
      </c>
      <c r="F796" t="s">
        <v>1231</v>
      </c>
      <c r="G796">
        <v>3</v>
      </c>
      <c r="H796">
        <v>3532</v>
      </c>
      <c r="I796">
        <v>10596</v>
      </c>
      <c r="J796" s="2">
        <v>1864.69</v>
      </c>
    </row>
    <row r="797" spans="1:10" x14ac:dyDescent="0.3">
      <c r="A797" t="s">
        <v>805</v>
      </c>
      <c r="B797" s="1">
        <v>44934</v>
      </c>
      <c r="C797" t="s">
        <v>1210</v>
      </c>
      <c r="D797" t="s">
        <v>1218</v>
      </c>
      <c r="E797" t="s">
        <v>1222</v>
      </c>
      <c r="F797" t="s">
        <v>1234</v>
      </c>
      <c r="G797">
        <v>4</v>
      </c>
      <c r="H797">
        <v>3460</v>
      </c>
      <c r="I797">
        <v>13840</v>
      </c>
      <c r="J797" s="2">
        <v>1782.97</v>
      </c>
    </row>
    <row r="798" spans="1:10" x14ac:dyDescent="0.3">
      <c r="A798" t="s">
        <v>806</v>
      </c>
      <c r="B798" s="1">
        <v>45090</v>
      </c>
      <c r="C798" t="s">
        <v>1213</v>
      </c>
      <c r="D798" t="s">
        <v>1215</v>
      </c>
      <c r="E798" t="s">
        <v>1220</v>
      </c>
      <c r="F798" t="s">
        <v>1228</v>
      </c>
      <c r="G798">
        <v>3</v>
      </c>
      <c r="H798">
        <v>2732</v>
      </c>
      <c r="I798">
        <v>8196</v>
      </c>
      <c r="J798" s="2">
        <v>848.13</v>
      </c>
    </row>
    <row r="799" spans="1:10" x14ac:dyDescent="0.3">
      <c r="A799" t="s">
        <v>807</v>
      </c>
      <c r="B799" s="1">
        <v>45056</v>
      </c>
      <c r="C799" t="s">
        <v>1211</v>
      </c>
      <c r="D799" t="s">
        <v>1216</v>
      </c>
      <c r="E799" t="s">
        <v>1221</v>
      </c>
      <c r="F799" t="s">
        <v>1231</v>
      </c>
      <c r="G799">
        <v>8</v>
      </c>
      <c r="H799">
        <v>272</v>
      </c>
      <c r="I799">
        <v>2176</v>
      </c>
      <c r="J799" s="2">
        <v>455.22</v>
      </c>
    </row>
    <row r="800" spans="1:10" x14ac:dyDescent="0.3">
      <c r="A800" t="s">
        <v>808</v>
      </c>
      <c r="B800" s="1">
        <v>45077</v>
      </c>
      <c r="C800" t="s">
        <v>1212</v>
      </c>
      <c r="D800" t="s">
        <v>1217</v>
      </c>
      <c r="E800" t="s">
        <v>1219</v>
      </c>
      <c r="F800" t="s">
        <v>1238</v>
      </c>
      <c r="G800">
        <v>8</v>
      </c>
      <c r="H800">
        <v>2055</v>
      </c>
      <c r="I800">
        <v>16440</v>
      </c>
      <c r="J800" s="2">
        <v>3119.53</v>
      </c>
    </row>
    <row r="801" spans="1:10" x14ac:dyDescent="0.3">
      <c r="A801" t="s">
        <v>809</v>
      </c>
      <c r="B801" s="1">
        <v>45202</v>
      </c>
      <c r="C801" t="s">
        <v>1213</v>
      </c>
      <c r="D801" t="s">
        <v>1218</v>
      </c>
      <c r="E801" t="s">
        <v>1219</v>
      </c>
      <c r="F801" t="s">
        <v>1232</v>
      </c>
      <c r="G801">
        <v>7</v>
      </c>
      <c r="H801">
        <v>934</v>
      </c>
      <c r="I801">
        <v>6538</v>
      </c>
      <c r="J801" s="2">
        <v>1291.79</v>
      </c>
    </row>
    <row r="802" spans="1:10" x14ac:dyDescent="0.3">
      <c r="A802" t="s">
        <v>810</v>
      </c>
      <c r="B802" s="1">
        <v>45146</v>
      </c>
      <c r="C802" t="s">
        <v>1211</v>
      </c>
      <c r="D802" t="s">
        <v>1214</v>
      </c>
      <c r="E802" t="s">
        <v>1222</v>
      </c>
      <c r="F802" t="s">
        <v>1230</v>
      </c>
      <c r="G802">
        <v>9</v>
      </c>
      <c r="H802">
        <v>3284</v>
      </c>
      <c r="I802">
        <v>29556</v>
      </c>
      <c r="J802" s="2">
        <v>4515.8999999999996</v>
      </c>
    </row>
    <row r="803" spans="1:10" x14ac:dyDescent="0.3">
      <c r="A803" t="s">
        <v>811</v>
      </c>
      <c r="B803" s="1">
        <v>45251</v>
      </c>
      <c r="C803" t="s">
        <v>1210</v>
      </c>
      <c r="D803" t="s">
        <v>1214</v>
      </c>
      <c r="E803" t="s">
        <v>1220</v>
      </c>
      <c r="F803" t="s">
        <v>1237</v>
      </c>
      <c r="G803">
        <v>2</v>
      </c>
      <c r="H803">
        <v>3133</v>
      </c>
      <c r="I803">
        <v>6266</v>
      </c>
      <c r="J803" s="2">
        <v>834.98</v>
      </c>
    </row>
    <row r="804" spans="1:10" x14ac:dyDescent="0.3">
      <c r="A804" t="s">
        <v>812</v>
      </c>
      <c r="B804" s="1">
        <v>45143</v>
      </c>
      <c r="C804" t="s">
        <v>1213</v>
      </c>
      <c r="D804" t="s">
        <v>1214</v>
      </c>
      <c r="E804" t="s">
        <v>1221</v>
      </c>
      <c r="G804">
        <v>8</v>
      </c>
      <c r="H804">
        <v>3632</v>
      </c>
      <c r="I804">
        <v>29056</v>
      </c>
      <c r="J804" s="2">
        <v>4153.25</v>
      </c>
    </row>
    <row r="805" spans="1:10" x14ac:dyDescent="0.3">
      <c r="A805" t="s">
        <v>813</v>
      </c>
      <c r="B805" s="1">
        <v>44956</v>
      </c>
      <c r="C805" t="s">
        <v>1210</v>
      </c>
      <c r="D805" t="s">
        <v>1218</v>
      </c>
      <c r="E805" t="s">
        <v>1219</v>
      </c>
      <c r="F805" t="s">
        <v>1233</v>
      </c>
      <c r="G805">
        <v>1</v>
      </c>
      <c r="H805">
        <v>3117</v>
      </c>
      <c r="I805">
        <v>3117</v>
      </c>
      <c r="J805" s="2">
        <v>589.32000000000005</v>
      </c>
    </row>
    <row r="806" spans="1:10" x14ac:dyDescent="0.3">
      <c r="A806" t="s">
        <v>814</v>
      </c>
      <c r="B806" s="1">
        <v>45136</v>
      </c>
      <c r="C806" t="s">
        <v>1213</v>
      </c>
      <c r="D806" t="s">
        <v>1216</v>
      </c>
      <c r="E806" t="s">
        <v>1222</v>
      </c>
      <c r="F806" t="s">
        <v>1236</v>
      </c>
      <c r="G806">
        <v>6</v>
      </c>
      <c r="H806">
        <v>4527</v>
      </c>
      <c r="I806">
        <v>27162</v>
      </c>
      <c r="J806" s="2">
        <v>5924.21</v>
      </c>
    </row>
    <row r="807" spans="1:10" x14ac:dyDescent="0.3">
      <c r="A807" t="s">
        <v>815</v>
      </c>
      <c r="B807" s="1">
        <v>44933</v>
      </c>
      <c r="C807" t="s">
        <v>1210</v>
      </c>
      <c r="D807" t="s">
        <v>1217</v>
      </c>
      <c r="E807" t="s">
        <v>1219</v>
      </c>
      <c r="F807" t="s">
        <v>1233</v>
      </c>
      <c r="G807">
        <v>1</v>
      </c>
      <c r="H807">
        <v>3974</v>
      </c>
      <c r="I807">
        <v>3974</v>
      </c>
      <c r="J807" s="2">
        <v>943.65</v>
      </c>
    </row>
    <row r="808" spans="1:10" x14ac:dyDescent="0.3">
      <c r="A808" t="s">
        <v>816</v>
      </c>
      <c r="B808" s="1">
        <v>45141</v>
      </c>
      <c r="C808" t="s">
        <v>1211</v>
      </c>
      <c r="D808" t="s">
        <v>1215</v>
      </c>
      <c r="E808" t="s">
        <v>1220</v>
      </c>
      <c r="F808" t="s">
        <v>1224</v>
      </c>
      <c r="G808">
        <v>9</v>
      </c>
      <c r="H808">
        <v>4813</v>
      </c>
      <c r="I808">
        <v>43317</v>
      </c>
      <c r="J808" s="2">
        <v>8548.82</v>
      </c>
    </row>
    <row r="809" spans="1:10" x14ac:dyDescent="0.3">
      <c r="A809" t="s">
        <v>817</v>
      </c>
      <c r="B809" s="1">
        <v>45041</v>
      </c>
      <c r="C809" t="s">
        <v>1211</v>
      </c>
      <c r="D809" t="s">
        <v>1217</v>
      </c>
      <c r="E809" t="s">
        <v>1220</v>
      </c>
      <c r="F809" t="s">
        <v>1228</v>
      </c>
      <c r="G809">
        <v>7</v>
      </c>
      <c r="H809">
        <v>2578</v>
      </c>
      <c r="I809">
        <v>18046</v>
      </c>
      <c r="J809" s="2">
        <v>3010.02</v>
      </c>
    </row>
    <row r="810" spans="1:10" x14ac:dyDescent="0.3">
      <c r="A810" t="s">
        <v>818</v>
      </c>
      <c r="B810" s="1">
        <v>45110</v>
      </c>
      <c r="C810" t="s">
        <v>1210</v>
      </c>
      <c r="D810" t="s">
        <v>1214</v>
      </c>
      <c r="E810" t="s">
        <v>1221</v>
      </c>
      <c r="F810" t="s">
        <v>1235</v>
      </c>
      <c r="G810">
        <v>6</v>
      </c>
      <c r="H810">
        <v>887</v>
      </c>
      <c r="I810">
        <v>5322</v>
      </c>
      <c r="J810" s="2">
        <v>723.26</v>
      </c>
    </row>
    <row r="811" spans="1:10" x14ac:dyDescent="0.3">
      <c r="A811" t="s">
        <v>819</v>
      </c>
      <c r="B811" s="1">
        <v>44985</v>
      </c>
      <c r="C811" t="s">
        <v>1210</v>
      </c>
      <c r="D811" t="s">
        <v>1218</v>
      </c>
      <c r="E811" t="s">
        <v>1221</v>
      </c>
      <c r="F811" t="s">
        <v>1235</v>
      </c>
      <c r="G811">
        <v>4</v>
      </c>
      <c r="H811">
        <v>3383</v>
      </c>
      <c r="I811">
        <v>13532</v>
      </c>
      <c r="J811" s="2">
        <v>1802.41</v>
      </c>
    </row>
    <row r="812" spans="1:10" x14ac:dyDescent="0.3">
      <c r="A812" t="s">
        <v>820</v>
      </c>
      <c r="B812" s="1">
        <v>44961</v>
      </c>
      <c r="C812" t="s">
        <v>1210</v>
      </c>
      <c r="D812" t="s">
        <v>1214</v>
      </c>
      <c r="E812" t="s">
        <v>1222</v>
      </c>
      <c r="F812" t="s">
        <v>1234</v>
      </c>
      <c r="G812">
        <v>8</v>
      </c>
      <c r="H812">
        <v>1535</v>
      </c>
      <c r="I812">
        <v>12280</v>
      </c>
      <c r="J812" s="2">
        <v>2332.7399999999998</v>
      </c>
    </row>
    <row r="813" spans="1:10" x14ac:dyDescent="0.3">
      <c r="A813" t="s">
        <v>821</v>
      </c>
      <c r="B813" s="1">
        <v>45156</v>
      </c>
      <c r="C813" t="s">
        <v>1210</v>
      </c>
      <c r="D813" t="s">
        <v>1216</v>
      </c>
      <c r="E813" t="s">
        <v>1220</v>
      </c>
      <c r="F813" t="s">
        <v>1228</v>
      </c>
      <c r="G813">
        <v>8</v>
      </c>
      <c r="H813">
        <v>2530</v>
      </c>
      <c r="I813">
        <v>20240</v>
      </c>
      <c r="J813" s="2">
        <v>4920.55</v>
      </c>
    </row>
    <row r="814" spans="1:10" x14ac:dyDescent="0.3">
      <c r="A814" t="s">
        <v>822</v>
      </c>
      <c r="B814" s="1">
        <v>45091</v>
      </c>
      <c r="C814" t="s">
        <v>1212</v>
      </c>
      <c r="D814" t="s">
        <v>1214</v>
      </c>
      <c r="E814" t="s">
        <v>1219</v>
      </c>
      <c r="F814" t="s">
        <v>1232</v>
      </c>
      <c r="G814">
        <v>5</v>
      </c>
      <c r="H814">
        <v>889</v>
      </c>
      <c r="I814">
        <v>4445</v>
      </c>
      <c r="J814" s="2">
        <v>659.21</v>
      </c>
    </row>
    <row r="815" spans="1:10" x14ac:dyDescent="0.3">
      <c r="A815" t="s">
        <v>823</v>
      </c>
      <c r="B815" s="1">
        <v>45150</v>
      </c>
      <c r="C815" t="s">
        <v>1210</v>
      </c>
      <c r="D815" t="s">
        <v>1216</v>
      </c>
      <c r="E815" t="s">
        <v>1219</v>
      </c>
      <c r="F815" t="s">
        <v>1232</v>
      </c>
      <c r="G815">
        <v>3</v>
      </c>
      <c r="H815">
        <v>3703</v>
      </c>
      <c r="I815">
        <v>11109</v>
      </c>
      <c r="J815" s="2">
        <v>2453.7600000000002</v>
      </c>
    </row>
    <row r="816" spans="1:10" x14ac:dyDescent="0.3">
      <c r="A816" t="s">
        <v>824</v>
      </c>
      <c r="B816" s="1">
        <v>45179</v>
      </c>
      <c r="C816" t="s">
        <v>1212</v>
      </c>
      <c r="D816" t="s">
        <v>1218</v>
      </c>
      <c r="E816" t="s">
        <v>1219</v>
      </c>
      <c r="F816" t="s">
        <v>1233</v>
      </c>
      <c r="G816">
        <v>3</v>
      </c>
      <c r="H816">
        <v>315</v>
      </c>
      <c r="I816">
        <v>945</v>
      </c>
      <c r="J816" s="2">
        <v>150.91</v>
      </c>
    </row>
    <row r="817" spans="1:10" x14ac:dyDescent="0.3">
      <c r="A817" t="s">
        <v>825</v>
      </c>
      <c r="B817" s="1">
        <v>45261</v>
      </c>
      <c r="C817" t="s">
        <v>1210</v>
      </c>
      <c r="D817" t="s">
        <v>1214</v>
      </c>
      <c r="E817" t="s">
        <v>1221</v>
      </c>
      <c r="F817" t="s">
        <v>1226</v>
      </c>
      <c r="G817">
        <v>4</v>
      </c>
      <c r="H817">
        <v>1273</v>
      </c>
      <c r="I817">
        <v>5092</v>
      </c>
      <c r="J817" s="2">
        <v>672.51</v>
      </c>
    </row>
    <row r="818" spans="1:10" x14ac:dyDescent="0.3">
      <c r="A818" t="s">
        <v>826</v>
      </c>
      <c r="B818" s="1">
        <v>45116</v>
      </c>
      <c r="C818" t="s">
        <v>1210</v>
      </c>
      <c r="D818" t="s">
        <v>1215</v>
      </c>
      <c r="E818" t="s">
        <v>1219</v>
      </c>
      <c r="F818" t="s">
        <v>1233</v>
      </c>
      <c r="G818">
        <v>4</v>
      </c>
      <c r="H818">
        <v>2494</v>
      </c>
      <c r="I818">
        <v>9976</v>
      </c>
      <c r="J818" s="2">
        <v>1256.93</v>
      </c>
    </row>
    <row r="819" spans="1:10" x14ac:dyDescent="0.3">
      <c r="A819" t="s">
        <v>827</v>
      </c>
      <c r="B819" s="1">
        <v>45182</v>
      </c>
      <c r="C819" t="s">
        <v>1211</v>
      </c>
      <c r="D819" t="s">
        <v>1216</v>
      </c>
      <c r="E819" t="s">
        <v>1222</v>
      </c>
      <c r="F819" t="s">
        <v>1230</v>
      </c>
      <c r="G819">
        <v>8</v>
      </c>
      <c r="H819">
        <v>551</v>
      </c>
      <c r="I819">
        <v>4408</v>
      </c>
      <c r="J819" s="2">
        <v>789.24</v>
      </c>
    </row>
    <row r="820" spans="1:10" x14ac:dyDescent="0.3">
      <c r="A820" t="s">
        <v>828</v>
      </c>
      <c r="B820" s="1">
        <v>45162</v>
      </c>
      <c r="C820" t="s">
        <v>1211</v>
      </c>
      <c r="D820" t="s">
        <v>1218</v>
      </c>
      <c r="E820" t="s">
        <v>1222</v>
      </c>
      <c r="F820" t="s">
        <v>1234</v>
      </c>
      <c r="G820">
        <v>1</v>
      </c>
      <c r="H820">
        <v>745</v>
      </c>
      <c r="I820">
        <v>745</v>
      </c>
      <c r="J820" s="2">
        <v>106.35</v>
      </c>
    </row>
    <row r="821" spans="1:10" x14ac:dyDescent="0.3">
      <c r="A821" t="s">
        <v>829</v>
      </c>
      <c r="B821" s="1">
        <v>45118</v>
      </c>
      <c r="C821" t="s">
        <v>1212</v>
      </c>
      <c r="D821" t="s">
        <v>1218</v>
      </c>
      <c r="E821" t="s">
        <v>1222</v>
      </c>
      <c r="F821" t="s">
        <v>1230</v>
      </c>
      <c r="G821">
        <v>2</v>
      </c>
      <c r="H821">
        <v>2749</v>
      </c>
      <c r="I821">
        <v>5498</v>
      </c>
      <c r="J821" s="2">
        <v>872.21</v>
      </c>
    </row>
    <row r="822" spans="1:10" x14ac:dyDescent="0.3">
      <c r="A822" t="s">
        <v>830</v>
      </c>
      <c r="B822" s="1">
        <v>45266</v>
      </c>
      <c r="C822" t="s">
        <v>1212</v>
      </c>
      <c r="D822" t="s">
        <v>1215</v>
      </c>
      <c r="E822" t="s">
        <v>1220</v>
      </c>
      <c r="F822" t="s">
        <v>1225</v>
      </c>
      <c r="G822">
        <v>8</v>
      </c>
      <c r="H822">
        <v>3839</v>
      </c>
      <c r="I822">
        <v>30712</v>
      </c>
      <c r="J822" s="2">
        <v>5224.4399999999996</v>
      </c>
    </row>
    <row r="823" spans="1:10" x14ac:dyDescent="0.3">
      <c r="A823" t="s">
        <v>831</v>
      </c>
      <c r="B823" s="1">
        <v>45048</v>
      </c>
      <c r="C823" t="s">
        <v>1213</v>
      </c>
      <c r="D823" t="s">
        <v>1218</v>
      </c>
      <c r="E823" t="s">
        <v>1222</v>
      </c>
      <c r="F823" t="s">
        <v>1230</v>
      </c>
      <c r="G823">
        <v>3</v>
      </c>
      <c r="H823">
        <v>3756</v>
      </c>
      <c r="I823">
        <v>11268</v>
      </c>
      <c r="J823" s="2">
        <v>2472.6799999999998</v>
      </c>
    </row>
    <row r="824" spans="1:10" x14ac:dyDescent="0.3">
      <c r="A824" t="s">
        <v>832</v>
      </c>
      <c r="B824" s="1">
        <v>45276</v>
      </c>
      <c r="C824" t="s">
        <v>1211</v>
      </c>
      <c r="D824" t="s">
        <v>1218</v>
      </c>
      <c r="E824" t="s">
        <v>1219</v>
      </c>
      <c r="F824" t="s">
        <v>1232</v>
      </c>
      <c r="G824">
        <v>7</v>
      </c>
      <c r="H824">
        <v>4425</v>
      </c>
      <c r="I824">
        <v>30975</v>
      </c>
      <c r="J824" s="2">
        <v>7379.49</v>
      </c>
    </row>
    <row r="825" spans="1:10" x14ac:dyDescent="0.3">
      <c r="A825" t="s">
        <v>833</v>
      </c>
      <c r="B825" s="1">
        <v>45233</v>
      </c>
      <c r="C825" t="s">
        <v>1212</v>
      </c>
      <c r="D825" t="s">
        <v>1215</v>
      </c>
      <c r="E825" t="s">
        <v>1219</v>
      </c>
      <c r="F825" t="s">
        <v>1232</v>
      </c>
      <c r="G825">
        <v>5</v>
      </c>
      <c r="H825">
        <v>3931</v>
      </c>
      <c r="I825">
        <v>19655</v>
      </c>
      <c r="J825" s="2">
        <v>1577.89</v>
      </c>
    </row>
    <row r="826" spans="1:10" x14ac:dyDescent="0.3">
      <c r="A826" t="s">
        <v>834</v>
      </c>
      <c r="B826" s="1">
        <v>45191</v>
      </c>
      <c r="C826" t="s">
        <v>1210</v>
      </c>
      <c r="D826" t="s">
        <v>1216</v>
      </c>
      <c r="E826" t="s">
        <v>1221</v>
      </c>
      <c r="F826" t="s">
        <v>1231</v>
      </c>
      <c r="G826">
        <v>5</v>
      </c>
      <c r="H826">
        <v>1649</v>
      </c>
      <c r="I826">
        <v>8245</v>
      </c>
      <c r="J826" s="2">
        <v>967.45</v>
      </c>
    </row>
    <row r="827" spans="1:10" x14ac:dyDescent="0.3">
      <c r="A827" t="s">
        <v>835</v>
      </c>
      <c r="B827" s="1">
        <v>45177</v>
      </c>
      <c r="C827" t="s">
        <v>1211</v>
      </c>
      <c r="D827" t="s">
        <v>1218</v>
      </c>
      <c r="E827" t="s">
        <v>1220</v>
      </c>
      <c r="F827" t="s">
        <v>1224</v>
      </c>
      <c r="G827">
        <v>6</v>
      </c>
      <c r="H827">
        <v>2921</v>
      </c>
      <c r="I827">
        <v>17526</v>
      </c>
      <c r="J827" s="2">
        <v>1902.07</v>
      </c>
    </row>
    <row r="828" spans="1:10" x14ac:dyDescent="0.3">
      <c r="A828" t="s">
        <v>836</v>
      </c>
      <c r="B828" s="1">
        <v>45186</v>
      </c>
      <c r="C828" t="s">
        <v>1212</v>
      </c>
      <c r="D828" t="s">
        <v>1217</v>
      </c>
      <c r="E828" t="s">
        <v>1220</v>
      </c>
      <c r="F828" t="s">
        <v>1237</v>
      </c>
      <c r="G828">
        <v>1</v>
      </c>
      <c r="H828">
        <v>712</v>
      </c>
      <c r="I828">
        <v>712</v>
      </c>
      <c r="J828" s="2">
        <v>71.38</v>
      </c>
    </row>
    <row r="829" spans="1:10" x14ac:dyDescent="0.3">
      <c r="A829" t="s">
        <v>837</v>
      </c>
      <c r="B829" s="1">
        <v>45154</v>
      </c>
      <c r="C829" t="s">
        <v>1213</v>
      </c>
      <c r="D829" t="s">
        <v>1217</v>
      </c>
      <c r="E829" t="s">
        <v>1219</v>
      </c>
      <c r="F829" t="s">
        <v>1238</v>
      </c>
      <c r="G829">
        <v>1</v>
      </c>
      <c r="H829">
        <v>2531</v>
      </c>
      <c r="I829">
        <v>2531</v>
      </c>
      <c r="J829" s="2">
        <v>303.38</v>
      </c>
    </row>
    <row r="830" spans="1:10" x14ac:dyDescent="0.3">
      <c r="A830" t="s">
        <v>838</v>
      </c>
      <c r="B830" s="1">
        <v>44944</v>
      </c>
      <c r="C830" t="s">
        <v>1211</v>
      </c>
      <c r="D830" t="s">
        <v>1215</v>
      </c>
      <c r="E830" t="s">
        <v>1219</v>
      </c>
      <c r="F830" t="s">
        <v>1233</v>
      </c>
      <c r="G830">
        <v>8</v>
      </c>
      <c r="H830">
        <v>1279</v>
      </c>
      <c r="I830">
        <v>10232</v>
      </c>
      <c r="J830" s="2">
        <v>1905.13</v>
      </c>
    </row>
    <row r="831" spans="1:10" x14ac:dyDescent="0.3">
      <c r="A831" t="s">
        <v>839</v>
      </c>
      <c r="B831" s="1">
        <v>45005</v>
      </c>
      <c r="C831" t="s">
        <v>1211</v>
      </c>
      <c r="D831" t="s">
        <v>1214</v>
      </c>
      <c r="E831" t="s">
        <v>1222</v>
      </c>
      <c r="F831" t="s">
        <v>1234</v>
      </c>
      <c r="G831">
        <v>7</v>
      </c>
      <c r="H831">
        <v>4484</v>
      </c>
      <c r="I831">
        <v>31388</v>
      </c>
      <c r="J831" s="2">
        <v>5226.4799999999996</v>
      </c>
    </row>
    <row r="832" spans="1:10" x14ac:dyDescent="0.3">
      <c r="A832" t="s">
        <v>840</v>
      </c>
      <c r="B832" s="1">
        <v>44997</v>
      </c>
      <c r="C832" t="s">
        <v>1213</v>
      </c>
      <c r="D832" t="s">
        <v>1217</v>
      </c>
      <c r="E832" t="s">
        <v>1220</v>
      </c>
      <c r="F832" t="s">
        <v>1225</v>
      </c>
      <c r="G832">
        <v>2</v>
      </c>
      <c r="H832">
        <v>1025</v>
      </c>
      <c r="I832">
        <v>2050</v>
      </c>
      <c r="J832" s="2">
        <v>177.14</v>
      </c>
    </row>
    <row r="833" spans="1:10" x14ac:dyDescent="0.3">
      <c r="A833" t="s">
        <v>841</v>
      </c>
      <c r="B833" s="1">
        <v>44994</v>
      </c>
      <c r="C833" t="s">
        <v>1211</v>
      </c>
      <c r="D833" t="s">
        <v>1218</v>
      </c>
      <c r="E833" t="s">
        <v>1220</v>
      </c>
      <c r="F833" t="s">
        <v>1237</v>
      </c>
      <c r="G833">
        <v>8</v>
      </c>
      <c r="H833">
        <v>4765</v>
      </c>
      <c r="I833">
        <v>38120</v>
      </c>
      <c r="J833" s="2">
        <v>8120.51</v>
      </c>
    </row>
    <row r="834" spans="1:10" x14ac:dyDescent="0.3">
      <c r="A834" t="s">
        <v>842</v>
      </c>
      <c r="B834" s="1">
        <v>45177</v>
      </c>
      <c r="C834" t="s">
        <v>1210</v>
      </c>
      <c r="D834" t="s">
        <v>1216</v>
      </c>
      <c r="E834" t="s">
        <v>1221</v>
      </c>
      <c r="F834" t="s">
        <v>1229</v>
      </c>
      <c r="G834">
        <v>5</v>
      </c>
      <c r="H834">
        <v>2721</v>
      </c>
      <c r="I834">
        <v>13605</v>
      </c>
      <c r="J834" s="2">
        <v>1887.67</v>
      </c>
    </row>
    <row r="835" spans="1:10" x14ac:dyDescent="0.3">
      <c r="A835" t="s">
        <v>843</v>
      </c>
      <c r="B835" s="1">
        <v>44946</v>
      </c>
      <c r="C835" t="s">
        <v>1213</v>
      </c>
      <c r="D835" t="s">
        <v>1214</v>
      </c>
      <c r="E835" t="s">
        <v>1220</v>
      </c>
      <c r="F835" t="s">
        <v>1237</v>
      </c>
      <c r="G835">
        <v>8</v>
      </c>
      <c r="H835">
        <v>2938</v>
      </c>
      <c r="I835">
        <v>23504</v>
      </c>
      <c r="J835" s="2">
        <v>1953.34</v>
      </c>
    </row>
    <row r="836" spans="1:10" x14ac:dyDescent="0.3">
      <c r="A836" t="s">
        <v>844</v>
      </c>
      <c r="B836" s="1">
        <v>45009</v>
      </c>
      <c r="C836" t="s">
        <v>1211</v>
      </c>
      <c r="D836" t="s">
        <v>1218</v>
      </c>
      <c r="E836" t="s">
        <v>1220</v>
      </c>
      <c r="F836" t="s">
        <v>1224</v>
      </c>
      <c r="G836">
        <v>1</v>
      </c>
      <c r="H836">
        <v>440</v>
      </c>
      <c r="I836">
        <v>440</v>
      </c>
      <c r="J836" s="2">
        <v>45.45</v>
      </c>
    </row>
    <row r="837" spans="1:10" x14ac:dyDescent="0.3">
      <c r="A837" t="s">
        <v>845</v>
      </c>
      <c r="B837" s="1">
        <v>44948</v>
      </c>
      <c r="C837" t="s">
        <v>1210</v>
      </c>
      <c r="D837" t="s">
        <v>1216</v>
      </c>
      <c r="E837" t="s">
        <v>1219</v>
      </c>
      <c r="F837" t="s">
        <v>1223</v>
      </c>
      <c r="G837">
        <v>3</v>
      </c>
      <c r="H837">
        <v>4869</v>
      </c>
      <c r="I837">
        <v>14607</v>
      </c>
      <c r="J837" s="2">
        <v>2104.39</v>
      </c>
    </row>
    <row r="838" spans="1:10" x14ac:dyDescent="0.3">
      <c r="A838" t="s">
        <v>846</v>
      </c>
      <c r="B838" s="1">
        <v>44957</v>
      </c>
      <c r="C838" t="s">
        <v>1211</v>
      </c>
      <c r="D838" t="s">
        <v>1217</v>
      </c>
      <c r="E838" t="s">
        <v>1220</v>
      </c>
      <c r="F838" t="s">
        <v>1228</v>
      </c>
      <c r="G838">
        <v>3</v>
      </c>
      <c r="H838">
        <v>2801</v>
      </c>
      <c r="I838">
        <v>8403</v>
      </c>
      <c r="J838" s="2">
        <v>824.81</v>
      </c>
    </row>
    <row r="839" spans="1:10" x14ac:dyDescent="0.3">
      <c r="A839" t="s">
        <v>847</v>
      </c>
      <c r="B839" s="1">
        <v>45133</v>
      </c>
      <c r="C839" t="s">
        <v>1211</v>
      </c>
      <c r="D839" t="s">
        <v>1214</v>
      </c>
      <c r="E839" t="s">
        <v>1219</v>
      </c>
      <c r="F839" t="s">
        <v>1233</v>
      </c>
      <c r="G839">
        <v>1</v>
      </c>
      <c r="H839">
        <v>1517</v>
      </c>
      <c r="I839">
        <v>1517</v>
      </c>
      <c r="J839" s="2">
        <v>203.99</v>
      </c>
    </row>
    <row r="840" spans="1:10" x14ac:dyDescent="0.3">
      <c r="A840" t="s">
        <v>848</v>
      </c>
      <c r="B840" s="1">
        <v>45234</v>
      </c>
      <c r="C840" t="s">
        <v>1212</v>
      </c>
      <c r="D840" t="s">
        <v>1215</v>
      </c>
      <c r="E840" t="s">
        <v>1221</v>
      </c>
      <c r="F840" t="s">
        <v>1235</v>
      </c>
      <c r="G840">
        <v>3</v>
      </c>
      <c r="H840">
        <v>1705</v>
      </c>
      <c r="I840">
        <v>5115</v>
      </c>
      <c r="J840" s="2">
        <v>1199.99</v>
      </c>
    </row>
    <row r="841" spans="1:10" x14ac:dyDescent="0.3">
      <c r="A841" t="s">
        <v>849</v>
      </c>
      <c r="B841" s="1">
        <v>45203</v>
      </c>
      <c r="C841" t="s">
        <v>1212</v>
      </c>
      <c r="D841" t="s">
        <v>1216</v>
      </c>
      <c r="E841" t="s">
        <v>1220</v>
      </c>
      <c r="F841" t="s">
        <v>1228</v>
      </c>
      <c r="G841">
        <v>1</v>
      </c>
      <c r="H841">
        <v>378</v>
      </c>
      <c r="I841">
        <v>378</v>
      </c>
      <c r="J841" s="2">
        <v>60.86</v>
      </c>
    </row>
    <row r="842" spans="1:10" x14ac:dyDescent="0.3">
      <c r="A842" t="s">
        <v>850</v>
      </c>
      <c r="B842" s="1">
        <v>45026</v>
      </c>
      <c r="C842" t="s">
        <v>1211</v>
      </c>
      <c r="D842" t="s">
        <v>1214</v>
      </c>
      <c r="E842" t="s">
        <v>1219</v>
      </c>
      <c r="F842" t="s">
        <v>1232</v>
      </c>
      <c r="G842">
        <v>6</v>
      </c>
      <c r="H842">
        <v>3095</v>
      </c>
      <c r="I842">
        <v>18570</v>
      </c>
      <c r="J842" s="2">
        <v>1850.41</v>
      </c>
    </row>
    <row r="843" spans="1:10" x14ac:dyDescent="0.3">
      <c r="A843" t="s">
        <v>851</v>
      </c>
      <c r="B843" s="1">
        <v>45253</v>
      </c>
      <c r="C843" t="s">
        <v>1213</v>
      </c>
      <c r="D843" t="s">
        <v>1217</v>
      </c>
      <c r="E843" t="s">
        <v>1222</v>
      </c>
      <c r="F843" t="s">
        <v>1234</v>
      </c>
      <c r="G843">
        <v>7</v>
      </c>
      <c r="H843">
        <v>3662</v>
      </c>
      <c r="I843">
        <v>25634</v>
      </c>
      <c r="J843" s="2">
        <v>2918.88</v>
      </c>
    </row>
    <row r="844" spans="1:10" x14ac:dyDescent="0.3">
      <c r="A844" t="s">
        <v>852</v>
      </c>
      <c r="B844" s="1">
        <v>44928</v>
      </c>
      <c r="C844" t="s">
        <v>1211</v>
      </c>
      <c r="D844" t="s">
        <v>1217</v>
      </c>
      <c r="E844" t="s">
        <v>1220</v>
      </c>
      <c r="F844" t="s">
        <v>1228</v>
      </c>
      <c r="G844">
        <v>4</v>
      </c>
      <c r="H844">
        <v>526</v>
      </c>
      <c r="I844">
        <v>2104</v>
      </c>
      <c r="J844" s="2">
        <v>380.15</v>
      </c>
    </row>
    <row r="845" spans="1:10" x14ac:dyDescent="0.3">
      <c r="A845" t="s">
        <v>853</v>
      </c>
      <c r="B845" s="1">
        <v>45214</v>
      </c>
      <c r="C845" t="s">
        <v>1212</v>
      </c>
      <c r="D845" t="s">
        <v>1216</v>
      </c>
      <c r="E845" t="s">
        <v>1222</v>
      </c>
      <c r="F845" t="s">
        <v>1234</v>
      </c>
      <c r="G845">
        <v>5</v>
      </c>
      <c r="H845">
        <v>2899</v>
      </c>
      <c r="I845">
        <v>14495</v>
      </c>
      <c r="J845" s="2">
        <v>3122.15</v>
      </c>
    </row>
    <row r="846" spans="1:10" x14ac:dyDescent="0.3">
      <c r="A846" t="s">
        <v>854</v>
      </c>
      <c r="B846" s="1">
        <v>44971</v>
      </c>
      <c r="C846" t="s">
        <v>1212</v>
      </c>
      <c r="D846" t="s">
        <v>1217</v>
      </c>
      <c r="E846" t="s">
        <v>1222</v>
      </c>
      <c r="F846" t="s">
        <v>1230</v>
      </c>
      <c r="G846">
        <v>5</v>
      </c>
      <c r="H846">
        <v>3329</v>
      </c>
      <c r="I846">
        <v>16645</v>
      </c>
      <c r="J846" s="2">
        <v>1579.04</v>
      </c>
    </row>
    <row r="847" spans="1:10" x14ac:dyDescent="0.3">
      <c r="A847" t="s">
        <v>855</v>
      </c>
      <c r="B847" s="1">
        <v>45118</v>
      </c>
      <c r="C847" t="s">
        <v>1210</v>
      </c>
      <c r="D847" t="s">
        <v>1218</v>
      </c>
      <c r="E847" t="s">
        <v>1222</v>
      </c>
      <c r="F847" t="s">
        <v>1227</v>
      </c>
      <c r="G847">
        <v>1</v>
      </c>
      <c r="H847">
        <v>747</v>
      </c>
      <c r="I847">
        <v>747</v>
      </c>
      <c r="J847" s="2">
        <v>82.5</v>
      </c>
    </row>
    <row r="848" spans="1:10" x14ac:dyDescent="0.3">
      <c r="A848" t="s">
        <v>856</v>
      </c>
      <c r="B848" s="1">
        <v>45262</v>
      </c>
      <c r="C848" t="s">
        <v>1210</v>
      </c>
      <c r="D848" t="s">
        <v>1215</v>
      </c>
      <c r="E848" t="s">
        <v>1222</v>
      </c>
      <c r="F848" t="s">
        <v>1234</v>
      </c>
      <c r="G848">
        <v>2</v>
      </c>
      <c r="H848">
        <v>1790</v>
      </c>
      <c r="I848">
        <v>3580</v>
      </c>
      <c r="J848" s="2">
        <v>791.02</v>
      </c>
    </row>
    <row r="849" spans="1:10" x14ac:dyDescent="0.3">
      <c r="A849" t="s">
        <v>857</v>
      </c>
      <c r="B849" s="1">
        <v>45095</v>
      </c>
      <c r="C849" t="s">
        <v>1212</v>
      </c>
      <c r="D849" t="s">
        <v>1214</v>
      </c>
      <c r="E849" t="s">
        <v>1220</v>
      </c>
      <c r="F849" t="s">
        <v>1237</v>
      </c>
      <c r="G849">
        <v>3</v>
      </c>
      <c r="H849">
        <v>2660</v>
      </c>
      <c r="I849">
        <v>7980</v>
      </c>
      <c r="J849" s="2">
        <v>836.49</v>
      </c>
    </row>
    <row r="850" spans="1:10" x14ac:dyDescent="0.3">
      <c r="A850" t="s">
        <v>858</v>
      </c>
      <c r="B850" s="1">
        <v>44927</v>
      </c>
      <c r="C850" t="s">
        <v>1212</v>
      </c>
      <c r="D850" t="s">
        <v>1216</v>
      </c>
      <c r="E850" t="s">
        <v>1220</v>
      </c>
      <c r="F850" t="s">
        <v>1224</v>
      </c>
      <c r="G850">
        <v>2</v>
      </c>
      <c r="H850">
        <v>3314</v>
      </c>
      <c r="I850">
        <v>6628</v>
      </c>
      <c r="J850" s="2">
        <v>608.03</v>
      </c>
    </row>
    <row r="851" spans="1:10" x14ac:dyDescent="0.3">
      <c r="A851" t="s">
        <v>859</v>
      </c>
      <c r="B851" s="1">
        <v>45152</v>
      </c>
      <c r="C851" t="s">
        <v>1211</v>
      </c>
      <c r="D851" t="s">
        <v>1216</v>
      </c>
      <c r="E851" t="s">
        <v>1221</v>
      </c>
      <c r="F851" t="s">
        <v>1229</v>
      </c>
      <c r="G851">
        <v>7</v>
      </c>
      <c r="H851">
        <v>3281</v>
      </c>
      <c r="I851">
        <v>22967</v>
      </c>
      <c r="J851" s="2">
        <v>2417.19</v>
      </c>
    </row>
    <row r="852" spans="1:10" x14ac:dyDescent="0.3">
      <c r="A852" t="s">
        <v>860</v>
      </c>
      <c r="B852" s="1">
        <v>45117</v>
      </c>
      <c r="C852" t="s">
        <v>1210</v>
      </c>
      <c r="D852" t="s">
        <v>1217</v>
      </c>
      <c r="E852" t="s">
        <v>1222</v>
      </c>
      <c r="F852" t="s">
        <v>1230</v>
      </c>
      <c r="G852">
        <v>1</v>
      </c>
      <c r="H852">
        <v>3368</v>
      </c>
      <c r="I852">
        <v>3368</v>
      </c>
      <c r="J852" s="2">
        <v>382.06</v>
      </c>
    </row>
    <row r="853" spans="1:10" x14ac:dyDescent="0.3">
      <c r="A853" t="s">
        <v>861</v>
      </c>
      <c r="B853" s="1">
        <v>44941</v>
      </c>
      <c r="C853" t="s">
        <v>1211</v>
      </c>
      <c r="D853" t="s">
        <v>1214</v>
      </c>
      <c r="E853" t="s">
        <v>1219</v>
      </c>
      <c r="F853" t="s">
        <v>1223</v>
      </c>
      <c r="G853">
        <v>8</v>
      </c>
      <c r="H853">
        <v>919</v>
      </c>
      <c r="I853">
        <v>7352</v>
      </c>
      <c r="J853" s="2">
        <v>1458.15</v>
      </c>
    </row>
    <row r="854" spans="1:10" x14ac:dyDescent="0.3">
      <c r="A854" t="s">
        <v>862</v>
      </c>
      <c r="B854" s="1">
        <v>45218</v>
      </c>
      <c r="C854" t="s">
        <v>1211</v>
      </c>
      <c r="D854" t="s">
        <v>1215</v>
      </c>
      <c r="E854" t="s">
        <v>1221</v>
      </c>
      <c r="F854" t="s">
        <v>1231</v>
      </c>
      <c r="G854">
        <v>2</v>
      </c>
      <c r="H854">
        <v>1665</v>
      </c>
      <c r="I854">
        <v>3330</v>
      </c>
      <c r="J854" s="2">
        <v>368.39</v>
      </c>
    </row>
    <row r="855" spans="1:10" x14ac:dyDescent="0.3">
      <c r="A855" t="s">
        <v>863</v>
      </c>
      <c r="B855" s="1">
        <v>45129</v>
      </c>
      <c r="C855" t="s">
        <v>1211</v>
      </c>
      <c r="D855" t="s">
        <v>1218</v>
      </c>
      <c r="E855" t="s">
        <v>1219</v>
      </c>
      <c r="F855" t="s">
        <v>1232</v>
      </c>
      <c r="G855">
        <v>7</v>
      </c>
      <c r="H855">
        <v>2694</v>
      </c>
      <c r="I855">
        <v>18858</v>
      </c>
      <c r="J855" s="2">
        <v>3354.53</v>
      </c>
    </row>
    <row r="856" spans="1:10" x14ac:dyDescent="0.3">
      <c r="A856" t="s">
        <v>864</v>
      </c>
      <c r="B856" s="1">
        <v>45270</v>
      </c>
      <c r="C856" t="s">
        <v>1213</v>
      </c>
      <c r="D856" t="s">
        <v>1218</v>
      </c>
      <c r="E856" t="s">
        <v>1222</v>
      </c>
      <c r="F856" t="s">
        <v>1236</v>
      </c>
      <c r="G856">
        <v>5</v>
      </c>
      <c r="H856">
        <v>3437</v>
      </c>
      <c r="I856">
        <v>17185</v>
      </c>
      <c r="J856" s="2">
        <v>1965.37</v>
      </c>
    </row>
    <row r="857" spans="1:10" x14ac:dyDescent="0.3">
      <c r="A857" t="s">
        <v>865</v>
      </c>
      <c r="B857" s="1">
        <v>45244</v>
      </c>
      <c r="C857" t="s">
        <v>1213</v>
      </c>
      <c r="D857" t="s">
        <v>1218</v>
      </c>
      <c r="E857" t="s">
        <v>1222</v>
      </c>
      <c r="F857" t="s">
        <v>1236</v>
      </c>
      <c r="G857">
        <v>5</v>
      </c>
      <c r="H857">
        <v>3401</v>
      </c>
      <c r="I857">
        <v>17005</v>
      </c>
      <c r="J857" s="2">
        <v>2508.85</v>
      </c>
    </row>
    <row r="858" spans="1:10" x14ac:dyDescent="0.3">
      <c r="A858" t="s">
        <v>866</v>
      </c>
      <c r="B858" s="1">
        <v>45020</v>
      </c>
      <c r="C858" t="s">
        <v>1213</v>
      </c>
      <c r="D858" t="s">
        <v>1217</v>
      </c>
      <c r="E858" t="s">
        <v>1221</v>
      </c>
      <c r="F858" t="s">
        <v>1231</v>
      </c>
      <c r="G858">
        <v>1</v>
      </c>
      <c r="H858">
        <v>4412</v>
      </c>
      <c r="I858">
        <v>4412</v>
      </c>
      <c r="J858" s="2">
        <v>780.79</v>
      </c>
    </row>
    <row r="859" spans="1:10" x14ac:dyDescent="0.3">
      <c r="A859" t="s">
        <v>867</v>
      </c>
      <c r="B859" s="1">
        <v>45000</v>
      </c>
      <c r="C859" t="s">
        <v>1212</v>
      </c>
      <c r="D859" t="s">
        <v>1218</v>
      </c>
      <c r="E859" t="s">
        <v>1219</v>
      </c>
      <c r="F859" t="s">
        <v>1232</v>
      </c>
      <c r="G859">
        <v>5</v>
      </c>
      <c r="H859">
        <v>4990</v>
      </c>
      <c r="I859">
        <v>24950</v>
      </c>
      <c r="J859" s="2">
        <v>3193.66</v>
      </c>
    </row>
    <row r="860" spans="1:10" x14ac:dyDescent="0.3">
      <c r="A860" t="s">
        <v>868</v>
      </c>
      <c r="B860" s="1">
        <v>44943</v>
      </c>
      <c r="C860" t="s">
        <v>1212</v>
      </c>
      <c r="D860" t="s">
        <v>1218</v>
      </c>
      <c r="E860" t="s">
        <v>1220</v>
      </c>
      <c r="F860" t="s">
        <v>1225</v>
      </c>
      <c r="G860">
        <v>4</v>
      </c>
      <c r="H860">
        <v>2348</v>
      </c>
      <c r="I860">
        <v>9392</v>
      </c>
      <c r="J860" s="2">
        <v>1708.34</v>
      </c>
    </row>
    <row r="861" spans="1:10" x14ac:dyDescent="0.3">
      <c r="A861" t="s">
        <v>869</v>
      </c>
      <c r="B861" s="1">
        <v>45191</v>
      </c>
      <c r="C861" t="s">
        <v>1212</v>
      </c>
      <c r="E861" t="s">
        <v>1222</v>
      </c>
      <c r="F861" t="s">
        <v>1227</v>
      </c>
      <c r="G861">
        <v>4</v>
      </c>
      <c r="H861">
        <v>4854</v>
      </c>
      <c r="I861">
        <v>19416</v>
      </c>
      <c r="J861" s="2">
        <v>4460.87</v>
      </c>
    </row>
    <row r="862" spans="1:10" x14ac:dyDescent="0.3">
      <c r="A862" t="s">
        <v>870</v>
      </c>
      <c r="B862" s="1">
        <v>44952</v>
      </c>
      <c r="C862" t="s">
        <v>1212</v>
      </c>
      <c r="D862" t="s">
        <v>1217</v>
      </c>
      <c r="E862" t="s">
        <v>1219</v>
      </c>
      <c r="F862" t="s">
        <v>1223</v>
      </c>
      <c r="G862">
        <v>5</v>
      </c>
      <c r="H862">
        <v>2494</v>
      </c>
      <c r="I862">
        <v>12470</v>
      </c>
      <c r="J862" s="2">
        <v>2574.6</v>
      </c>
    </row>
    <row r="863" spans="1:10" x14ac:dyDescent="0.3">
      <c r="A863" t="s">
        <v>871</v>
      </c>
      <c r="B863" s="1">
        <v>45224</v>
      </c>
      <c r="C863" t="s">
        <v>1210</v>
      </c>
      <c r="D863" t="s">
        <v>1218</v>
      </c>
      <c r="E863" t="s">
        <v>1220</v>
      </c>
      <c r="F863" t="s">
        <v>1225</v>
      </c>
      <c r="G863">
        <v>1</v>
      </c>
      <c r="H863">
        <v>1916</v>
      </c>
      <c r="I863">
        <v>1916</v>
      </c>
      <c r="J863" s="2">
        <v>215.28</v>
      </c>
    </row>
    <row r="864" spans="1:10" x14ac:dyDescent="0.3">
      <c r="A864" t="s">
        <v>872</v>
      </c>
      <c r="B864" s="1">
        <v>45289</v>
      </c>
      <c r="C864" t="s">
        <v>1212</v>
      </c>
      <c r="D864" t="s">
        <v>1217</v>
      </c>
      <c r="E864" t="s">
        <v>1221</v>
      </c>
      <c r="F864" t="s">
        <v>1231</v>
      </c>
      <c r="G864">
        <v>1</v>
      </c>
      <c r="H864">
        <v>3967</v>
      </c>
      <c r="I864">
        <v>3967</v>
      </c>
      <c r="J864" s="2">
        <v>547.9</v>
      </c>
    </row>
    <row r="865" spans="1:10" x14ac:dyDescent="0.3">
      <c r="A865" t="s">
        <v>873</v>
      </c>
      <c r="B865" s="1">
        <v>45228</v>
      </c>
      <c r="C865" t="s">
        <v>1213</v>
      </c>
      <c r="D865" t="s">
        <v>1215</v>
      </c>
      <c r="E865" t="s">
        <v>1219</v>
      </c>
      <c r="F865" t="s">
        <v>1223</v>
      </c>
      <c r="G865">
        <v>4</v>
      </c>
      <c r="H865">
        <v>3901</v>
      </c>
      <c r="I865">
        <v>15604</v>
      </c>
      <c r="J865" s="2">
        <v>2901.5</v>
      </c>
    </row>
    <row r="866" spans="1:10" x14ac:dyDescent="0.3">
      <c r="A866" t="s">
        <v>874</v>
      </c>
      <c r="B866" s="1">
        <v>45126</v>
      </c>
      <c r="C866" t="s">
        <v>1212</v>
      </c>
      <c r="D866" t="s">
        <v>1216</v>
      </c>
      <c r="E866" t="s">
        <v>1220</v>
      </c>
      <c r="F866" t="s">
        <v>1225</v>
      </c>
      <c r="G866">
        <v>1</v>
      </c>
      <c r="H866">
        <v>2711</v>
      </c>
      <c r="I866">
        <v>2711</v>
      </c>
      <c r="J866" s="2">
        <v>395.45</v>
      </c>
    </row>
    <row r="867" spans="1:10" x14ac:dyDescent="0.3">
      <c r="A867" t="s">
        <v>875</v>
      </c>
      <c r="B867" s="1">
        <v>45225</v>
      </c>
      <c r="C867" t="s">
        <v>1211</v>
      </c>
      <c r="D867" t="s">
        <v>1217</v>
      </c>
      <c r="E867" t="s">
        <v>1220</v>
      </c>
      <c r="F867" t="s">
        <v>1224</v>
      </c>
      <c r="G867">
        <v>4</v>
      </c>
      <c r="H867">
        <v>3342</v>
      </c>
      <c r="I867">
        <v>13368</v>
      </c>
      <c r="J867" s="2">
        <v>2772.43</v>
      </c>
    </row>
    <row r="868" spans="1:10" x14ac:dyDescent="0.3">
      <c r="A868" t="s">
        <v>876</v>
      </c>
      <c r="B868" s="1">
        <v>45138</v>
      </c>
      <c r="C868" t="s">
        <v>1210</v>
      </c>
      <c r="D868" t="s">
        <v>1214</v>
      </c>
      <c r="E868" t="s">
        <v>1220</v>
      </c>
      <c r="F868" t="s">
        <v>1237</v>
      </c>
      <c r="G868">
        <v>1</v>
      </c>
      <c r="H868">
        <v>4833</v>
      </c>
      <c r="I868">
        <v>4833</v>
      </c>
      <c r="J868" s="2">
        <v>408.71</v>
      </c>
    </row>
    <row r="869" spans="1:10" x14ac:dyDescent="0.3">
      <c r="A869" t="s">
        <v>877</v>
      </c>
      <c r="B869" s="1">
        <v>44975</v>
      </c>
      <c r="C869" t="s">
        <v>1213</v>
      </c>
      <c r="D869" t="s">
        <v>1217</v>
      </c>
      <c r="E869" t="s">
        <v>1221</v>
      </c>
      <c r="F869" t="s">
        <v>1226</v>
      </c>
      <c r="G869">
        <v>2</v>
      </c>
      <c r="H869">
        <v>597</v>
      </c>
      <c r="I869">
        <v>1194</v>
      </c>
      <c r="J869" s="2">
        <v>259.04000000000002</v>
      </c>
    </row>
    <row r="870" spans="1:10" x14ac:dyDescent="0.3">
      <c r="A870" t="s">
        <v>878</v>
      </c>
      <c r="B870" s="1">
        <v>45208</v>
      </c>
      <c r="C870" t="s">
        <v>1212</v>
      </c>
      <c r="D870" t="s">
        <v>1216</v>
      </c>
      <c r="E870" t="s">
        <v>1221</v>
      </c>
      <c r="F870" t="s">
        <v>1231</v>
      </c>
      <c r="G870">
        <v>8</v>
      </c>
      <c r="H870">
        <v>3141</v>
      </c>
      <c r="I870">
        <v>25128</v>
      </c>
      <c r="J870" s="2">
        <v>3918.55</v>
      </c>
    </row>
    <row r="871" spans="1:10" x14ac:dyDescent="0.3">
      <c r="A871" t="s">
        <v>879</v>
      </c>
      <c r="B871" s="1">
        <v>45013</v>
      </c>
      <c r="C871" t="s">
        <v>1210</v>
      </c>
      <c r="D871" t="s">
        <v>1215</v>
      </c>
      <c r="E871" t="s">
        <v>1221</v>
      </c>
      <c r="F871" t="s">
        <v>1226</v>
      </c>
      <c r="G871">
        <v>8</v>
      </c>
      <c r="H871">
        <v>1801</v>
      </c>
      <c r="I871">
        <v>14408</v>
      </c>
      <c r="J871" s="2">
        <v>1206.74</v>
      </c>
    </row>
    <row r="872" spans="1:10" x14ac:dyDescent="0.3">
      <c r="A872" t="s">
        <v>880</v>
      </c>
      <c r="B872" s="1">
        <v>45109</v>
      </c>
      <c r="C872" t="s">
        <v>1213</v>
      </c>
      <c r="D872" t="s">
        <v>1217</v>
      </c>
      <c r="E872" t="s">
        <v>1219</v>
      </c>
      <c r="F872" t="s">
        <v>1232</v>
      </c>
      <c r="G872">
        <v>2</v>
      </c>
      <c r="H872">
        <v>1499</v>
      </c>
      <c r="I872">
        <v>2998</v>
      </c>
      <c r="J872" s="2">
        <v>610.92999999999995</v>
      </c>
    </row>
    <row r="873" spans="1:10" x14ac:dyDescent="0.3">
      <c r="A873" t="s">
        <v>881</v>
      </c>
      <c r="B873" s="1">
        <v>45164</v>
      </c>
      <c r="C873" t="s">
        <v>1211</v>
      </c>
      <c r="D873" t="s">
        <v>1215</v>
      </c>
      <c r="E873" t="s">
        <v>1221</v>
      </c>
      <c r="F873" t="s">
        <v>1226</v>
      </c>
      <c r="G873">
        <v>3</v>
      </c>
      <c r="H873">
        <v>2921</v>
      </c>
      <c r="I873">
        <v>8763</v>
      </c>
      <c r="J873" s="2">
        <v>2096.4899999999998</v>
      </c>
    </row>
    <row r="874" spans="1:10" x14ac:dyDescent="0.3">
      <c r="A874" t="s">
        <v>882</v>
      </c>
      <c r="B874" s="1">
        <v>45049</v>
      </c>
      <c r="C874" t="s">
        <v>1211</v>
      </c>
      <c r="D874" t="s">
        <v>1215</v>
      </c>
      <c r="E874" t="s">
        <v>1221</v>
      </c>
      <c r="F874" t="s">
        <v>1226</v>
      </c>
      <c r="G874">
        <v>6</v>
      </c>
      <c r="H874">
        <v>3289</v>
      </c>
      <c r="I874">
        <v>19734</v>
      </c>
      <c r="J874" s="2">
        <v>2678.56</v>
      </c>
    </row>
    <row r="875" spans="1:10" x14ac:dyDescent="0.3">
      <c r="A875" t="s">
        <v>883</v>
      </c>
      <c r="B875" s="1">
        <v>45188</v>
      </c>
      <c r="C875" t="s">
        <v>1213</v>
      </c>
      <c r="D875" t="s">
        <v>1214</v>
      </c>
      <c r="E875" t="s">
        <v>1219</v>
      </c>
      <c r="F875" t="s">
        <v>1223</v>
      </c>
      <c r="G875">
        <v>7</v>
      </c>
      <c r="H875">
        <v>4775</v>
      </c>
      <c r="I875">
        <v>33425</v>
      </c>
      <c r="J875" s="2">
        <v>7529.75</v>
      </c>
    </row>
    <row r="876" spans="1:10" x14ac:dyDescent="0.3">
      <c r="A876" t="s">
        <v>884</v>
      </c>
      <c r="B876" s="1">
        <v>44995</v>
      </c>
      <c r="C876" t="s">
        <v>1210</v>
      </c>
      <c r="D876" t="s">
        <v>1214</v>
      </c>
      <c r="E876" t="s">
        <v>1222</v>
      </c>
      <c r="F876" t="s">
        <v>1227</v>
      </c>
      <c r="G876">
        <v>5</v>
      </c>
      <c r="H876">
        <v>1015</v>
      </c>
      <c r="I876">
        <v>5075</v>
      </c>
      <c r="J876" s="2">
        <v>713.22</v>
      </c>
    </row>
    <row r="877" spans="1:10" x14ac:dyDescent="0.3">
      <c r="A877" t="s">
        <v>885</v>
      </c>
      <c r="B877" s="1">
        <v>45197</v>
      </c>
      <c r="C877" t="s">
        <v>1210</v>
      </c>
      <c r="D877" t="s">
        <v>1215</v>
      </c>
      <c r="E877" t="s">
        <v>1220</v>
      </c>
      <c r="F877" t="s">
        <v>1228</v>
      </c>
      <c r="G877">
        <v>7</v>
      </c>
      <c r="H877">
        <v>1916</v>
      </c>
      <c r="I877">
        <v>13412</v>
      </c>
      <c r="J877" s="2">
        <v>2293.5700000000002</v>
      </c>
    </row>
    <row r="878" spans="1:10" x14ac:dyDescent="0.3">
      <c r="A878" t="s">
        <v>886</v>
      </c>
      <c r="B878" s="1">
        <v>45254</v>
      </c>
      <c r="C878" t="s">
        <v>1211</v>
      </c>
      <c r="D878" t="s">
        <v>1215</v>
      </c>
      <c r="E878" t="s">
        <v>1220</v>
      </c>
      <c r="F878" t="s">
        <v>1228</v>
      </c>
      <c r="G878">
        <v>5</v>
      </c>
      <c r="H878">
        <v>1372</v>
      </c>
      <c r="I878">
        <v>6860</v>
      </c>
      <c r="J878" s="2">
        <v>1524.36</v>
      </c>
    </row>
    <row r="879" spans="1:10" x14ac:dyDescent="0.3">
      <c r="A879" t="s">
        <v>887</v>
      </c>
      <c r="B879" s="1">
        <v>45290</v>
      </c>
      <c r="C879" t="s">
        <v>1210</v>
      </c>
      <c r="D879" t="s">
        <v>1217</v>
      </c>
      <c r="E879" t="s">
        <v>1219</v>
      </c>
      <c r="F879" t="s">
        <v>1238</v>
      </c>
      <c r="G879">
        <v>7</v>
      </c>
      <c r="H879">
        <v>3025</v>
      </c>
      <c r="I879">
        <v>21175</v>
      </c>
      <c r="J879" s="2">
        <v>5042.3599999999997</v>
      </c>
    </row>
    <row r="880" spans="1:10" x14ac:dyDescent="0.3">
      <c r="A880" t="s">
        <v>888</v>
      </c>
      <c r="B880" s="1">
        <v>45183</v>
      </c>
      <c r="C880" t="s">
        <v>1213</v>
      </c>
      <c r="D880" t="s">
        <v>1216</v>
      </c>
      <c r="E880" t="s">
        <v>1222</v>
      </c>
      <c r="F880" t="s">
        <v>1230</v>
      </c>
      <c r="G880">
        <v>1</v>
      </c>
      <c r="H880">
        <v>1162</v>
      </c>
      <c r="I880">
        <v>1162</v>
      </c>
      <c r="J880" s="2">
        <v>152.77000000000001</v>
      </c>
    </row>
    <row r="881" spans="1:10" x14ac:dyDescent="0.3">
      <c r="A881" t="s">
        <v>889</v>
      </c>
      <c r="B881" s="1">
        <v>45264</v>
      </c>
      <c r="C881" t="s">
        <v>1212</v>
      </c>
      <c r="D881" t="s">
        <v>1214</v>
      </c>
      <c r="E881" t="s">
        <v>1220</v>
      </c>
      <c r="F881" t="s">
        <v>1228</v>
      </c>
      <c r="G881">
        <v>2</v>
      </c>
      <c r="H881">
        <v>4509</v>
      </c>
      <c r="I881">
        <v>9018</v>
      </c>
      <c r="J881" s="2">
        <v>2098.67</v>
      </c>
    </row>
    <row r="882" spans="1:10" x14ac:dyDescent="0.3">
      <c r="A882" t="s">
        <v>890</v>
      </c>
      <c r="B882" s="1">
        <v>45051</v>
      </c>
      <c r="C882" t="s">
        <v>1210</v>
      </c>
      <c r="D882" t="s">
        <v>1214</v>
      </c>
      <c r="E882" t="s">
        <v>1220</v>
      </c>
      <c r="F882" t="s">
        <v>1224</v>
      </c>
      <c r="G882">
        <v>1</v>
      </c>
      <c r="H882">
        <v>529</v>
      </c>
      <c r="I882">
        <v>529</v>
      </c>
      <c r="J882" s="2">
        <v>95.53</v>
      </c>
    </row>
    <row r="883" spans="1:10" x14ac:dyDescent="0.3">
      <c r="A883" t="s">
        <v>891</v>
      </c>
      <c r="B883" s="1">
        <v>45050</v>
      </c>
      <c r="C883" t="s">
        <v>1212</v>
      </c>
      <c r="D883" t="s">
        <v>1216</v>
      </c>
      <c r="E883" t="s">
        <v>1219</v>
      </c>
      <c r="F883" t="s">
        <v>1232</v>
      </c>
      <c r="G883">
        <v>9</v>
      </c>
      <c r="H883">
        <v>2767</v>
      </c>
      <c r="I883">
        <v>24903</v>
      </c>
      <c r="J883" s="2">
        <v>3176.08</v>
      </c>
    </row>
    <row r="884" spans="1:10" x14ac:dyDescent="0.3">
      <c r="A884" t="s">
        <v>892</v>
      </c>
      <c r="B884" s="1">
        <v>45288</v>
      </c>
      <c r="C884" t="s">
        <v>1213</v>
      </c>
      <c r="D884" t="s">
        <v>1215</v>
      </c>
      <c r="E884" t="s">
        <v>1220</v>
      </c>
      <c r="F884" t="s">
        <v>1228</v>
      </c>
      <c r="G884">
        <v>4</v>
      </c>
      <c r="H884">
        <v>1335</v>
      </c>
      <c r="I884">
        <v>5340</v>
      </c>
      <c r="J884" s="2">
        <v>595.85</v>
      </c>
    </row>
    <row r="885" spans="1:10" x14ac:dyDescent="0.3">
      <c r="A885" t="s">
        <v>893</v>
      </c>
      <c r="B885" s="1">
        <v>45232</v>
      </c>
      <c r="C885" t="s">
        <v>1211</v>
      </c>
      <c r="D885" t="s">
        <v>1216</v>
      </c>
      <c r="E885" t="s">
        <v>1220</v>
      </c>
      <c r="F885" t="s">
        <v>1224</v>
      </c>
      <c r="G885">
        <v>6</v>
      </c>
      <c r="H885">
        <v>1053</v>
      </c>
      <c r="I885">
        <v>6318</v>
      </c>
      <c r="J885" s="2">
        <v>1104.95</v>
      </c>
    </row>
    <row r="886" spans="1:10" x14ac:dyDescent="0.3">
      <c r="A886" t="s">
        <v>894</v>
      </c>
      <c r="B886" s="1">
        <v>45172</v>
      </c>
      <c r="C886" t="s">
        <v>1212</v>
      </c>
      <c r="D886" t="s">
        <v>1216</v>
      </c>
      <c r="E886" t="s">
        <v>1221</v>
      </c>
      <c r="F886" t="s">
        <v>1235</v>
      </c>
      <c r="G886">
        <v>7</v>
      </c>
      <c r="H886">
        <v>4705</v>
      </c>
      <c r="I886">
        <v>32935</v>
      </c>
      <c r="J886" s="2">
        <v>6761.97</v>
      </c>
    </row>
    <row r="887" spans="1:10" x14ac:dyDescent="0.3">
      <c r="A887" t="s">
        <v>895</v>
      </c>
      <c r="B887" s="1">
        <v>45071</v>
      </c>
      <c r="C887" t="s">
        <v>1210</v>
      </c>
      <c r="E887" t="s">
        <v>1220</v>
      </c>
      <c r="F887" t="s">
        <v>1224</v>
      </c>
      <c r="G887">
        <v>7</v>
      </c>
      <c r="H887">
        <v>1669</v>
      </c>
      <c r="I887">
        <v>11683</v>
      </c>
      <c r="J887" s="2">
        <v>958.48</v>
      </c>
    </row>
    <row r="888" spans="1:10" x14ac:dyDescent="0.3">
      <c r="A888" t="s">
        <v>896</v>
      </c>
      <c r="B888" s="1">
        <v>44965</v>
      </c>
      <c r="C888" t="s">
        <v>1213</v>
      </c>
      <c r="D888" t="s">
        <v>1218</v>
      </c>
      <c r="E888" t="s">
        <v>1220</v>
      </c>
      <c r="F888" t="s">
        <v>1224</v>
      </c>
      <c r="G888">
        <v>3</v>
      </c>
      <c r="H888">
        <v>269</v>
      </c>
      <c r="I888">
        <v>807</v>
      </c>
      <c r="J888" s="2">
        <v>148.82</v>
      </c>
    </row>
    <row r="889" spans="1:10" x14ac:dyDescent="0.3">
      <c r="A889" t="s">
        <v>897</v>
      </c>
      <c r="B889" s="1">
        <v>45278</v>
      </c>
      <c r="C889" t="s">
        <v>1213</v>
      </c>
      <c r="D889" t="s">
        <v>1217</v>
      </c>
      <c r="E889" t="s">
        <v>1219</v>
      </c>
      <c r="F889" t="s">
        <v>1233</v>
      </c>
      <c r="G889">
        <v>8</v>
      </c>
      <c r="H889">
        <v>2979</v>
      </c>
      <c r="I889">
        <v>23832</v>
      </c>
      <c r="J889" s="2">
        <v>2336.66</v>
      </c>
    </row>
    <row r="890" spans="1:10" x14ac:dyDescent="0.3">
      <c r="A890" t="s">
        <v>898</v>
      </c>
      <c r="B890" s="1">
        <v>45205</v>
      </c>
      <c r="C890" t="s">
        <v>1211</v>
      </c>
      <c r="D890" t="s">
        <v>1218</v>
      </c>
      <c r="E890" t="s">
        <v>1219</v>
      </c>
      <c r="F890" t="s">
        <v>1233</v>
      </c>
      <c r="G890">
        <v>9</v>
      </c>
      <c r="H890">
        <v>4065</v>
      </c>
      <c r="I890">
        <v>36585</v>
      </c>
      <c r="J890" s="2">
        <v>5826.64</v>
      </c>
    </row>
    <row r="891" spans="1:10" x14ac:dyDescent="0.3">
      <c r="A891" t="s">
        <v>899</v>
      </c>
      <c r="B891" s="1">
        <v>45158</v>
      </c>
      <c r="C891" t="s">
        <v>1212</v>
      </c>
      <c r="D891" t="s">
        <v>1215</v>
      </c>
      <c r="E891" t="s">
        <v>1221</v>
      </c>
      <c r="F891" t="s">
        <v>1226</v>
      </c>
      <c r="G891">
        <v>7</v>
      </c>
      <c r="H891">
        <v>4772</v>
      </c>
      <c r="I891">
        <v>33404</v>
      </c>
      <c r="J891" s="2">
        <v>6755.72</v>
      </c>
    </row>
    <row r="892" spans="1:10" x14ac:dyDescent="0.3">
      <c r="A892" t="s">
        <v>900</v>
      </c>
      <c r="B892" s="1">
        <v>45217</v>
      </c>
      <c r="C892" t="s">
        <v>1210</v>
      </c>
      <c r="D892" t="s">
        <v>1217</v>
      </c>
      <c r="E892" t="s">
        <v>1220</v>
      </c>
      <c r="F892" t="s">
        <v>1225</v>
      </c>
      <c r="G892">
        <v>1</v>
      </c>
      <c r="H892">
        <v>2476</v>
      </c>
      <c r="I892">
        <v>2476</v>
      </c>
      <c r="J892" s="2">
        <v>214.88</v>
      </c>
    </row>
    <row r="893" spans="1:10" x14ac:dyDescent="0.3">
      <c r="A893" t="s">
        <v>901</v>
      </c>
      <c r="B893" s="1">
        <v>44998</v>
      </c>
      <c r="C893" t="s">
        <v>1212</v>
      </c>
      <c r="D893" t="s">
        <v>1216</v>
      </c>
      <c r="E893" t="s">
        <v>1222</v>
      </c>
      <c r="F893" t="s">
        <v>1230</v>
      </c>
      <c r="G893">
        <v>2</v>
      </c>
      <c r="H893">
        <v>2869</v>
      </c>
      <c r="I893">
        <v>5738</v>
      </c>
      <c r="J893" s="2">
        <v>800.64</v>
      </c>
    </row>
    <row r="894" spans="1:10" x14ac:dyDescent="0.3">
      <c r="A894" t="s">
        <v>902</v>
      </c>
      <c r="B894" s="1">
        <v>45120</v>
      </c>
      <c r="C894" t="s">
        <v>1211</v>
      </c>
      <c r="D894" t="s">
        <v>1217</v>
      </c>
      <c r="E894" t="s">
        <v>1222</v>
      </c>
      <c r="F894" t="s">
        <v>1230</v>
      </c>
      <c r="G894">
        <v>7</v>
      </c>
      <c r="H894">
        <v>635</v>
      </c>
      <c r="I894">
        <v>4445</v>
      </c>
      <c r="J894" s="2">
        <v>1106.1600000000001</v>
      </c>
    </row>
    <row r="895" spans="1:10" x14ac:dyDescent="0.3">
      <c r="A895" t="s">
        <v>903</v>
      </c>
      <c r="B895" s="1">
        <v>45155</v>
      </c>
      <c r="C895" t="s">
        <v>1211</v>
      </c>
      <c r="D895" t="s">
        <v>1214</v>
      </c>
      <c r="E895" t="s">
        <v>1221</v>
      </c>
      <c r="F895" t="s">
        <v>1231</v>
      </c>
      <c r="G895">
        <v>8</v>
      </c>
      <c r="H895">
        <v>3313</v>
      </c>
      <c r="I895">
        <v>26504</v>
      </c>
      <c r="J895" s="2">
        <v>4962.37</v>
      </c>
    </row>
    <row r="896" spans="1:10" x14ac:dyDescent="0.3">
      <c r="A896" t="s">
        <v>904</v>
      </c>
      <c r="B896" s="1">
        <v>44960</v>
      </c>
      <c r="C896" t="s">
        <v>1212</v>
      </c>
      <c r="D896" t="s">
        <v>1218</v>
      </c>
      <c r="E896" t="s">
        <v>1220</v>
      </c>
      <c r="F896" t="s">
        <v>1237</v>
      </c>
      <c r="G896">
        <v>6</v>
      </c>
      <c r="H896">
        <v>3080</v>
      </c>
      <c r="I896">
        <v>18480</v>
      </c>
      <c r="J896" s="2">
        <v>1778.86</v>
      </c>
    </row>
    <row r="897" spans="1:10" x14ac:dyDescent="0.3">
      <c r="A897" t="s">
        <v>905</v>
      </c>
      <c r="B897" s="1">
        <v>45108</v>
      </c>
      <c r="C897" t="s">
        <v>1212</v>
      </c>
      <c r="D897" t="s">
        <v>1214</v>
      </c>
      <c r="E897" t="s">
        <v>1221</v>
      </c>
      <c r="F897" t="s">
        <v>1229</v>
      </c>
      <c r="G897">
        <v>9</v>
      </c>
      <c r="H897">
        <v>204</v>
      </c>
      <c r="I897">
        <v>1836</v>
      </c>
      <c r="J897" s="2">
        <v>198.25</v>
      </c>
    </row>
    <row r="898" spans="1:10" x14ac:dyDescent="0.3">
      <c r="A898" t="s">
        <v>906</v>
      </c>
      <c r="B898" s="1">
        <v>45181</v>
      </c>
      <c r="C898" t="s">
        <v>1213</v>
      </c>
      <c r="D898" t="s">
        <v>1217</v>
      </c>
      <c r="E898" t="s">
        <v>1222</v>
      </c>
      <c r="F898" t="s">
        <v>1227</v>
      </c>
      <c r="G898">
        <v>8</v>
      </c>
      <c r="H898">
        <v>3138</v>
      </c>
      <c r="I898">
        <v>25104</v>
      </c>
      <c r="J898" s="2">
        <v>2445.19</v>
      </c>
    </row>
    <row r="899" spans="1:10" x14ac:dyDescent="0.3">
      <c r="A899" t="s">
        <v>907</v>
      </c>
      <c r="B899" s="1">
        <v>45184</v>
      </c>
      <c r="C899" t="s">
        <v>1210</v>
      </c>
      <c r="D899" t="s">
        <v>1215</v>
      </c>
      <c r="E899" t="s">
        <v>1219</v>
      </c>
      <c r="F899" t="s">
        <v>1223</v>
      </c>
      <c r="G899">
        <v>2</v>
      </c>
      <c r="H899">
        <v>2836</v>
      </c>
      <c r="I899">
        <v>5672</v>
      </c>
      <c r="J899" s="2">
        <v>1283.6500000000001</v>
      </c>
    </row>
    <row r="900" spans="1:10" x14ac:dyDescent="0.3">
      <c r="A900" t="s">
        <v>908</v>
      </c>
      <c r="B900" s="1">
        <v>44958</v>
      </c>
      <c r="C900" t="s">
        <v>1210</v>
      </c>
      <c r="D900" t="s">
        <v>1215</v>
      </c>
      <c r="E900" t="s">
        <v>1219</v>
      </c>
      <c r="F900" t="s">
        <v>1233</v>
      </c>
      <c r="G900">
        <v>8</v>
      </c>
      <c r="H900">
        <v>453</v>
      </c>
      <c r="I900">
        <v>3624</v>
      </c>
      <c r="J900" s="2">
        <v>762.05</v>
      </c>
    </row>
    <row r="901" spans="1:10" x14ac:dyDescent="0.3">
      <c r="A901" t="s">
        <v>909</v>
      </c>
      <c r="B901" s="1">
        <v>45104</v>
      </c>
      <c r="C901" t="s">
        <v>1210</v>
      </c>
      <c r="D901" t="s">
        <v>1217</v>
      </c>
      <c r="E901" t="s">
        <v>1222</v>
      </c>
      <c r="F901" t="s">
        <v>1234</v>
      </c>
      <c r="G901">
        <v>4</v>
      </c>
      <c r="H901">
        <v>3092</v>
      </c>
      <c r="I901">
        <v>12368</v>
      </c>
      <c r="J901" s="2">
        <v>1560.39</v>
      </c>
    </row>
    <row r="902" spans="1:10" x14ac:dyDescent="0.3">
      <c r="A902" t="s">
        <v>910</v>
      </c>
      <c r="B902" s="1">
        <v>45181</v>
      </c>
      <c r="C902" t="s">
        <v>1210</v>
      </c>
      <c r="D902" t="s">
        <v>1216</v>
      </c>
      <c r="E902" t="s">
        <v>1221</v>
      </c>
      <c r="F902" t="s">
        <v>1235</v>
      </c>
      <c r="G902">
        <v>7</v>
      </c>
      <c r="H902">
        <v>3171</v>
      </c>
      <c r="I902">
        <v>22197</v>
      </c>
      <c r="J902" s="2">
        <v>4328.1400000000003</v>
      </c>
    </row>
    <row r="903" spans="1:10" x14ac:dyDescent="0.3">
      <c r="A903" t="s">
        <v>911</v>
      </c>
      <c r="B903" s="1">
        <v>45077</v>
      </c>
      <c r="C903" t="s">
        <v>1212</v>
      </c>
      <c r="D903" t="s">
        <v>1215</v>
      </c>
      <c r="E903" t="s">
        <v>1222</v>
      </c>
      <c r="F903" t="s">
        <v>1230</v>
      </c>
      <c r="G903">
        <v>1</v>
      </c>
      <c r="H903">
        <v>4321</v>
      </c>
      <c r="I903">
        <v>4321</v>
      </c>
      <c r="J903" s="2">
        <v>1039.27</v>
      </c>
    </row>
    <row r="904" spans="1:10" x14ac:dyDescent="0.3">
      <c r="A904" t="s">
        <v>912</v>
      </c>
      <c r="B904" s="1">
        <v>45077</v>
      </c>
      <c r="C904" t="s">
        <v>1210</v>
      </c>
      <c r="D904" t="s">
        <v>1215</v>
      </c>
      <c r="E904" t="s">
        <v>1221</v>
      </c>
      <c r="F904" t="s">
        <v>1231</v>
      </c>
      <c r="G904">
        <v>1</v>
      </c>
      <c r="H904">
        <v>4514</v>
      </c>
      <c r="I904">
        <v>4514</v>
      </c>
      <c r="J904" s="2">
        <v>1011.3</v>
      </c>
    </row>
    <row r="905" spans="1:10" x14ac:dyDescent="0.3">
      <c r="A905" t="s">
        <v>913</v>
      </c>
      <c r="B905" s="1">
        <v>45279</v>
      </c>
      <c r="C905" t="s">
        <v>1213</v>
      </c>
      <c r="D905" t="s">
        <v>1218</v>
      </c>
      <c r="E905" t="s">
        <v>1219</v>
      </c>
      <c r="F905" t="s">
        <v>1223</v>
      </c>
      <c r="G905">
        <v>8</v>
      </c>
      <c r="H905">
        <v>4652</v>
      </c>
      <c r="I905">
        <v>37216</v>
      </c>
      <c r="J905" s="2">
        <v>4886.74</v>
      </c>
    </row>
    <row r="906" spans="1:10" x14ac:dyDescent="0.3">
      <c r="A906" t="s">
        <v>914</v>
      </c>
      <c r="B906" s="1">
        <v>45238</v>
      </c>
      <c r="C906" t="s">
        <v>1210</v>
      </c>
      <c r="D906" t="s">
        <v>1215</v>
      </c>
      <c r="E906" t="s">
        <v>1221</v>
      </c>
      <c r="F906" t="s">
        <v>1231</v>
      </c>
      <c r="G906">
        <v>6</v>
      </c>
      <c r="H906">
        <v>3003</v>
      </c>
      <c r="I906">
        <v>18018</v>
      </c>
      <c r="J906" s="2">
        <v>2629.82</v>
      </c>
    </row>
    <row r="907" spans="1:10" x14ac:dyDescent="0.3">
      <c r="A907" t="s">
        <v>915</v>
      </c>
      <c r="B907" s="1">
        <v>45291</v>
      </c>
      <c r="C907" t="s">
        <v>1213</v>
      </c>
      <c r="D907" t="s">
        <v>1217</v>
      </c>
      <c r="E907" t="s">
        <v>1220</v>
      </c>
      <c r="F907" t="s">
        <v>1225</v>
      </c>
      <c r="G907">
        <v>2</v>
      </c>
      <c r="H907">
        <v>2068</v>
      </c>
      <c r="I907">
        <v>4136</v>
      </c>
      <c r="J907" s="2">
        <v>643.96</v>
      </c>
    </row>
    <row r="908" spans="1:10" x14ac:dyDescent="0.3">
      <c r="A908" t="s">
        <v>916</v>
      </c>
      <c r="B908" s="1">
        <v>44997</v>
      </c>
      <c r="C908" t="s">
        <v>1213</v>
      </c>
      <c r="E908" t="s">
        <v>1220</v>
      </c>
      <c r="F908" t="s">
        <v>1237</v>
      </c>
      <c r="G908">
        <v>6</v>
      </c>
      <c r="H908">
        <v>3083</v>
      </c>
      <c r="I908">
        <v>18498</v>
      </c>
      <c r="J908" s="2">
        <v>3456.27</v>
      </c>
    </row>
    <row r="909" spans="1:10" x14ac:dyDescent="0.3">
      <c r="A909" t="s">
        <v>917</v>
      </c>
      <c r="B909" s="1">
        <v>45069</v>
      </c>
      <c r="C909" t="s">
        <v>1211</v>
      </c>
      <c r="D909" t="s">
        <v>1215</v>
      </c>
      <c r="E909" t="s">
        <v>1221</v>
      </c>
      <c r="F909" t="s">
        <v>1231</v>
      </c>
      <c r="G909">
        <v>3</v>
      </c>
      <c r="H909">
        <v>3857</v>
      </c>
      <c r="I909">
        <v>11571</v>
      </c>
      <c r="J909" s="2">
        <v>989.51</v>
      </c>
    </row>
    <row r="910" spans="1:10" x14ac:dyDescent="0.3">
      <c r="A910" t="s">
        <v>918</v>
      </c>
      <c r="B910" s="1">
        <v>44930</v>
      </c>
      <c r="C910" t="s">
        <v>1210</v>
      </c>
      <c r="D910" t="s">
        <v>1217</v>
      </c>
      <c r="E910" t="s">
        <v>1222</v>
      </c>
      <c r="F910" t="s">
        <v>1227</v>
      </c>
      <c r="G910">
        <v>6</v>
      </c>
      <c r="H910">
        <v>4602</v>
      </c>
      <c r="I910">
        <v>27612</v>
      </c>
      <c r="J910" s="2">
        <v>3164.14</v>
      </c>
    </row>
    <row r="911" spans="1:10" x14ac:dyDescent="0.3">
      <c r="A911" t="s">
        <v>919</v>
      </c>
      <c r="B911" s="1">
        <v>45027</v>
      </c>
      <c r="C911" t="s">
        <v>1210</v>
      </c>
      <c r="D911" t="s">
        <v>1218</v>
      </c>
      <c r="E911" t="s">
        <v>1221</v>
      </c>
      <c r="F911" t="s">
        <v>1226</v>
      </c>
      <c r="G911">
        <v>4</v>
      </c>
      <c r="H911">
        <v>4510</v>
      </c>
      <c r="I911">
        <v>18040</v>
      </c>
      <c r="J911" s="2">
        <v>2600</v>
      </c>
    </row>
    <row r="912" spans="1:10" x14ac:dyDescent="0.3">
      <c r="A912" t="s">
        <v>920</v>
      </c>
      <c r="B912" s="1">
        <v>45047</v>
      </c>
      <c r="C912" t="s">
        <v>1210</v>
      </c>
      <c r="D912" t="s">
        <v>1217</v>
      </c>
      <c r="E912" t="s">
        <v>1222</v>
      </c>
      <c r="F912" t="s">
        <v>1234</v>
      </c>
      <c r="G912">
        <v>2</v>
      </c>
      <c r="H912">
        <v>4202</v>
      </c>
      <c r="I912">
        <v>8404</v>
      </c>
      <c r="J912" s="2">
        <v>1447.48</v>
      </c>
    </row>
    <row r="913" spans="1:10" x14ac:dyDescent="0.3">
      <c r="A913" t="s">
        <v>921</v>
      </c>
      <c r="B913" s="1">
        <v>44954</v>
      </c>
      <c r="C913" t="s">
        <v>1211</v>
      </c>
      <c r="D913" t="s">
        <v>1216</v>
      </c>
      <c r="E913" t="s">
        <v>1222</v>
      </c>
      <c r="F913" t="s">
        <v>1230</v>
      </c>
      <c r="G913">
        <v>4</v>
      </c>
      <c r="H913">
        <v>4724</v>
      </c>
      <c r="I913">
        <v>18896</v>
      </c>
      <c r="J913" s="2">
        <v>2290.81</v>
      </c>
    </row>
    <row r="914" spans="1:10" x14ac:dyDescent="0.3">
      <c r="A914" t="s">
        <v>922</v>
      </c>
      <c r="B914" s="1">
        <v>45278</v>
      </c>
      <c r="C914" t="s">
        <v>1211</v>
      </c>
      <c r="D914" t="s">
        <v>1218</v>
      </c>
      <c r="E914" t="s">
        <v>1221</v>
      </c>
      <c r="F914" t="s">
        <v>1231</v>
      </c>
      <c r="G914">
        <v>2</v>
      </c>
      <c r="H914">
        <v>2993</v>
      </c>
      <c r="I914">
        <v>5986</v>
      </c>
      <c r="J914" s="2">
        <v>854.74</v>
      </c>
    </row>
    <row r="915" spans="1:10" x14ac:dyDescent="0.3">
      <c r="A915" t="s">
        <v>923</v>
      </c>
      <c r="B915" s="1">
        <v>45016</v>
      </c>
      <c r="C915" t="s">
        <v>1212</v>
      </c>
      <c r="D915" t="s">
        <v>1216</v>
      </c>
      <c r="E915" t="s">
        <v>1221</v>
      </c>
      <c r="F915" t="s">
        <v>1235</v>
      </c>
      <c r="G915">
        <v>8</v>
      </c>
      <c r="H915">
        <v>3957</v>
      </c>
      <c r="I915">
        <v>31656</v>
      </c>
      <c r="J915" s="2">
        <v>7291.59</v>
      </c>
    </row>
    <row r="916" spans="1:10" x14ac:dyDescent="0.3">
      <c r="A916" t="s">
        <v>924</v>
      </c>
      <c r="B916" s="1">
        <v>44975</v>
      </c>
      <c r="C916" t="s">
        <v>1213</v>
      </c>
      <c r="D916" t="s">
        <v>1214</v>
      </c>
      <c r="E916" t="s">
        <v>1222</v>
      </c>
      <c r="F916" t="s">
        <v>1227</v>
      </c>
      <c r="G916">
        <v>9</v>
      </c>
      <c r="H916">
        <v>1035</v>
      </c>
      <c r="I916">
        <v>9315</v>
      </c>
      <c r="J916" s="2">
        <v>1544.32</v>
      </c>
    </row>
    <row r="917" spans="1:10" x14ac:dyDescent="0.3">
      <c r="A917" t="s">
        <v>925</v>
      </c>
      <c r="B917" s="1">
        <v>45006</v>
      </c>
      <c r="C917" t="s">
        <v>1212</v>
      </c>
      <c r="D917" t="s">
        <v>1215</v>
      </c>
      <c r="E917" t="s">
        <v>1219</v>
      </c>
      <c r="F917" t="s">
        <v>1233</v>
      </c>
      <c r="G917">
        <v>7</v>
      </c>
      <c r="H917">
        <v>3999</v>
      </c>
      <c r="I917">
        <v>27993</v>
      </c>
      <c r="J917" s="2">
        <v>4461.22</v>
      </c>
    </row>
    <row r="918" spans="1:10" x14ac:dyDescent="0.3">
      <c r="A918" t="s">
        <v>926</v>
      </c>
      <c r="B918" s="1">
        <v>45121</v>
      </c>
      <c r="C918" t="s">
        <v>1211</v>
      </c>
      <c r="D918" t="s">
        <v>1218</v>
      </c>
      <c r="E918" t="s">
        <v>1219</v>
      </c>
      <c r="F918" t="s">
        <v>1238</v>
      </c>
      <c r="G918">
        <v>4</v>
      </c>
      <c r="H918">
        <v>4773</v>
      </c>
      <c r="I918">
        <v>19092</v>
      </c>
      <c r="J918" s="2">
        <v>2780.34</v>
      </c>
    </row>
    <row r="919" spans="1:10" x14ac:dyDescent="0.3">
      <c r="A919" t="s">
        <v>927</v>
      </c>
      <c r="B919" s="1">
        <v>45231</v>
      </c>
      <c r="C919" t="s">
        <v>1213</v>
      </c>
      <c r="D919" t="s">
        <v>1215</v>
      </c>
      <c r="E919" t="s">
        <v>1220</v>
      </c>
      <c r="F919" t="s">
        <v>1225</v>
      </c>
      <c r="G919">
        <v>9</v>
      </c>
      <c r="H919">
        <v>953</v>
      </c>
      <c r="I919">
        <v>8577</v>
      </c>
      <c r="J919" s="2">
        <v>1386.86</v>
      </c>
    </row>
    <row r="920" spans="1:10" x14ac:dyDescent="0.3">
      <c r="A920" t="s">
        <v>928</v>
      </c>
      <c r="B920" s="1">
        <v>45133</v>
      </c>
      <c r="C920" t="s">
        <v>1210</v>
      </c>
      <c r="D920" t="s">
        <v>1216</v>
      </c>
      <c r="E920" t="s">
        <v>1221</v>
      </c>
      <c r="F920" t="s">
        <v>1226</v>
      </c>
      <c r="G920">
        <v>7</v>
      </c>
      <c r="H920">
        <v>3517</v>
      </c>
      <c r="I920">
        <v>24619</v>
      </c>
      <c r="J920" s="2">
        <v>4303.58</v>
      </c>
    </row>
    <row r="921" spans="1:10" x14ac:dyDescent="0.3">
      <c r="A921" t="s">
        <v>929</v>
      </c>
      <c r="B921" s="1">
        <v>44963</v>
      </c>
      <c r="C921" t="s">
        <v>1212</v>
      </c>
      <c r="D921" t="s">
        <v>1214</v>
      </c>
      <c r="E921" t="s">
        <v>1221</v>
      </c>
      <c r="F921" t="s">
        <v>1231</v>
      </c>
      <c r="G921">
        <v>5</v>
      </c>
      <c r="H921">
        <v>2198</v>
      </c>
      <c r="I921">
        <v>10990</v>
      </c>
      <c r="J921" s="2">
        <v>1818.49</v>
      </c>
    </row>
    <row r="922" spans="1:10" x14ac:dyDescent="0.3">
      <c r="A922" t="s">
        <v>930</v>
      </c>
      <c r="B922" s="1">
        <v>45234</v>
      </c>
      <c r="C922" t="s">
        <v>1210</v>
      </c>
      <c r="D922" t="s">
        <v>1215</v>
      </c>
      <c r="E922" t="s">
        <v>1220</v>
      </c>
      <c r="F922" t="s">
        <v>1228</v>
      </c>
      <c r="G922">
        <v>2</v>
      </c>
      <c r="H922">
        <v>4357</v>
      </c>
      <c r="I922">
        <v>8714</v>
      </c>
      <c r="J922" s="2">
        <v>1457.35</v>
      </c>
    </row>
    <row r="923" spans="1:10" x14ac:dyDescent="0.3">
      <c r="A923" t="s">
        <v>931</v>
      </c>
      <c r="B923" s="1">
        <v>45120</v>
      </c>
      <c r="C923" t="s">
        <v>1212</v>
      </c>
      <c r="D923" t="s">
        <v>1217</v>
      </c>
      <c r="E923" t="s">
        <v>1221</v>
      </c>
      <c r="F923" t="s">
        <v>1235</v>
      </c>
      <c r="G923">
        <v>9</v>
      </c>
      <c r="H923">
        <v>779</v>
      </c>
      <c r="I923">
        <v>7011</v>
      </c>
      <c r="J923" s="2">
        <v>1008.85</v>
      </c>
    </row>
    <row r="924" spans="1:10" x14ac:dyDescent="0.3">
      <c r="A924" t="s">
        <v>932</v>
      </c>
      <c r="B924" s="1">
        <v>44936</v>
      </c>
      <c r="C924" t="s">
        <v>1211</v>
      </c>
      <c r="D924" t="s">
        <v>1214</v>
      </c>
      <c r="E924" t="s">
        <v>1221</v>
      </c>
      <c r="F924" t="s">
        <v>1229</v>
      </c>
      <c r="G924">
        <v>9</v>
      </c>
      <c r="H924">
        <v>4244</v>
      </c>
      <c r="I924">
        <v>38196</v>
      </c>
      <c r="J924" s="2">
        <v>3396.46</v>
      </c>
    </row>
    <row r="925" spans="1:10" x14ac:dyDescent="0.3">
      <c r="A925" t="s">
        <v>933</v>
      </c>
      <c r="B925" s="1">
        <v>45157</v>
      </c>
      <c r="C925" t="s">
        <v>1211</v>
      </c>
      <c r="D925" t="s">
        <v>1215</v>
      </c>
      <c r="E925" t="s">
        <v>1221</v>
      </c>
      <c r="F925" t="s">
        <v>1226</v>
      </c>
      <c r="G925">
        <v>3</v>
      </c>
      <c r="H925">
        <v>1416</v>
      </c>
      <c r="I925">
        <v>4248</v>
      </c>
      <c r="J925" s="2">
        <v>860.13</v>
      </c>
    </row>
    <row r="926" spans="1:10" x14ac:dyDescent="0.3">
      <c r="A926" t="s">
        <v>934</v>
      </c>
      <c r="B926" s="1">
        <v>45111</v>
      </c>
      <c r="C926" t="s">
        <v>1211</v>
      </c>
      <c r="D926" t="s">
        <v>1216</v>
      </c>
      <c r="E926" t="s">
        <v>1220</v>
      </c>
      <c r="F926" t="s">
        <v>1228</v>
      </c>
      <c r="G926">
        <v>1</v>
      </c>
      <c r="H926">
        <v>1368</v>
      </c>
      <c r="I926">
        <v>1368</v>
      </c>
      <c r="J926" s="2">
        <v>289.55</v>
      </c>
    </row>
    <row r="927" spans="1:10" x14ac:dyDescent="0.3">
      <c r="A927" t="s">
        <v>935</v>
      </c>
      <c r="B927" s="1">
        <v>45087</v>
      </c>
      <c r="C927" t="s">
        <v>1212</v>
      </c>
      <c r="D927" t="s">
        <v>1218</v>
      </c>
      <c r="E927" t="s">
        <v>1222</v>
      </c>
      <c r="F927" t="s">
        <v>1236</v>
      </c>
      <c r="G927">
        <v>6</v>
      </c>
      <c r="H927">
        <v>2394</v>
      </c>
      <c r="I927">
        <v>14364</v>
      </c>
      <c r="J927" s="2">
        <v>3062.34</v>
      </c>
    </row>
    <row r="928" spans="1:10" x14ac:dyDescent="0.3">
      <c r="A928" t="s">
        <v>936</v>
      </c>
      <c r="B928" s="1">
        <v>45192</v>
      </c>
      <c r="C928" t="s">
        <v>1210</v>
      </c>
      <c r="D928" t="s">
        <v>1218</v>
      </c>
      <c r="E928" t="s">
        <v>1220</v>
      </c>
      <c r="F928" t="s">
        <v>1228</v>
      </c>
      <c r="G928">
        <v>1</v>
      </c>
      <c r="H928">
        <v>4075</v>
      </c>
      <c r="I928">
        <v>4075</v>
      </c>
      <c r="J928" s="2">
        <v>656.43</v>
      </c>
    </row>
    <row r="929" spans="1:10" x14ac:dyDescent="0.3">
      <c r="A929" t="s">
        <v>937</v>
      </c>
      <c r="B929" s="1">
        <v>45238</v>
      </c>
      <c r="C929" t="s">
        <v>1211</v>
      </c>
      <c r="D929" t="s">
        <v>1216</v>
      </c>
      <c r="E929" t="s">
        <v>1222</v>
      </c>
      <c r="F929" t="s">
        <v>1227</v>
      </c>
      <c r="G929">
        <v>5</v>
      </c>
      <c r="H929">
        <v>291</v>
      </c>
      <c r="I929">
        <v>1455</v>
      </c>
      <c r="J929" s="2">
        <v>345.67</v>
      </c>
    </row>
    <row r="930" spans="1:10" x14ac:dyDescent="0.3">
      <c r="A930" t="s">
        <v>938</v>
      </c>
      <c r="B930" s="1">
        <v>45046</v>
      </c>
      <c r="C930" t="s">
        <v>1212</v>
      </c>
      <c r="D930" t="s">
        <v>1217</v>
      </c>
      <c r="E930" t="s">
        <v>1221</v>
      </c>
      <c r="F930" t="s">
        <v>1229</v>
      </c>
      <c r="G930">
        <v>6</v>
      </c>
      <c r="H930">
        <v>4320</v>
      </c>
      <c r="I930">
        <v>25920</v>
      </c>
      <c r="J930" s="2">
        <v>6298.77</v>
      </c>
    </row>
    <row r="931" spans="1:10" x14ac:dyDescent="0.3">
      <c r="A931" t="s">
        <v>939</v>
      </c>
      <c r="B931" s="1">
        <v>45119</v>
      </c>
      <c r="C931" t="s">
        <v>1212</v>
      </c>
      <c r="D931" t="s">
        <v>1214</v>
      </c>
      <c r="E931" t="s">
        <v>1219</v>
      </c>
      <c r="F931" t="s">
        <v>1233</v>
      </c>
      <c r="G931">
        <v>9</v>
      </c>
      <c r="H931">
        <v>4314</v>
      </c>
      <c r="I931">
        <v>38826</v>
      </c>
      <c r="J931" s="2">
        <v>5779.04</v>
      </c>
    </row>
    <row r="932" spans="1:10" x14ac:dyDescent="0.3">
      <c r="A932" t="s">
        <v>940</v>
      </c>
      <c r="B932" s="1">
        <v>45053</v>
      </c>
      <c r="C932" t="s">
        <v>1212</v>
      </c>
      <c r="D932" t="s">
        <v>1215</v>
      </c>
      <c r="E932" t="s">
        <v>1220</v>
      </c>
      <c r="F932" t="s">
        <v>1228</v>
      </c>
      <c r="G932">
        <v>3</v>
      </c>
      <c r="H932">
        <v>751</v>
      </c>
      <c r="I932">
        <v>2253</v>
      </c>
      <c r="J932" s="2">
        <v>239.42</v>
      </c>
    </row>
    <row r="933" spans="1:10" x14ac:dyDescent="0.3">
      <c r="A933" t="s">
        <v>941</v>
      </c>
      <c r="B933" s="1">
        <v>45110</v>
      </c>
      <c r="C933" t="s">
        <v>1210</v>
      </c>
      <c r="D933" t="s">
        <v>1214</v>
      </c>
      <c r="E933" t="s">
        <v>1219</v>
      </c>
      <c r="F933" t="s">
        <v>1223</v>
      </c>
      <c r="G933">
        <v>4</v>
      </c>
      <c r="H933">
        <v>2931</v>
      </c>
      <c r="I933">
        <v>11724</v>
      </c>
      <c r="J933" s="2">
        <v>1111.25</v>
      </c>
    </row>
    <row r="934" spans="1:10" x14ac:dyDescent="0.3">
      <c r="A934" t="s">
        <v>942</v>
      </c>
      <c r="B934" s="1">
        <v>45248</v>
      </c>
      <c r="C934" t="s">
        <v>1210</v>
      </c>
      <c r="D934" t="s">
        <v>1214</v>
      </c>
      <c r="E934" t="s">
        <v>1222</v>
      </c>
      <c r="F934" t="s">
        <v>1234</v>
      </c>
      <c r="G934">
        <v>1</v>
      </c>
      <c r="H934">
        <v>2448</v>
      </c>
      <c r="I934">
        <v>2448</v>
      </c>
      <c r="J934" s="2">
        <v>198.41</v>
      </c>
    </row>
    <row r="935" spans="1:10" x14ac:dyDescent="0.3">
      <c r="A935" t="s">
        <v>943</v>
      </c>
      <c r="B935" s="1">
        <v>45241</v>
      </c>
      <c r="C935" t="s">
        <v>1213</v>
      </c>
      <c r="D935" t="s">
        <v>1218</v>
      </c>
      <c r="E935" t="s">
        <v>1221</v>
      </c>
      <c r="F935" t="s">
        <v>1235</v>
      </c>
      <c r="G935">
        <v>6</v>
      </c>
      <c r="H935">
        <v>902</v>
      </c>
      <c r="I935">
        <v>5412</v>
      </c>
      <c r="J935" s="2">
        <v>994.36</v>
      </c>
    </row>
    <row r="936" spans="1:10" x14ac:dyDescent="0.3">
      <c r="A936" t="s">
        <v>944</v>
      </c>
      <c r="B936" s="1">
        <v>44945</v>
      </c>
      <c r="C936" t="s">
        <v>1212</v>
      </c>
      <c r="D936" t="s">
        <v>1215</v>
      </c>
      <c r="E936" t="s">
        <v>1222</v>
      </c>
      <c r="F936" t="s">
        <v>1227</v>
      </c>
      <c r="G936">
        <v>2</v>
      </c>
      <c r="H936">
        <v>774</v>
      </c>
      <c r="I936">
        <v>1548</v>
      </c>
      <c r="J936" s="2">
        <v>304.98</v>
      </c>
    </row>
    <row r="937" spans="1:10" x14ac:dyDescent="0.3">
      <c r="A937" t="s">
        <v>945</v>
      </c>
      <c r="B937" s="1">
        <v>45007</v>
      </c>
      <c r="C937" t="s">
        <v>1210</v>
      </c>
      <c r="D937" t="s">
        <v>1216</v>
      </c>
      <c r="E937" t="s">
        <v>1219</v>
      </c>
      <c r="F937" t="s">
        <v>1233</v>
      </c>
      <c r="G937">
        <v>5</v>
      </c>
      <c r="H937">
        <v>957</v>
      </c>
      <c r="I937">
        <v>4785</v>
      </c>
      <c r="J937" s="2">
        <v>820.62</v>
      </c>
    </row>
    <row r="938" spans="1:10" x14ac:dyDescent="0.3">
      <c r="A938" t="s">
        <v>946</v>
      </c>
      <c r="B938" s="1">
        <v>45130</v>
      </c>
      <c r="C938" t="s">
        <v>1213</v>
      </c>
      <c r="D938" t="s">
        <v>1215</v>
      </c>
      <c r="E938" t="s">
        <v>1221</v>
      </c>
      <c r="F938" t="s">
        <v>1231</v>
      </c>
      <c r="G938">
        <v>4</v>
      </c>
      <c r="H938">
        <v>4192</v>
      </c>
      <c r="I938">
        <v>16768</v>
      </c>
      <c r="J938" s="2">
        <v>3773.87</v>
      </c>
    </row>
    <row r="939" spans="1:10" x14ac:dyDescent="0.3">
      <c r="A939" t="s">
        <v>947</v>
      </c>
      <c r="B939" s="1">
        <v>45072</v>
      </c>
      <c r="C939" t="s">
        <v>1211</v>
      </c>
      <c r="D939" t="s">
        <v>1218</v>
      </c>
      <c r="E939" t="s">
        <v>1222</v>
      </c>
      <c r="F939" t="s">
        <v>1236</v>
      </c>
      <c r="G939">
        <v>3</v>
      </c>
      <c r="H939">
        <v>1887</v>
      </c>
      <c r="I939">
        <v>5661</v>
      </c>
      <c r="J939" s="2">
        <v>1121.7</v>
      </c>
    </row>
    <row r="940" spans="1:10" x14ac:dyDescent="0.3">
      <c r="A940" t="s">
        <v>948</v>
      </c>
      <c r="B940" s="1">
        <v>45129</v>
      </c>
      <c r="C940" t="s">
        <v>1210</v>
      </c>
      <c r="D940" t="s">
        <v>1218</v>
      </c>
      <c r="E940" t="s">
        <v>1219</v>
      </c>
      <c r="F940" t="s">
        <v>1223</v>
      </c>
      <c r="G940">
        <v>2</v>
      </c>
      <c r="H940">
        <v>728</v>
      </c>
      <c r="I940">
        <v>1456</v>
      </c>
      <c r="J940" s="2">
        <v>327.33</v>
      </c>
    </row>
    <row r="941" spans="1:10" x14ac:dyDescent="0.3">
      <c r="A941" t="s">
        <v>949</v>
      </c>
      <c r="B941" s="1">
        <v>45140</v>
      </c>
      <c r="C941" t="s">
        <v>1210</v>
      </c>
      <c r="D941" t="s">
        <v>1214</v>
      </c>
      <c r="E941" t="s">
        <v>1222</v>
      </c>
      <c r="F941" t="s">
        <v>1227</v>
      </c>
      <c r="G941">
        <v>9</v>
      </c>
      <c r="H941">
        <v>2147</v>
      </c>
      <c r="I941">
        <v>19323</v>
      </c>
      <c r="J941" s="2">
        <v>3136.3</v>
      </c>
    </row>
    <row r="942" spans="1:10" x14ac:dyDescent="0.3">
      <c r="A942" t="s">
        <v>950</v>
      </c>
      <c r="B942" s="1">
        <v>45035</v>
      </c>
      <c r="C942" t="s">
        <v>1212</v>
      </c>
      <c r="D942" t="s">
        <v>1217</v>
      </c>
      <c r="E942" t="s">
        <v>1222</v>
      </c>
      <c r="F942" t="s">
        <v>1236</v>
      </c>
      <c r="G942">
        <v>4</v>
      </c>
      <c r="H942">
        <v>3592</v>
      </c>
      <c r="I942">
        <v>14368</v>
      </c>
      <c r="J942" s="2">
        <v>1607.43</v>
      </c>
    </row>
    <row r="943" spans="1:10" x14ac:dyDescent="0.3">
      <c r="A943" t="s">
        <v>951</v>
      </c>
      <c r="B943" s="1">
        <v>44953</v>
      </c>
      <c r="C943" t="s">
        <v>1213</v>
      </c>
      <c r="D943" t="s">
        <v>1217</v>
      </c>
      <c r="E943" t="s">
        <v>1219</v>
      </c>
      <c r="F943" t="s">
        <v>1238</v>
      </c>
      <c r="G943">
        <v>7</v>
      </c>
      <c r="H943">
        <v>3139</v>
      </c>
      <c r="I943">
        <v>21973</v>
      </c>
      <c r="J943" s="2">
        <v>3673.59</v>
      </c>
    </row>
    <row r="944" spans="1:10" x14ac:dyDescent="0.3">
      <c r="A944" t="s">
        <v>952</v>
      </c>
      <c r="B944" s="1">
        <v>44998</v>
      </c>
      <c r="C944" t="s">
        <v>1211</v>
      </c>
      <c r="D944" t="s">
        <v>1217</v>
      </c>
      <c r="E944" t="s">
        <v>1219</v>
      </c>
      <c r="F944" t="s">
        <v>1238</v>
      </c>
      <c r="G944">
        <v>1</v>
      </c>
      <c r="H944">
        <v>1188</v>
      </c>
      <c r="I944">
        <v>1188</v>
      </c>
      <c r="J944" s="2">
        <v>144.35</v>
      </c>
    </row>
    <row r="945" spans="1:10" x14ac:dyDescent="0.3">
      <c r="A945" t="s">
        <v>953</v>
      </c>
      <c r="B945" s="1">
        <v>45126</v>
      </c>
      <c r="C945" t="s">
        <v>1210</v>
      </c>
      <c r="D945" t="s">
        <v>1214</v>
      </c>
      <c r="E945" t="s">
        <v>1219</v>
      </c>
      <c r="F945" t="s">
        <v>1223</v>
      </c>
      <c r="G945">
        <v>2</v>
      </c>
      <c r="H945">
        <v>2640</v>
      </c>
      <c r="I945">
        <v>5280</v>
      </c>
      <c r="J945" s="2">
        <v>1200.67</v>
      </c>
    </row>
    <row r="946" spans="1:10" x14ac:dyDescent="0.3">
      <c r="A946" t="s">
        <v>954</v>
      </c>
      <c r="B946" s="1">
        <v>45093</v>
      </c>
      <c r="C946" t="s">
        <v>1213</v>
      </c>
      <c r="D946" t="s">
        <v>1218</v>
      </c>
      <c r="E946" t="s">
        <v>1219</v>
      </c>
      <c r="F946" t="s">
        <v>1233</v>
      </c>
      <c r="G946">
        <v>5</v>
      </c>
      <c r="H946">
        <v>4003</v>
      </c>
      <c r="I946">
        <v>20015</v>
      </c>
      <c r="J946" s="2">
        <v>3949.38</v>
      </c>
    </row>
    <row r="947" spans="1:10" x14ac:dyDescent="0.3">
      <c r="A947" t="s">
        <v>955</v>
      </c>
      <c r="B947" s="1">
        <v>45205</v>
      </c>
      <c r="C947" t="s">
        <v>1213</v>
      </c>
      <c r="D947" t="s">
        <v>1216</v>
      </c>
      <c r="E947" t="s">
        <v>1221</v>
      </c>
      <c r="F947" t="s">
        <v>1226</v>
      </c>
      <c r="G947">
        <v>2</v>
      </c>
      <c r="H947">
        <v>2965</v>
      </c>
      <c r="I947">
        <v>5930</v>
      </c>
      <c r="J947" s="2">
        <v>1167.74</v>
      </c>
    </row>
    <row r="948" spans="1:10" x14ac:dyDescent="0.3">
      <c r="A948" t="s">
        <v>956</v>
      </c>
      <c r="B948" s="1">
        <v>45143</v>
      </c>
      <c r="C948" t="s">
        <v>1212</v>
      </c>
      <c r="D948" t="s">
        <v>1218</v>
      </c>
      <c r="E948" t="s">
        <v>1222</v>
      </c>
      <c r="F948" t="s">
        <v>1230</v>
      </c>
      <c r="G948">
        <v>7</v>
      </c>
      <c r="H948">
        <v>4363</v>
      </c>
      <c r="I948">
        <v>30541</v>
      </c>
      <c r="J948" s="2">
        <v>6709.79</v>
      </c>
    </row>
    <row r="949" spans="1:10" x14ac:dyDescent="0.3">
      <c r="A949" t="s">
        <v>957</v>
      </c>
      <c r="B949" s="1">
        <v>45285</v>
      </c>
      <c r="C949" t="s">
        <v>1211</v>
      </c>
      <c r="D949" t="s">
        <v>1217</v>
      </c>
      <c r="E949" t="s">
        <v>1219</v>
      </c>
      <c r="F949" t="s">
        <v>1223</v>
      </c>
      <c r="G949">
        <v>5</v>
      </c>
      <c r="H949">
        <v>4473</v>
      </c>
      <c r="I949">
        <v>22365</v>
      </c>
      <c r="J949" s="2">
        <v>1815.04</v>
      </c>
    </row>
    <row r="950" spans="1:10" x14ac:dyDescent="0.3">
      <c r="A950" t="s">
        <v>958</v>
      </c>
      <c r="B950" s="1">
        <v>45178</v>
      </c>
      <c r="C950" t="s">
        <v>1210</v>
      </c>
      <c r="D950" t="s">
        <v>1217</v>
      </c>
      <c r="E950" t="s">
        <v>1220</v>
      </c>
      <c r="F950" t="s">
        <v>1237</v>
      </c>
      <c r="G950">
        <v>1</v>
      </c>
      <c r="H950">
        <v>2574</v>
      </c>
      <c r="I950">
        <v>2574</v>
      </c>
      <c r="J950" s="2">
        <v>504.04</v>
      </c>
    </row>
    <row r="951" spans="1:10" x14ac:dyDescent="0.3">
      <c r="A951" t="s">
        <v>959</v>
      </c>
      <c r="B951" s="1">
        <v>44970</v>
      </c>
      <c r="C951" t="s">
        <v>1210</v>
      </c>
      <c r="D951" t="s">
        <v>1217</v>
      </c>
      <c r="E951" t="s">
        <v>1220</v>
      </c>
      <c r="F951" t="s">
        <v>1225</v>
      </c>
      <c r="G951">
        <v>6</v>
      </c>
      <c r="H951">
        <v>4340</v>
      </c>
      <c r="I951">
        <v>26040</v>
      </c>
      <c r="J951" s="2">
        <v>5357.18</v>
      </c>
    </row>
    <row r="952" spans="1:10" x14ac:dyDescent="0.3">
      <c r="A952" t="s">
        <v>960</v>
      </c>
      <c r="B952" s="1">
        <v>44977</v>
      </c>
      <c r="C952" t="s">
        <v>1210</v>
      </c>
      <c r="D952" t="s">
        <v>1215</v>
      </c>
      <c r="E952" t="s">
        <v>1222</v>
      </c>
      <c r="F952" t="s">
        <v>1230</v>
      </c>
      <c r="G952">
        <v>3</v>
      </c>
      <c r="H952">
        <v>2461</v>
      </c>
      <c r="I952">
        <v>7383</v>
      </c>
      <c r="J952" s="2">
        <v>1440.53</v>
      </c>
    </row>
    <row r="953" spans="1:10" x14ac:dyDescent="0.3">
      <c r="A953" t="s">
        <v>961</v>
      </c>
      <c r="B953" s="1">
        <v>44930</v>
      </c>
      <c r="C953" t="s">
        <v>1211</v>
      </c>
      <c r="D953" t="s">
        <v>1218</v>
      </c>
      <c r="E953" t="s">
        <v>1221</v>
      </c>
      <c r="F953" t="s">
        <v>1231</v>
      </c>
      <c r="G953">
        <v>1</v>
      </c>
      <c r="H953">
        <v>1492</v>
      </c>
      <c r="I953">
        <v>1492</v>
      </c>
      <c r="J953" s="2">
        <v>257.54000000000002</v>
      </c>
    </row>
    <row r="954" spans="1:10" x14ac:dyDescent="0.3">
      <c r="A954" t="s">
        <v>962</v>
      </c>
      <c r="B954" s="1">
        <v>45145</v>
      </c>
      <c r="C954" t="s">
        <v>1212</v>
      </c>
      <c r="D954" t="s">
        <v>1214</v>
      </c>
      <c r="E954" t="s">
        <v>1221</v>
      </c>
      <c r="F954" t="s">
        <v>1229</v>
      </c>
      <c r="G954">
        <v>3</v>
      </c>
      <c r="H954">
        <v>524</v>
      </c>
      <c r="I954">
        <v>1572</v>
      </c>
      <c r="J954" s="2">
        <v>318.82</v>
      </c>
    </row>
    <row r="955" spans="1:10" x14ac:dyDescent="0.3">
      <c r="A955" t="s">
        <v>963</v>
      </c>
      <c r="B955" s="1">
        <v>45185</v>
      </c>
      <c r="C955" t="s">
        <v>1213</v>
      </c>
      <c r="D955" t="s">
        <v>1218</v>
      </c>
      <c r="E955" t="s">
        <v>1222</v>
      </c>
      <c r="F955" t="s">
        <v>1236</v>
      </c>
      <c r="G955">
        <v>6</v>
      </c>
      <c r="H955">
        <v>3787</v>
      </c>
      <c r="I955">
        <v>22722</v>
      </c>
      <c r="J955" s="2">
        <v>5184.47</v>
      </c>
    </row>
    <row r="956" spans="1:10" x14ac:dyDescent="0.3">
      <c r="A956" t="s">
        <v>964</v>
      </c>
      <c r="B956" s="1">
        <v>45222</v>
      </c>
      <c r="C956" t="s">
        <v>1212</v>
      </c>
      <c r="D956" t="s">
        <v>1216</v>
      </c>
      <c r="E956" t="s">
        <v>1222</v>
      </c>
      <c r="F956" t="s">
        <v>1236</v>
      </c>
      <c r="G956">
        <v>6</v>
      </c>
      <c r="H956">
        <v>1702</v>
      </c>
      <c r="I956">
        <v>10212</v>
      </c>
      <c r="J956" s="2">
        <v>1281.8599999999999</v>
      </c>
    </row>
    <row r="957" spans="1:10" x14ac:dyDescent="0.3">
      <c r="A957" t="s">
        <v>965</v>
      </c>
      <c r="B957" s="1">
        <v>45263</v>
      </c>
      <c r="C957" t="s">
        <v>1212</v>
      </c>
      <c r="D957" t="s">
        <v>1217</v>
      </c>
      <c r="E957" t="s">
        <v>1220</v>
      </c>
      <c r="F957" t="s">
        <v>1225</v>
      </c>
      <c r="G957">
        <v>6</v>
      </c>
      <c r="H957">
        <v>1967</v>
      </c>
      <c r="I957">
        <v>11802</v>
      </c>
      <c r="J957" s="2">
        <v>1410.44</v>
      </c>
    </row>
    <row r="958" spans="1:10" x14ac:dyDescent="0.3">
      <c r="A958" t="s">
        <v>966</v>
      </c>
      <c r="B958" s="1">
        <v>45097</v>
      </c>
      <c r="C958" t="s">
        <v>1210</v>
      </c>
      <c r="D958" t="s">
        <v>1217</v>
      </c>
      <c r="E958" t="s">
        <v>1222</v>
      </c>
      <c r="F958" t="s">
        <v>1234</v>
      </c>
      <c r="G958">
        <v>4</v>
      </c>
      <c r="H958">
        <v>265</v>
      </c>
      <c r="I958">
        <v>1060</v>
      </c>
      <c r="J958" s="2">
        <v>144.15</v>
      </c>
    </row>
    <row r="959" spans="1:10" x14ac:dyDescent="0.3">
      <c r="A959" t="s">
        <v>967</v>
      </c>
      <c r="B959" s="1">
        <v>45142</v>
      </c>
      <c r="C959" t="s">
        <v>1212</v>
      </c>
      <c r="D959" t="s">
        <v>1216</v>
      </c>
      <c r="E959" t="s">
        <v>1220</v>
      </c>
      <c r="F959" t="s">
        <v>1237</v>
      </c>
      <c r="G959">
        <v>7</v>
      </c>
      <c r="H959">
        <v>1034</v>
      </c>
      <c r="I959">
        <v>7238</v>
      </c>
      <c r="J959" s="2">
        <v>940.69</v>
      </c>
    </row>
    <row r="960" spans="1:10" x14ac:dyDescent="0.3">
      <c r="A960" t="s">
        <v>968</v>
      </c>
      <c r="B960" s="1">
        <v>44939</v>
      </c>
      <c r="C960" t="s">
        <v>1213</v>
      </c>
      <c r="D960" t="s">
        <v>1217</v>
      </c>
      <c r="E960" t="s">
        <v>1219</v>
      </c>
      <c r="F960" t="s">
        <v>1238</v>
      </c>
      <c r="G960">
        <v>9</v>
      </c>
      <c r="H960">
        <v>2940</v>
      </c>
      <c r="I960">
        <v>26460</v>
      </c>
      <c r="J960" s="2">
        <v>4676.2</v>
      </c>
    </row>
    <row r="961" spans="1:10" x14ac:dyDescent="0.3">
      <c r="A961" t="s">
        <v>969</v>
      </c>
      <c r="B961" s="1">
        <v>45099</v>
      </c>
      <c r="C961" t="s">
        <v>1210</v>
      </c>
      <c r="D961" t="s">
        <v>1214</v>
      </c>
      <c r="E961" t="s">
        <v>1222</v>
      </c>
      <c r="F961" t="s">
        <v>1234</v>
      </c>
      <c r="G961">
        <v>8</v>
      </c>
      <c r="H961">
        <v>4157</v>
      </c>
      <c r="I961">
        <v>33256</v>
      </c>
      <c r="J961" s="2">
        <v>5873.2</v>
      </c>
    </row>
    <row r="962" spans="1:10" x14ac:dyDescent="0.3">
      <c r="A962" t="s">
        <v>970</v>
      </c>
      <c r="B962" s="1">
        <v>45288</v>
      </c>
      <c r="C962" t="s">
        <v>1213</v>
      </c>
      <c r="D962" t="s">
        <v>1217</v>
      </c>
      <c r="E962" t="s">
        <v>1221</v>
      </c>
      <c r="F962" t="s">
        <v>1231</v>
      </c>
      <c r="G962">
        <v>7</v>
      </c>
      <c r="H962">
        <v>2364</v>
      </c>
      <c r="I962">
        <v>16548</v>
      </c>
      <c r="J962" s="2">
        <v>2925.39</v>
      </c>
    </row>
    <row r="963" spans="1:10" x14ac:dyDescent="0.3">
      <c r="A963" t="s">
        <v>971</v>
      </c>
      <c r="B963" s="1">
        <v>45223</v>
      </c>
      <c r="C963" t="s">
        <v>1210</v>
      </c>
      <c r="D963" t="s">
        <v>1216</v>
      </c>
      <c r="E963" t="s">
        <v>1219</v>
      </c>
      <c r="F963" t="s">
        <v>1223</v>
      </c>
      <c r="G963">
        <v>7</v>
      </c>
      <c r="H963">
        <v>4276</v>
      </c>
      <c r="I963">
        <v>29932</v>
      </c>
      <c r="J963" s="2">
        <v>3973.17</v>
      </c>
    </row>
    <row r="964" spans="1:10" x14ac:dyDescent="0.3">
      <c r="A964" t="s">
        <v>972</v>
      </c>
      <c r="B964" s="1">
        <v>44971</v>
      </c>
      <c r="C964" t="s">
        <v>1210</v>
      </c>
      <c r="D964" t="s">
        <v>1215</v>
      </c>
      <c r="E964" t="s">
        <v>1222</v>
      </c>
      <c r="F964" t="s">
        <v>1230</v>
      </c>
      <c r="G964">
        <v>2</v>
      </c>
      <c r="H964">
        <v>2958</v>
      </c>
      <c r="I964">
        <v>5916</v>
      </c>
      <c r="J964" s="2">
        <v>772.94</v>
      </c>
    </row>
    <row r="965" spans="1:10" x14ac:dyDescent="0.3">
      <c r="A965" t="s">
        <v>973</v>
      </c>
      <c r="B965" s="1">
        <v>45140</v>
      </c>
      <c r="C965" t="s">
        <v>1213</v>
      </c>
      <c r="D965" t="s">
        <v>1218</v>
      </c>
      <c r="E965" t="s">
        <v>1219</v>
      </c>
      <c r="F965" t="s">
        <v>1238</v>
      </c>
      <c r="G965">
        <v>6</v>
      </c>
      <c r="H965">
        <v>1389</v>
      </c>
      <c r="I965">
        <v>8334</v>
      </c>
      <c r="J965" s="2">
        <v>1811.42</v>
      </c>
    </row>
    <row r="966" spans="1:10" x14ac:dyDescent="0.3">
      <c r="A966" t="s">
        <v>974</v>
      </c>
      <c r="B966" s="1">
        <v>44975</v>
      </c>
      <c r="C966" t="s">
        <v>1213</v>
      </c>
      <c r="D966" t="s">
        <v>1218</v>
      </c>
      <c r="E966" t="s">
        <v>1219</v>
      </c>
      <c r="F966" t="s">
        <v>1223</v>
      </c>
      <c r="G966">
        <v>1</v>
      </c>
      <c r="H966">
        <v>4132</v>
      </c>
      <c r="I966">
        <v>4132</v>
      </c>
      <c r="J966" s="2">
        <v>681.46</v>
      </c>
    </row>
    <row r="967" spans="1:10" x14ac:dyDescent="0.3">
      <c r="A967" t="s">
        <v>975</v>
      </c>
      <c r="B967" s="1">
        <v>45219</v>
      </c>
      <c r="C967" t="s">
        <v>1211</v>
      </c>
      <c r="D967" t="s">
        <v>1214</v>
      </c>
      <c r="E967" t="s">
        <v>1220</v>
      </c>
      <c r="F967" t="s">
        <v>1225</v>
      </c>
      <c r="G967">
        <v>5</v>
      </c>
      <c r="H967">
        <v>3246</v>
      </c>
      <c r="I967">
        <v>16230</v>
      </c>
      <c r="J967" s="2">
        <v>3571.2</v>
      </c>
    </row>
    <row r="968" spans="1:10" x14ac:dyDescent="0.3">
      <c r="A968" t="s">
        <v>976</v>
      </c>
      <c r="B968" s="1">
        <v>45236</v>
      </c>
      <c r="C968" t="s">
        <v>1211</v>
      </c>
      <c r="D968" t="s">
        <v>1214</v>
      </c>
      <c r="E968" t="s">
        <v>1219</v>
      </c>
      <c r="F968" t="s">
        <v>1223</v>
      </c>
      <c r="G968">
        <v>2</v>
      </c>
      <c r="H968">
        <v>286</v>
      </c>
      <c r="I968">
        <v>572</v>
      </c>
      <c r="J968" s="2">
        <v>61.64</v>
      </c>
    </row>
    <row r="969" spans="1:10" x14ac:dyDescent="0.3">
      <c r="A969" t="s">
        <v>977</v>
      </c>
      <c r="B969" s="1">
        <v>45241</v>
      </c>
      <c r="C969" t="s">
        <v>1212</v>
      </c>
      <c r="D969" t="s">
        <v>1216</v>
      </c>
      <c r="E969" t="s">
        <v>1220</v>
      </c>
      <c r="F969" t="s">
        <v>1224</v>
      </c>
      <c r="G969">
        <v>2</v>
      </c>
      <c r="H969">
        <v>2597</v>
      </c>
      <c r="I969">
        <v>5194</v>
      </c>
      <c r="J969" s="2">
        <v>1004.41</v>
      </c>
    </row>
    <row r="970" spans="1:10" x14ac:dyDescent="0.3">
      <c r="A970" t="s">
        <v>978</v>
      </c>
      <c r="B970" s="1">
        <v>45054</v>
      </c>
      <c r="C970" t="s">
        <v>1210</v>
      </c>
      <c r="D970" t="s">
        <v>1217</v>
      </c>
      <c r="E970" t="s">
        <v>1222</v>
      </c>
      <c r="F970" t="s">
        <v>1227</v>
      </c>
      <c r="G970">
        <v>4</v>
      </c>
      <c r="H970">
        <v>4133</v>
      </c>
      <c r="I970">
        <v>16532</v>
      </c>
      <c r="J970" s="2">
        <v>1638.45</v>
      </c>
    </row>
    <row r="971" spans="1:10" x14ac:dyDescent="0.3">
      <c r="A971" t="s">
        <v>979</v>
      </c>
      <c r="B971" s="1">
        <v>45152</v>
      </c>
      <c r="C971" t="s">
        <v>1212</v>
      </c>
      <c r="D971" t="s">
        <v>1217</v>
      </c>
      <c r="E971" t="s">
        <v>1219</v>
      </c>
      <c r="F971" t="s">
        <v>1232</v>
      </c>
      <c r="G971">
        <v>6</v>
      </c>
      <c r="H971">
        <v>2700</v>
      </c>
      <c r="I971">
        <v>16200</v>
      </c>
      <c r="J971" s="2">
        <v>3892.97</v>
      </c>
    </row>
    <row r="972" spans="1:10" x14ac:dyDescent="0.3">
      <c r="A972" t="s">
        <v>980</v>
      </c>
      <c r="B972" s="1">
        <v>45108</v>
      </c>
      <c r="C972" t="s">
        <v>1212</v>
      </c>
      <c r="D972" t="s">
        <v>1217</v>
      </c>
      <c r="E972" t="s">
        <v>1221</v>
      </c>
      <c r="F972" t="s">
        <v>1235</v>
      </c>
      <c r="G972">
        <v>3</v>
      </c>
      <c r="H972">
        <v>2128</v>
      </c>
      <c r="I972">
        <v>6384</v>
      </c>
      <c r="J972" s="2">
        <v>1522.58</v>
      </c>
    </row>
    <row r="973" spans="1:10" x14ac:dyDescent="0.3">
      <c r="A973" t="s">
        <v>981</v>
      </c>
      <c r="B973" s="1">
        <v>45023</v>
      </c>
      <c r="C973" t="s">
        <v>1211</v>
      </c>
      <c r="D973" t="s">
        <v>1217</v>
      </c>
      <c r="E973" t="s">
        <v>1219</v>
      </c>
      <c r="F973" t="s">
        <v>1238</v>
      </c>
      <c r="G973">
        <v>4</v>
      </c>
      <c r="H973">
        <v>4324</v>
      </c>
      <c r="I973">
        <v>17296</v>
      </c>
      <c r="J973" s="2">
        <v>4120.1499999999996</v>
      </c>
    </row>
    <row r="974" spans="1:10" x14ac:dyDescent="0.3">
      <c r="A974" t="s">
        <v>982</v>
      </c>
      <c r="B974" s="1">
        <v>45028</v>
      </c>
      <c r="C974" t="s">
        <v>1211</v>
      </c>
      <c r="D974" t="s">
        <v>1217</v>
      </c>
      <c r="E974" t="s">
        <v>1219</v>
      </c>
      <c r="F974" t="s">
        <v>1238</v>
      </c>
      <c r="G974">
        <v>1</v>
      </c>
      <c r="H974">
        <v>2268</v>
      </c>
      <c r="I974">
        <v>2268</v>
      </c>
      <c r="J974" s="2">
        <v>338.71</v>
      </c>
    </row>
    <row r="975" spans="1:10" x14ac:dyDescent="0.3">
      <c r="A975" t="s">
        <v>983</v>
      </c>
      <c r="B975" s="1">
        <v>45025</v>
      </c>
      <c r="C975" t="s">
        <v>1210</v>
      </c>
      <c r="D975" t="s">
        <v>1216</v>
      </c>
      <c r="E975" t="s">
        <v>1219</v>
      </c>
      <c r="F975" t="s">
        <v>1223</v>
      </c>
      <c r="G975">
        <v>2</v>
      </c>
      <c r="H975">
        <v>2370</v>
      </c>
      <c r="I975">
        <v>4740</v>
      </c>
      <c r="J975" s="2">
        <v>900.83</v>
      </c>
    </row>
    <row r="976" spans="1:10" x14ac:dyDescent="0.3">
      <c r="A976" t="s">
        <v>984</v>
      </c>
      <c r="B976" s="1">
        <v>44977</v>
      </c>
      <c r="C976" t="s">
        <v>1211</v>
      </c>
      <c r="D976" t="s">
        <v>1217</v>
      </c>
      <c r="E976" t="s">
        <v>1219</v>
      </c>
      <c r="F976" t="s">
        <v>1232</v>
      </c>
      <c r="G976">
        <v>9</v>
      </c>
      <c r="H976">
        <v>795</v>
      </c>
      <c r="I976">
        <v>7155</v>
      </c>
      <c r="J976" s="2">
        <v>620.99</v>
      </c>
    </row>
    <row r="977" spans="1:10" x14ac:dyDescent="0.3">
      <c r="A977" t="s">
        <v>985</v>
      </c>
      <c r="B977" s="1">
        <v>45114</v>
      </c>
      <c r="C977" t="s">
        <v>1211</v>
      </c>
      <c r="D977" t="s">
        <v>1215</v>
      </c>
      <c r="E977" t="s">
        <v>1220</v>
      </c>
      <c r="F977" t="s">
        <v>1224</v>
      </c>
      <c r="G977">
        <v>5</v>
      </c>
      <c r="H977">
        <v>3024</v>
      </c>
      <c r="I977">
        <v>15120</v>
      </c>
      <c r="J977" s="2">
        <v>2306.89</v>
      </c>
    </row>
    <row r="978" spans="1:10" x14ac:dyDescent="0.3">
      <c r="A978" t="s">
        <v>986</v>
      </c>
      <c r="B978" s="1">
        <v>45252</v>
      </c>
      <c r="C978" t="s">
        <v>1213</v>
      </c>
      <c r="D978" t="s">
        <v>1218</v>
      </c>
      <c r="E978" t="s">
        <v>1219</v>
      </c>
      <c r="F978" t="s">
        <v>1233</v>
      </c>
      <c r="G978">
        <v>2</v>
      </c>
      <c r="H978">
        <v>701</v>
      </c>
      <c r="I978">
        <v>1402</v>
      </c>
      <c r="J978" s="2">
        <v>334.17</v>
      </c>
    </row>
    <row r="979" spans="1:10" x14ac:dyDescent="0.3">
      <c r="A979" t="s">
        <v>987</v>
      </c>
      <c r="B979" s="1">
        <v>45272</v>
      </c>
      <c r="C979" t="s">
        <v>1211</v>
      </c>
      <c r="D979" t="s">
        <v>1216</v>
      </c>
      <c r="E979" t="s">
        <v>1219</v>
      </c>
      <c r="F979" t="s">
        <v>1233</v>
      </c>
      <c r="G979">
        <v>5</v>
      </c>
      <c r="H979">
        <v>1205</v>
      </c>
      <c r="I979">
        <v>6025</v>
      </c>
      <c r="J979" s="2">
        <v>1318.7</v>
      </c>
    </row>
    <row r="980" spans="1:10" x14ac:dyDescent="0.3">
      <c r="A980" t="s">
        <v>988</v>
      </c>
      <c r="B980" s="1">
        <v>45183</v>
      </c>
      <c r="C980" t="s">
        <v>1213</v>
      </c>
      <c r="D980" t="s">
        <v>1215</v>
      </c>
      <c r="E980" t="s">
        <v>1220</v>
      </c>
      <c r="F980" t="s">
        <v>1224</v>
      </c>
      <c r="G980">
        <v>5</v>
      </c>
      <c r="H980">
        <v>4566</v>
      </c>
      <c r="I980">
        <v>22830</v>
      </c>
      <c r="J980" s="2">
        <v>4370.5</v>
      </c>
    </row>
    <row r="981" spans="1:10" x14ac:dyDescent="0.3">
      <c r="A981" t="s">
        <v>989</v>
      </c>
      <c r="B981" s="1">
        <v>45075</v>
      </c>
      <c r="C981" t="s">
        <v>1211</v>
      </c>
      <c r="D981" t="s">
        <v>1214</v>
      </c>
      <c r="E981" t="s">
        <v>1219</v>
      </c>
      <c r="F981" t="s">
        <v>1223</v>
      </c>
      <c r="G981">
        <v>8</v>
      </c>
      <c r="H981">
        <v>407</v>
      </c>
      <c r="I981">
        <v>3256</v>
      </c>
      <c r="J981" s="2">
        <v>514.71</v>
      </c>
    </row>
    <row r="982" spans="1:10" x14ac:dyDescent="0.3">
      <c r="A982" t="s">
        <v>990</v>
      </c>
      <c r="B982" s="1">
        <v>45190</v>
      </c>
      <c r="C982" t="s">
        <v>1212</v>
      </c>
      <c r="D982" t="s">
        <v>1215</v>
      </c>
      <c r="E982" t="s">
        <v>1220</v>
      </c>
      <c r="F982" t="s">
        <v>1225</v>
      </c>
      <c r="G982">
        <v>6</v>
      </c>
      <c r="H982">
        <v>3445</v>
      </c>
      <c r="I982">
        <v>20670</v>
      </c>
      <c r="J982" s="2">
        <v>4948.45</v>
      </c>
    </row>
    <row r="983" spans="1:10" x14ac:dyDescent="0.3">
      <c r="A983" t="s">
        <v>991</v>
      </c>
      <c r="B983" s="1">
        <v>45267</v>
      </c>
      <c r="C983" t="s">
        <v>1213</v>
      </c>
      <c r="D983" t="s">
        <v>1216</v>
      </c>
      <c r="E983" t="s">
        <v>1219</v>
      </c>
      <c r="F983" t="s">
        <v>1223</v>
      </c>
      <c r="G983">
        <v>6</v>
      </c>
      <c r="H983">
        <v>399</v>
      </c>
      <c r="I983">
        <v>2394</v>
      </c>
      <c r="J983" s="2">
        <v>562.33000000000004</v>
      </c>
    </row>
    <row r="984" spans="1:10" x14ac:dyDescent="0.3">
      <c r="A984" t="s">
        <v>992</v>
      </c>
      <c r="B984" s="1">
        <v>45197</v>
      </c>
      <c r="C984" t="s">
        <v>1211</v>
      </c>
      <c r="D984" t="s">
        <v>1217</v>
      </c>
      <c r="E984" t="s">
        <v>1221</v>
      </c>
      <c r="F984" t="s">
        <v>1229</v>
      </c>
      <c r="G984">
        <v>2</v>
      </c>
      <c r="H984">
        <v>804</v>
      </c>
      <c r="I984">
        <v>1608</v>
      </c>
      <c r="J984" s="2">
        <v>278.02</v>
      </c>
    </row>
    <row r="985" spans="1:10" x14ac:dyDescent="0.3">
      <c r="A985" t="s">
        <v>993</v>
      </c>
      <c r="B985" s="1">
        <v>44963</v>
      </c>
      <c r="C985" t="s">
        <v>1211</v>
      </c>
      <c r="D985" t="s">
        <v>1218</v>
      </c>
      <c r="E985" t="s">
        <v>1220</v>
      </c>
      <c r="F985" t="s">
        <v>1228</v>
      </c>
      <c r="G985">
        <v>6</v>
      </c>
      <c r="H985">
        <v>4075</v>
      </c>
      <c r="I985">
        <v>24450</v>
      </c>
      <c r="J985" s="2">
        <v>2738.39</v>
      </c>
    </row>
    <row r="986" spans="1:10" x14ac:dyDescent="0.3">
      <c r="A986" t="s">
        <v>994</v>
      </c>
      <c r="B986" s="1">
        <v>45085</v>
      </c>
      <c r="C986" t="s">
        <v>1211</v>
      </c>
      <c r="D986" t="s">
        <v>1215</v>
      </c>
      <c r="E986" t="s">
        <v>1221</v>
      </c>
      <c r="F986" t="s">
        <v>1231</v>
      </c>
      <c r="G986">
        <v>6</v>
      </c>
      <c r="H986">
        <v>4707</v>
      </c>
      <c r="I986">
        <v>28242</v>
      </c>
      <c r="J986" s="2">
        <v>2785.04</v>
      </c>
    </row>
    <row r="987" spans="1:10" x14ac:dyDescent="0.3">
      <c r="A987" t="s">
        <v>995</v>
      </c>
      <c r="B987" s="1">
        <v>45142</v>
      </c>
      <c r="C987" t="s">
        <v>1212</v>
      </c>
      <c r="D987" t="s">
        <v>1217</v>
      </c>
      <c r="E987" t="s">
        <v>1222</v>
      </c>
      <c r="F987" t="s">
        <v>1234</v>
      </c>
      <c r="G987">
        <v>9</v>
      </c>
      <c r="H987">
        <v>3520</v>
      </c>
      <c r="I987">
        <v>31680</v>
      </c>
      <c r="J987" s="2">
        <v>5746.08</v>
      </c>
    </row>
    <row r="988" spans="1:10" x14ac:dyDescent="0.3">
      <c r="A988" t="s">
        <v>996</v>
      </c>
      <c r="B988" s="1">
        <v>45147</v>
      </c>
      <c r="C988" t="s">
        <v>1212</v>
      </c>
      <c r="D988" t="s">
        <v>1217</v>
      </c>
      <c r="E988" t="s">
        <v>1222</v>
      </c>
      <c r="F988" t="s">
        <v>1227</v>
      </c>
      <c r="G988">
        <v>1</v>
      </c>
      <c r="H988">
        <v>3491</v>
      </c>
      <c r="I988">
        <v>3491</v>
      </c>
      <c r="J988" s="2">
        <v>703.98</v>
      </c>
    </row>
    <row r="989" spans="1:10" x14ac:dyDescent="0.3">
      <c r="A989" t="s">
        <v>997</v>
      </c>
      <c r="B989" s="1">
        <v>45248</v>
      </c>
      <c r="C989" t="s">
        <v>1212</v>
      </c>
      <c r="D989" t="s">
        <v>1218</v>
      </c>
      <c r="E989" t="s">
        <v>1219</v>
      </c>
      <c r="F989" t="s">
        <v>1233</v>
      </c>
      <c r="G989">
        <v>4</v>
      </c>
      <c r="H989">
        <v>482</v>
      </c>
      <c r="I989">
        <v>1928</v>
      </c>
      <c r="J989" s="2">
        <v>381.66</v>
      </c>
    </row>
    <row r="990" spans="1:10" x14ac:dyDescent="0.3">
      <c r="A990" t="s">
        <v>998</v>
      </c>
      <c r="B990" s="1">
        <v>45108</v>
      </c>
      <c r="C990" t="s">
        <v>1212</v>
      </c>
      <c r="D990" t="s">
        <v>1214</v>
      </c>
      <c r="E990" t="s">
        <v>1222</v>
      </c>
      <c r="F990" t="s">
        <v>1227</v>
      </c>
      <c r="G990">
        <v>1</v>
      </c>
      <c r="H990">
        <v>3697</v>
      </c>
      <c r="I990">
        <v>3697</v>
      </c>
      <c r="J990" s="2">
        <v>411.47</v>
      </c>
    </row>
    <row r="991" spans="1:10" x14ac:dyDescent="0.3">
      <c r="A991" t="s">
        <v>999</v>
      </c>
      <c r="B991" s="1">
        <v>45008</v>
      </c>
      <c r="C991" t="s">
        <v>1210</v>
      </c>
      <c r="D991" t="s">
        <v>1217</v>
      </c>
      <c r="E991" t="s">
        <v>1220</v>
      </c>
      <c r="F991" t="s">
        <v>1228</v>
      </c>
      <c r="G991">
        <v>6</v>
      </c>
      <c r="H991">
        <v>764</v>
      </c>
      <c r="I991">
        <v>4584</v>
      </c>
      <c r="J991" s="2">
        <v>975.7</v>
      </c>
    </row>
    <row r="992" spans="1:10" x14ac:dyDescent="0.3">
      <c r="A992" t="s">
        <v>1000</v>
      </c>
      <c r="B992" s="1">
        <v>45138</v>
      </c>
      <c r="C992" t="s">
        <v>1212</v>
      </c>
      <c r="D992" t="s">
        <v>1218</v>
      </c>
      <c r="E992" t="s">
        <v>1221</v>
      </c>
      <c r="F992" t="s">
        <v>1229</v>
      </c>
      <c r="G992">
        <v>5</v>
      </c>
      <c r="H992">
        <v>2651</v>
      </c>
      <c r="I992">
        <v>13255</v>
      </c>
      <c r="J992" s="2">
        <v>2977.67</v>
      </c>
    </row>
    <row r="993" spans="1:10" x14ac:dyDescent="0.3">
      <c r="A993" t="s">
        <v>1001</v>
      </c>
      <c r="B993" s="1">
        <v>45031</v>
      </c>
      <c r="C993" t="s">
        <v>1210</v>
      </c>
      <c r="D993" t="s">
        <v>1214</v>
      </c>
      <c r="E993" t="s">
        <v>1222</v>
      </c>
      <c r="F993" t="s">
        <v>1227</v>
      </c>
      <c r="G993">
        <v>1</v>
      </c>
      <c r="H993">
        <v>4923</v>
      </c>
      <c r="I993">
        <v>4923</v>
      </c>
      <c r="J993" s="2">
        <v>1192.2</v>
      </c>
    </row>
    <row r="994" spans="1:10" x14ac:dyDescent="0.3">
      <c r="A994" t="s">
        <v>1002</v>
      </c>
      <c r="B994" s="1">
        <v>44950</v>
      </c>
      <c r="C994" t="s">
        <v>1210</v>
      </c>
      <c r="D994" t="s">
        <v>1217</v>
      </c>
      <c r="E994" t="s">
        <v>1220</v>
      </c>
      <c r="G994">
        <v>8</v>
      </c>
      <c r="H994">
        <v>2036</v>
      </c>
      <c r="I994">
        <v>16288</v>
      </c>
      <c r="J994" s="2">
        <v>3836.18</v>
      </c>
    </row>
    <row r="995" spans="1:10" x14ac:dyDescent="0.3">
      <c r="A995" t="s">
        <v>1003</v>
      </c>
      <c r="B995" s="1">
        <v>45169</v>
      </c>
      <c r="C995" t="s">
        <v>1211</v>
      </c>
      <c r="D995" t="s">
        <v>1218</v>
      </c>
      <c r="E995" t="s">
        <v>1219</v>
      </c>
      <c r="F995" t="s">
        <v>1223</v>
      </c>
      <c r="G995">
        <v>4</v>
      </c>
      <c r="H995">
        <v>4271</v>
      </c>
      <c r="I995">
        <v>17084</v>
      </c>
      <c r="J995" s="2">
        <v>1792.53</v>
      </c>
    </row>
    <row r="996" spans="1:10" x14ac:dyDescent="0.3">
      <c r="A996" t="s">
        <v>1004</v>
      </c>
      <c r="B996" s="1">
        <v>45225</v>
      </c>
      <c r="C996" t="s">
        <v>1212</v>
      </c>
      <c r="D996" t="s">
        <v>1214</v>
      </c>
      <c r="E996" t="s">
        <v>1220</v>
      </c>
      <c r="F996" t="s">
        <v>1237</v>
      </c>
      <c r="G996">
        <v>1</v>
      </c>
      <c r="H996">
        <v>1953</v>
      </c>
      <c r="I996">
        <v>1953</v>
      </c>
      <c r="J996" s="2">
        <v>258.98</v>
      </c>
    </row>
    <row r="997" spans="1:10" x14ac:dyDescent="0.3">
      <c r="A997" t="s">
        <v>1005</v>
      </c>
      <c r="B997" s="1">
        <v>45104</v>
      </c>
      <c r="C997" t="s">
        <v>1210</v>
      </c>
      <c r="D997" t="s">
        <v>1214</v>
      </c>
      <c r="E997" t="s">
        <v>1222</v>
      </c>
      <c r="F997" t="s">
        <v>1230</v>
      </c>
      <c r="G997">
        <v>2</v>
      </c>
      <c r="H997">
        <v>1705</v>
      </c>
      <c r="I997">
        <v>3410</v>
      </c>
      <c r="J997" s="2">
        <v>443.71</v>
      </c>
    </row>
    <row r="998" spans="1:10" x14ac:dyDescent="0.3">
      <c r="A998" t="s">
        <v>1006</v>
      </c>
      <c r="B998" s="1">
        <v>45283</v>
      </c>
      <c r="C998" t="s">
        <v>1213</v>
      </c>
      <c r="D998" t="s">
        <v>1217</v>
      </c>
      <c r="E998" t="s">
        <v>1219</v>
      </c>
      <c r="F998" t="s">
        <v>1238</v>
      </c>
      <c r="G998">
        <v>7</v>
      </c>
      <c r="H998">
        <v>2296</v>
      </c>
      <c r="I998">
        <v>16072</v>
      </c>
      <c r="J998" s="2">
        <v>3733.34</v>
      </c>
    </row>
    <row r="999" spans="1:10" x14ac:dyDescent="0.3">
      <c r="A999" t="s">
        <v>1007</v>
      </c>
      <c r="B999" s="1">
        <v>45043</v>
      </c>
      <c r="C999" t="s">
        <v>1213</v>
      </c>
      <c r="D999" t="s">
        <v>1216</v>
      </c>
      <c r="E999" t="s">
        <v>1222</v>
      </c>
      <c r="F999" t="s">
        <v>1227</v>
      </c>
      <c r="G999">
        <v>7</v>
      </c>
      <c r="H999">
        <v>4199</v>
      </c>
      <c r="I999">
        <v>29393</v>
      </c>
      <c r="J999" s="2">
        <v>7189.99</v>
      </c>
    </row>
    <row r="1000" spans="1:10" x14ac:dyDescent="0.3">
      <c r="A1000" t="s">
        <v>1008</v>
      </c>
      <c r="B1000" s="1">
        <v>45236</v>
      </c>
      <c r="C1000" t="s">
        <v>1213</v>
      </c>
      <c r="D1000" t="s">
        <v>1218</v>
      </c>
      <c r="E1000" t="s">
        <v>1222</v>
      </c>
      <c r="F1000" t="s">
        <v>1234</v>
      </c>
      <c r="G1000">
        <v>8</v>
      </c>
      <c r="H1000">
        <v>746</v>
      </c>
      <c r="I1000">
        <v>5968</v>
      </c>
      <c r="J1000" s="2">
        <v>785.6</v>
      </c>
    </row>
    <row r="1001" spans="1:10" x14ac:dyDescent="0.3">
      <c r="A1001" t="s">
        <v>1009</v>
      </c>
      <c r="B1001" s="1">
        <v>45233</v>
      </c>
      <c r="C1001" t="s">
        <v>1211</v>
      </c>
      <c r="D1001" t="s">
        <v>1214</v>
      </c>
      <c r="E1001" t="s">
        <v>1219</v>
      </c>
      <c r="F1001" t="s">
        <v>1232</v>
      </c>
      <c r="G1001">
        <v>3</v>
      </c>
      <c r="H1001">
        <v>1800</v>
      </c>
      <c r="I1001">
        <v>5400</v>
      </c>
      <c r="J1001" s="2">
        <v>530.42999999999995</v>
      </c>
    </row>
    <row r="1002" spans="1:10" x14ac:dyDescent="0.3">
      <c r="A1002" t="s">
        <v>1010</v>
      </c>
      <c r="B1002" s="1">
        <v>45107</v>
      </c>
      <c r="C1002" t="s">
        <v>1211</v>
      </c>
      <c r="D1002" t="s">
        <v>1217</v>
      </c>
      <c r="E1002" t="s">
        <v>1222</v>
      </c>
      <c r="F1002" t="s">
        <v>1236</v>
      </c>
      <c r="G1002">
        <v>5</v>
      </c>
      <c r="H1002">
        <v>2315</v>
      </c>
      <c r="I1002">
        <v>11575</v>
      </c>
      <c r="J1002" s="2">
        <v>2743.67</v>
      </c>
    </row>
    <row r="1003" spans="1:10" x14ac:dyDescent="0.3">
      <c r="A1003" t="s">
        <v>1011</v>
      </c>
      <c r="B1003" s="1">
        <v>45026</v>
      </c>
      <c r="C1003" t="s">
        <v>1213</v>
      </c>
      <c r="D1003" t="s">
        <v>1216</v>
      </c>
      <c r="E1003" t="s">
        <v>1221</v>
      </c>
      <c r="F1003" t="s">
        <v>1231</v>
      </c>
      <c r="G1003">
        <v>2</v>
      </c>
      <c r="H1003">
        <v>1757</v>
      </c>
      <c r="I1003">
        <v>3514</v>
      </c>
      <c r="J1003" s="2">
        <v>418.16</v>
      </c>
    </row>
    <row r="1004" spans="1:10" x14ac:dyDescent="0.3">
      <c r="A1004" t="s">
        <v>1012</v>
      </c>
      <c r="B1004" s="1">
        <v>45011</v>
      </c>
      <c r="C1004" t="s">
        <v>1212</v>
      </c>
      <c r="D1004" t="s">
        <v>1216</v>
      </c>
      <c r="E1004" t="s">
        <v>1219</v>
      </c>
      <c r="F1004" t="s">
        <v>1238</v>
      </c>
      <c r="G1004">
        <v>7</v>
      </c>
      <c r="H1004">
        <v>1508</v>
      </c>
      <c r="I1004">
        <v>10556</v>
      </c>
      <c r="J1004" s="2">
        <v>914.48</v>
      </c>
    </row>
    <row r="1005" spans="1:10" x14ac:dyDescent="0.3">
      <c r="A1005" t="s">
        <v>1013</v>
      </c>
      <c r="B1005" s="1">
        <v>45102</v>
      </c>
      <c r="C1005" t="s">
        <v>1211</v>
      </c>
      <c r="D1005" t="s">
        <v>1214</v>
      </c>
      <c r="E1005" t="s">
        <v>1219</v>
      </c>
      <c r="F1005" t="s">
        <v>1238</v>
      </c>
      <c r="G1005">
        <v>9</v>
      </c>
      <c r="H1005">
        <v>300</v>
      </c>
      <c r="I1005">
        <v>2700</v>
      </c>
      <c r="J1005" s="2">
        <v>300.19</v>
      </c>
    </row>
    <row r="1006" spans="1:10" x14ac:dyDescent="0.3">
      <c r="A1006" t="s">
        <v>1014</v>
      </c>
      <c r="B1006" s="1">
        <v>44928</v>
      </c>
      <c r="C1006" t="s">
        <v>1210</v>
      </c>
      <c r="D1006" t="s">
        <v>1218</v>
      </c>
      <c r="E1006" t="s">
        <v>1222</v>
      </c>
      <c r="F1006" t="s">
        <v>1227</v>
      </c>
      <c r="G1006">
        <v>7</v>
      </c>
      <c r="H1006">
        <v>2742</v>
      </c>
      <c r="I1006">
        <v>19194</v>
      </c>
      <c r="J1006" s="2">
        <v>4429.92</v>
      </c>
    </row>
    <row r="1007" spans="1:10" x14ac:dyDescent="0.3">
      <c r="A1007" t="s">
        <v>1015</v>
      </c>
      <c r="B1007" s="1">
        <v>45066</v>
      </c>
      <c r="C1007" t="s">
        <v>1212</v>
      </c>
      <c r="D1007" t="s">
        <v>1216</v>
      </c>
      <c r="E1007" t="s">
        <v>1219</v>
      </c>
      <c r="F1007" t="s">
        <v>1238</v>
      </c>
      <c r="G1007">
        <v>5</v>
      </c>
      <c r="H1007">
        <v>3865</v>
      </c>
      <c r="I1007">
        <v>19325</v>
      </c>
      <c r="J1007" s="2">
        <v>2803.7</v>
      </c>
    </row>
    <row r="1008" spans="1:10" x14ac:dyDescent="0.3">
      <c r="A1008" t="s">
        <v>1016</v>
      </c>
      <c r="B1008" s="1">
        <v>45000</v>
      </c>
      <c r="C1008" t="s">
        <v>1210</v>
      </c>
      <c r="D1008" t="s">
        <v>1218</v>
      </c>
      <c r="E1008" t="s">
        <v>1219</v>
      </c>
      <c r="F1008" t="s">
        <v>1232</v>
      </c>
      <c r="G1008">
        <v>1</v>
      </c>
      <c r="H1008">
        <v>705</v>
      </c>
      <c r="I1008">
        <v>705</v>
      </c>
      <c r="J1008" s="2">
        <v>168.6</v>
      </c>
    </row>
    <row r="1009" spans="1:10" x14ac:dyDescent="0.3">
      <c r="A1009" t="s">
        <v>1017</v>
      </c>
      <c r="B1009" s="1">
        <v>45026</v>
      </c>
      <c r="C1009" t="s">
        <v>1211</v>
      </c>
      <c r="D1009" t="s">
        <v>1218</v>
      </c>
      <c r="E1009" t="s">
        <v>1222</v>
      </c>
      <c r="F1009" t="s">
        <v>1234</v>
      </c>
      <c r="G1009">
        <v>9</v>
      </c>
      <c r="H1009">
        <v>1656</v>
      </c>
      <c r="I1009">
        <v>14904</v>
      </c>
      <c r="J1009" s="2">
        <v>1832.93</v>
      </c>
    </row>
    <row r="1010" spans="1:10" x14ac:dyDescent="0.3">
      <c r="A1010" t="s">
        <v>1018</v>
      </c>
      <c r="B1010" s="1">
        <v>45046</v>
      </c>
      <c r="C1010" t="s">
        <v>1211</v>
      </c>
      <c r="D1010" t="s">
        <v>1215</v>
      </c>
      <c r="E1010" t="s">
        <v>1220</v>
      </c>
      <c r="G1010">
        <v>2</v>
      </c>
      <c r="H1010">
        <v>2709</v>
      </c>
      <c r="I1010">
        <v>5418</v>
      </c>
      <c r="J1010" s="2">
        <v>755.37</v>
      </c>
    </row>
    <row r="1011" spans="1:10" x14ac:dyDescent="0.3">
      <c r="A1011" t="s">
        <v>1019</v>
      </c>
      <c r="B1011" s="1">
        <v>45098</v>
      </c>
      <c r="C1011" t="s">
        <v>1210</v>
      </c>
      <c r="D1011" t="s">
        <v>1214</v>
      </c>
      <c r="E1011" t="s">
        <v>1219</v>
      </c>
      <c r="F1011" t="s">
        <v>1232</v>
      </c>
      <c r="G1011">
        <v>4</v>
      </c>
      <c r="H1011">
        <v>2329</v>
      </c>
      <c r="I1011">
        <v>9316</v>
      </c>
      <c r="J1011" s="2">
        <v>1470.22</v>
      </c>
    </row>
    <row r="1012" spans="1:10" x14ac:dyDescent="0.3">
      <c r="A1012" t="s">
        <v>1020</v>
      </c>
      <c r="B1012" s="1">
        <v>45028</v>
      </c>
      <c r="C1012" t="s">
        <v>1212</v>
      </c>
      <c r="D1012" t="s">
        <v>1217</v>
      </c>
      <c r="E1012" t="s">
        <v>1220</v>
      </c>
      <c r="F1012" t="s">
        <v>1237</v>
      </c>
      <c r="G1012">
        <v>3</v>
      </c>
      <c r="H1012">
        <v>4357</v>
      </c>
      <c r="I1012">
        <v>13071</v>
      </c>
      <c r="J1012" s="2">
        <v>1432.23</v>
      </c>
    </row>
    <row r="1013" spans="1:10" x14ac:dyDescent="0.3">
      <c r="A1013" t="s">
        <v>1021</v>
      </c>
      <c r="B1013" s="1">
        <v>45122</v>
      </c>
      <c r="C1013" t="s">
        <v>1210</v>
      </c>
      <c r="D1013" t="s">
        <v>1218</v>
      </c>
      <c r="E1013" t="s">
        <v>1220</v>
      </c>
      <c r="F1013" t="s">
        <v>1225</v>
      </c>
      <c r="G1013">
        <v>4</v>
      </c>
      <c r="H1013">
        <v>4407</v>
      </c>
      <c r="I1013">
        <v>17628</v>
      </c>
      <c r="J1013" s="2">
        <v>4405.05</v>
      </c>
    </row>
    <row r="1014" spans="1:10" x14ac:dyDescent="0.3">
      <c r="A1014" t="s">
        <v>1022</v>
      </c>
      <c r="B1014" s="1">
        <v>45162</v>
      </c>
      <c r="C1014" t="s">
        <v>1212</v>
      </c>
      <c r="D1014" t="s">
        <v>1215</v>
      </c>
      <c r="E1014" t="s">
        <v>1221</v>
      </c>
      <c r="F1014" t="s">
        <v>1226</v>
      </c>
      <c r="G1014">
        <v>5</v>
      </c>
      <c r="H1014">
        <v>4815</v>
      </c>
      <c r="I1014">
        <v>24075</v>
      </c>
      <c r="J1014" s="2">
        <v>3984.14</v>
      </c>
    </row>
    <row r="1015" spans="1:10" x14ac:dyDescent="0.3">
      <c r="A1015" t="s">
        <v>1023</v>
      </c>
      <c r="B1015" s="1">
        <v>45052</v>
      </c>
      <c r="C1015" t="s">
        <v>1210</v>
      </c>
      <c r="D1015" t="s">
        <v>1217</v>
      </c>
      <c r="E1015" t="s">
        <v>1219</v>
      </c>
      <c r="F1015" t="s">
        <v>1232</v>
      </c>
      <c r="G1015">
        <v>9</v>
      </c>
      <c r="H1015">
        <v>2481</v>
      </c>
      <c r="I1015">
        <v>22329</v>
      </c>
      <c r="J1015" s="2">
        <v>2407.8200000000002</v>
      </c>
    </row>
    <row r="1016" spans="1:10" x14ac:dyDescent="0.3">
      <c r="A1016" t="s">
        <v>1024</v>
      </c>
      <c r="B1016" s="1">
        <v>45212</v>
      </c>
      <c r="C1016" t="s">
        <v>1212</v>
      </c>
      <c r="D1016" t="s">
        <v>1217</v>
      </c>
      <c r="E1016" t="s">
        <v>1221</v>
      </c>
      <c r="F1016" t="s">
        <v>1231</v>
      </c>
      <c r="G1016">
        <v>3</v>
      </c>
      <c r="H1016">
        <v>4769</v>
      </c>
      <c r="I1016">
        <v>14307</v>
      </c>
      <c r="J1016" s="2">
        <v>2064.6999999999998</v>
      </c>
    </row>
    <row r="1017" spans="1:10" x14ac:dyDescent="0.3">
      <c r="A1017" t="s">
        <v>1025</v>
      </c>
      <c r="B1017" s="1">
        <v>45105</v>
      </c>
      <c r="C1017" t="s">
        <v>1212</v>
      </c>
      <c r="D1017" t="s">
        <v>1216</v>
      </c>
      <c r="E1017" t="s">
        <v>1220</v>
      </c>
      <c r="F1017" t="s">
        <v>1225</v>
      </c>
      <c r="G1017">
        <v>3</v>
      </c>
      <c r="H1017">
        <v>4725</v>
      </c>
      <c r="I1017">
        <v>14175</v>
      </c>
      <c r="J1017" s="2">
        <v>2373.9699999999998</v>
      </c>
    </row>
    <row r="1018" spans="1:10" x14ac:dyDescent="0.3">
      <c r="A1018" t="s">
        <v>1026</v>
      </c>
      <c r="B1018" s="1">
        <v>45172</v>
      </c>
      <c r="C1018" t="s">
        <v>1212</v>
      </c>
      <c r="D1018" t="s">
        <v>1216</v>
      </c>
      <c r="E1018" t="s">
        <v>1219</v>
      </c>
      <c r="F1018" t="s">
        <v>1238</v>
      </c>
      <c r="G1018">
        <v>7</v>
      </c>
      <c r="H1018">
        <v>1616</v>
      </c>
      <c r="I1018">
        <v>11312</v>
      </c>
      <c r="J1018" s="2">
        <v>940.6</v>
      </c>
    </row>
    <row r="1019" spans="1:10" x14ac:dyDescent="0.3">
      <c r="A1019" t="s">
        <v>1027</v>
      </c>
      <c r="B1019" s="1">
        <v>45036</v>
      </c>
      <c r="C1019" t="s">
        <v>1212</v>
      </c>
      <c r="D1019" t="s">
        <v>1217</v>
      </c>
      <c r="E1019" t="s">
        <v>1221</v>
      </c>
      <c r="F1019" t="s">
        <v>1235</v>
      </c>
      <c r="G1019">
        <v>2</v>
      </c>
      <c r="H1019">
        <v>2599</v>
      </c>
      <c r="I1019">
        <v>5198</v>
      </c>
      <c r="J1019" s="2">
        <v>854.79</v>
      </c>
    </row>
    <row r="1020" spans="1:10" x14ac:dyDescent="0.3">
      <c r="A1020" t="s">
        <v>1028</v>
      </c>
      <c r="B1020" s="1">
        <v>45088</v>
      </c>
      <c r="C1020" t="s">
        <v>1212</v>
      </c>
      <c r="D1020" t="s">
        <v>1214</v>
      </c>
      <c r="E1020" t="s">
        <v>1220</v>
      </c>
      <c r="F1020" t="s">
        <v>1224</v>
      </c>
      <c r="G1020">
        <v>8</v>
      </c>
      <c r="H1020">
        <v>882</v>
      </c>
      <c r="I1020">
        <v>7056</v>
      </c>
      <c r="J1020" s="2">
        <v>997.27</v>
      </c>
    </row>
    <row r="1021" spans="1:10" x14ac:dyDescent="0.3">
      <c r="A1021" t="s">
        <v>1029</v>
      </c>
      <c r="B1021" s="1">
        <v>45231</v>
      </c>
      <c r="C1021" t="s">
        <v>1211</v>
      </c>
      <c r="D1021" t="s">
        <v>1216</v>
      </c>
      <c r="E1021" t="s">
        <v>1222</v>
      </c>
      <c r="F1021" t="s">
        <v>1227</v>
      </c>
      <c r="G1021">
        <v>9</v>
      </c>
      <c r="H1021">
        <v>1010</v>
      </c>
      <c r="I1021">
        <v>9090</v>
      </c>
      <c r="J1021" s="2">
        <v>1330.32</v>
      </c>
    </row>
    <row r="1022" spans="1:10" x14ac:dyDescent="0.3">
      <c r="A1022" t="s">
        <v>1030</v>
      </c>
      <c r="B1022" s="1">
        <v>45072</v>
      </c>
      <c r="C1022" t="s">
        <v>1212</v>
      </c>
      <c r="D1022" t="s">
        <v>1216</v>
      </c>
      <c r="E1022" t="s">
        <v>1222</v>
      </c>
      <c r="F1022" t="s">
        <v>1236</v>
      </c>
      <c r="G1022">
        <v>2</v>
      </c>
      <c r="H1022">
        <v>2770</v>
      </c>
      <c r="I1022">
        <v>5540</v>
      </c>
      <c r="J1022" s="2">
        <v>1036.55</v>
      </c>
    </row>
    <row r="1023" spans="1:10" x14ac:dyDescent="0.3">
      <c r="A1023" t="s">
        <v>1031</v>
      </c>
      <c r="B1023" s="1">
        <v>45040</v>
      </c>
      <c r="C1023" t="s">
        <v>1210</v>
      </c>
      <c r="D1023" t="s">
        <v>1215</v>
      </c>
      <c r="E1023" t="s">
        <v>1221</v>
      </c>
      <c r="F1023" t="s">
        <v>1226</v>
      </c>
      <c r="G1023">
        <v>6</v>
      </c>
      <c r="H1023">
        <v>3964</v>
      </c>
      <c r="I1023">
        <v>23784</v>
      </c>
      <c r="J1023" s="2">
        <v>2858.85</v>
      </c>
    </row>
    <row r="1024" spans="1:10" x14ac:dyDescent="0.3">
      <c r="A1024" t="s">
        <v>1032</v>
      </c>
      <c r="B1024" s="1">
        <v>45255</v>
      </c>
      <c r="C1024" t="s">
        <v>1210</v>
      </c>
      <c r="D1024" t="s">
        <v>1216</v>
      </c>
      <c r="E1024" t="s">
        <v>1221</v>
      </c>
      <c r="F1024" t="s">
        <v>1229</v>
      </c>
      <c r="G1024">
        <v>8</v>
      </c>
      <c r="H1024">
        <v>1833</v>
      </c>
      <c r="I1024">
        <v>14664</v>
      </c>
      <c r="J1024" s="2">
        <v>1578.24</v>
      </c>
    </row>
    <row r="1025" spans="1:10" x14ac:dyDescent="0.3">
      <c r="A1025" t="s">
        <v>1033</v>
      </c>
      <c r="B1025" s="1">
        <v>45141</v>
      </c>
      <c r="C1025" t="s">
        <v>1210</v>
      </c>
      <c r="D1025" t="s">
        <v>1217</v>
      </c>
      <c r="E1025" t="s">
        <v>1221</v>
      </c>
      <c r="F1025" t="s">
        <v>1231</v>
      </c>
      <c r="G1025">
        <v>3</v>
      </c>
      <c r="H1025">
        <v>4167</v>
      </c>
      <c r="I1025">
        <v>12501</v>
      </c>
      <c r="J1025" s="2">
        <v>1305.8399999999999</v>
      </c>
    </row>
    <row r="1026" spans="1:10" x14ac:dyDescent="0.3">
      <c r="A1026" t="s">
        <v>1034</v>
      </c>
      <c r="B1026" s="1">
        <v>45093</v>
      </c>
      <c r="C1026" t="s">
        <v>1213</v>
      </c>
      <c r="D1026" t="s">
        <v>1218</v>
      </c>
      <c r="E1026" t="s">
        <v>1219</v>
      </c>
      <c r="F1026" t="s">
        <v>1233</v>
      </c>
      <c r="G1026">
        <v>3</v>
      </c>
      <c r="H1026">
        <v>2119</v>
      </c>
      <c r="I1026">
        <v>6357</v>
      </c>
      <c r="J1026" s="2">
        <v>724.3</v>
      </c>
    </row>
    <row r="1027" spans="1:10" x14ac:dyDescent="0.3">
      <c r="A1027" t="s">
        <v>1035</v>
      </c>
      <c r="B1027" s="1">
        <v>45061</v>
      </c>
      <c r="C1027" t="s">
        <v>1211</v>
      </c>
      <c r="D1027" t="s">
        <v>1216</v>
      </c>
      <c r="E1027" t="s">
        <v>1222</v>
      </c>
      <c r="F1027" t="s">
        <v>1227</v>
      </c>
      <c r="G1027">
        <v>5</v>
      </c>
      <c r="H1027">
        <v>566</v>
      </c>
      <c r="I1027">
        <v>2830</v>
      </c>
      <c r="J1027" s="2">
        <v>698.96</v>
      </c>
    </row>
    <row r="1028" spans="1:10" x14ac:dyDescent="0.3">
      <c r="A1028" t="s">
        <v>1036</v>
      </c>
      <c r="B1028" s="1">
        <v>45059</v>
      </c>
      <c r="C1028" t="s">
        <v>1211</v>
      </c>
      <c r="D1028" t="s">
        <v>1215</v>
      </c>
      <c r="E1028" t="s">
        <v>1221</v>
      </c>
      <c r="F1028" t="s">
        <v>1231</v>
      </c>
      <c r="G1028">
        <v>5</v>
      </c>
      <c r="H1028">
        <v>3212</v>
      </c>
      <c r="I1028">
        <v>16060</v>
      </c>
      <c r="J1028" s="2">
        <v>2863.45</v>
      </c>
    </row>
    <row r="1029" spans="1:10" x14ac:dyDescent="0.3">
      <c r="A1029" t="s">
        <v>1037</v>
      </c>
      <c r="B1029" s="1">
        <v>45043</v>
      </c>
      <c r="C1029" t="s">
        <v>1211</v>
      </c>
      <c r="D1029" t="s">
        <v>1217</v>
      </c>
      <c r="E1029" t="s">
        <v>1221</v>
      </c>
      <c r="F1029" t="s">
        <v>1231</v>
      </c>
      <c r="G1029">
        <v>7</v>
      </c>
      <c r="H1029">
        <v>1970</v>
      </c>
      <c r="I1029">
        <v>13790</v>
      </c>
      <c r="J1029" s="2">
        <v>2746.89</v>
      </c>
    </row>
    <row r="1030" spans="1:10" x14ac:dyDescent="0.3">
      <c r="A1030" t="s">
        <v>1038</v>
      </c>
      <c r="B1030" s="1">
        <v>45167</v>
      </c>
      <c r="C1030" t="s">
        <v>1211</v>
      </c>
      <c r="D1030" t="s">
        <v>1217</v>
      </c>
      <c r="E1030" t="s">
        <v>1221</v>
      </c>
      <c r="F1030" t="s">
        <v>1231</v>
      </c>
      <c r="G1030">
        <v>7</v>
      </c>
      <c r="H1030">
        <v>3176</v>
      </c>
      <c r="I1030">
        <v>22232</v>
      </c>
      <c r="J1030" s="2">
        <v>3593.38</v>
      </c>
    </row>
    <row r="1031" spans="1:10" x14ac:dyDescent="0.3">
      <c r="A1031" t="s">
        <v>1039</v>
      </c>
      <c r="B1031" s="1">
        <v>45072</v>
      </c>
      <c r="C1031" t="s">
        <v>1210</v>
      </c>
      <c r="D1031" t="s">
        <v>1218</v>
      </c>
      <c r="E1031" t="s">
        <v>1222</v>
      </c>
      <c r="F1031" t="s">
        <v>1230</v>
      </c>
      <c r="G1031">
        <v>2</v>
      </c>
      <c r="H1031">
        <v>877</v>
      </c>
      <c r="I1031">
        <v>1754</v>
      </c>
      <c r="J1031" s="2">
        <v>140.54</v>
      </c>
    </row>
    <row r="1032" spans="1:10" x14ac:dyDescent="0.3">
      <c r="A1032" t="s">
        <v>1040</v>
      </c>
      <c r="B1032" s="1">
        <v>45112</v>
      </c>
      <c r="C1032" t="s">
        <v>1211</v>
      </c>
      <c r="D1032" t="s">
        <v>1217</v>
      </c>
      <c r="E1032" t="s">
        <v>1221</v>
      </c>
      <c r="G1032">
        <v>1</v>
      </c>
      <c r="H1032">
        <v>1982</v>
      </c>
      <c r="I1032">
        <v>1982</v>
      </c>
      <c r="J1032" s="2">
        <v>231.92</v>
      </c>
    </row>
    <row r="1033" spans="1:10" x14ac:dyDescent="0.3">
      <c r="A1033" t="s">
        <v>1041</v>
      </c>
      <c r="B1033" s="1">
        <v>45077</v>
      </c>
      <c r="C1033" t="s">
        <v>1213</v>
      </c>
      <c r="D1033" t="s">
        <v>1217</v>
      </c>
      <c r="E1033" t="s">
        <v>1219</v>
      </c>
      <c r="F1033" t="s">
        <v>1223</v>
      </c>
      <c r="G1033">
        <v>3</v>
      </c>
      <c r="H1033">
        <v>4181</v>
      </c>
      <c r="I1033">
        <v>12543</v>
      </c>
      <c r="J1033" s="2">
        <v>2161.16</v>
      </c>
    </row>
    <row r="1034" spans="1:10" x14ac:dyDescent="0.3">
      <c r="A1034" t="s">
        <v>1042</v>
      </c>
      <c r="B1034" s="1">
        <v>45177</v>
      </c>
      <c r="C1034" t="s">
        <v>1212</v>
      </c>
      <c r="D1034" t="s">
        <v>1216</v>
      </c>
      <c r="E1034" t="s">
        <v>1222</v>
      </c>
      <c r="F1034" t="s">
        <v>1234</v>
      </c>
      <c r="G1034">
        <v>5</v>
      </c>
      <c r="H1034">
        <v>1617</v>
      </c>
      <c r="I1034">
        <v>8085</v>
      </c>
      <c r="J1034" s="2">
        <v>1716.1</v>
      </c>
    </row>
    <row r="1035" spans="1:10" x14ac:dyDescent="0.3">
      <c r="A1035" t="s">
        <v>1043</v>
      </c>
      <c r="B1035" s="1">
        <v>45156</v>
      </c>
      <c r="C1035" t="s">
        <v>1210</v>
      </c>
      <c r="D1035" t="s">
        <v>1217</v>
      </c>
      <c r="E1035" t="s">
        <v>1220</v>
      </c>
      <c r="F1035" t="s">
        <v>1228</v>
      </c>
      <c r="G1035">
        <v>2</v>
      </c>
      <c r="H1035">
        <v>1409</v>
      </c>
      <c r="I1035">
        <v>2818</v>
      </c>
      <c r="J1035" s="2">
        <v>426.13</v>
      </c>
    </row>
    <row r="1036" spans="1:10" x14ac:dyDescent="0.3">
      <c r="A1036" t="s">
        <v>1044</v>
      </c>
      <c r="B1036" s="1">
        <v>45249</v>
      </c>
      <c r="C1036" t="s">
        <v>1211</v>
      </c>
      <c r="D1036" t="s">
        <v>1218</v>
      </c>
      <c r="E1036" t="s">
        <v>1221</v>
      </c>
      <c r="F1036" t="s">
        <v>1235</v>
      </c>
      <c r="G1036">
        <v>6</v>
      </c>
      <c r="H1036">
        <v>3006</v>
      </c>
      <c r="I1036">
        <v>18036</v>
      </c>
      <c r="J1036" s="2">
        <v>2317.96</v>
      </c>
    </row>
    <row r="1037" spans="1:10" x14ac:dyDescent="0.3">
      <c r="A1037" t="s">
        <v>1045</v>
      </c>
      <c r="B1037" s="1">
        <v>45055</v>
      </c>
      <c r="C1037" t="s">
        <v>1210</v>
      </c>
      <c r="D1037" t="s">
        <v>1216</v>
      </c>
      <c r="E1037" t="s">
        <v>1221</v>
      </c>
      <c r="F1037" t="s">
        <v>1226</v>
      </c>
      <c r="G1037">
        <v>5</v>
      </c>
      <c r="H1037">
        <v>320</v>
      </c>
      <c r="I1037">
        <v>1600</v>
      </c>
      <c r="J1037" s="2">
        <v>323.18</v>
      </c>
    </row>
    <row r="1038" spans="1:10" x14ac:dyDescent="0.3">
      <c r="A1038" t="s">
        <v>1046</v>
      </c>
      <c r="B1038" s="1">
        <v>45219</v>
      </c>
      <c r="C1038" t="s">
        <v>1212</v>
      </c>
      <c r="D1038" t="s">
        <v>1214</v>
      </c>
      <c r="E1038" t="s">
        <v>1219</v>
      </c>
      <c r="F1038" t="s">
        <v>1232</v>
      </c>
      <c r="G1038">
        <v>2</v>
      </c>
      <c r="H1038">
        <v>532</v>
      </c>
      <c r="I1038">
        <v>1064</v>
      </c>
      <c r="J1038" s="2">
        <v>177.22</v>
      </c>
    </row>
    <row r="1039" spans="1:10" x14ac:dyDescent="0.3">
      <c r="A1039" t="s">
        <v>1047</v>
      </c>
      <c r="B1039" s="1">
        <v>45069</v>
      </c>
      <c r="C1039" t="s">
        <v>1213</v>
      </c>
      <c r="D1039" t="s">
        <v>1217</v>
      </c>
      <c r="E1039" t="s">
        <v>1220</v>
      </c>
      <c r="F1039" t="s">
        <v>1224</v>
      </c>
      <c r="G1039">
        <v>7</v>
      </c>
      <c r="H1039">
        <v>4097</v>
      </c>
      <c r="I1039">
        <v>28679</v>
      </c>
      <c r="J1039" s="2">
        <v>3328.31</v>
      </c>
    </row>
    <row r="1040" spans="1:10" x14ac:dyDescent="0.3">
      <c r="A1040" t="s">
        <v>1048</v>
      </c>
      <c r="B1040" s="1">
        <v>45078</v>
      </c>
      <c r="C1040" t="s">
        <v>1210</v>
      </c>
      <c r="D1040" t="s">
        <v>1217</v>
      </c>
      <c r="E1040" t="s">
        <v>1222</v>
      </c>
      <c r="F1040" t="s">
        <v>1227</v>
      </c>
      <c r="G1040">
        <v>1</v>
      </c>
      <c r="H1040">
        <v>2311</v>
      </c>
      <c r="I1040">
        <v>2311</v>
      </c>
      <c r="J1040" s="2">
        <v>302.52999999999997</v>
      </c>
    </row>
    <row r="1041" spans="1:10" x14ac:dyDescent="0.3">
      <c r="A1041" t="s">
        <v>1049</v>
      </c>
      <c r="B1041" s="1">
        <v>45260</v>
      </c>
      <c r="C1041" t="s">
        <v>1213</v>
      </c>
      <c r="D1041" t="s">
        <v>1218</v>
      </c>
      <c r="E1041" t="s">
        <v>1220</v>
      </c>
      <c r="F1041" t="s">
        <v>1237</v>
      </c>
      <c r="G1041">
        <v>3</v>
      </c>
      <c r="H1041">
        <v>1764</v>
      </c>
      <c r="I1041">
        <v>5292</v>
      </c>
      <c r="J1041" s="2">
        <v>567</v>
      </c>
    </row>
    <row r="1042" spans="1:10" x14ac:dyDescent="0.3">
      <c r="A1042" t="s">
        <v>1050</v>
      </c>
      <c r="B1042" s="1">
        <v>45013</v>
      </c>
      <c r="C1042" t="s">
        <v>1212</v>
      </c>
      <c r="D1042" t="s">
        <v>1218</v>
      </c>
      <c r="E1042" t="s">
        <v>1221</v>
      </c>
      <c r="F1042" t="s">
        <v>1231</v>
      </c>
      <c r="G1042">
        <v>5</v>
      </c>
      <c r="H1042">
        <v>4185</v>
      </c>
      <c r="I1042">
        <v>20925</v>
      </c>
      <c r="J1042" s="2">
        <v>2985.65</v>
      </c>
    </row>
    <row r="1043" spans="1:10" x14ac:dyDescent="0.3">
      <c r="A1043" t="s">
        <v>1051</v>
      </c>
      <c r="B1043" s="1">
        <v>45282</v>
      </c>
      <c r="C1043" t="s">
        <v>1213</v>
      </c>
      <c r="D1043" t="s">
        <v>1215</v>
      </c>
      <c r="E1043" t="s">
        <v>1222</v>
      </c>
      <c r="F1043" t="s">
        <v>1234</v>
      </c>
      <c r="G1043">
        <v>6</v>
      </c>
      <c r="H1043">
        <v>3262</v>
      </c>
      <c r="I1043">
        <v>19572</v>
      </c>
      <c r="J1043" s="2">
        <v>4133.84</v>
      </c>
    </row>
    <row r="1044" spans="1:10" x14ac:dyDescent="0.3">
      <c r="A1044" t="s">
        <v>1052</v>
      </c>
      <c r="B1044" s="1">
        <v>45002</v>
      </c>
      <c r="C1044" t="s">
        <v>1210</v>
      </c>
      <c r="D1044" t="s">
        <v>1216</v>
      </c>
      <c r="E1044" t="s">
        <v>1222</v>
      </c>
      <c r="F1044" t="s">
        <v>1227</v>
      </c>
      <c r="G1044">
        <v>8</v>
      </c>
      <c r="H1044">
        <v>2753</v>
      </c>
      <c r="I1044">
        <v>22024</v>
      </c>
      <c r="J1044" s="2">
        <v>5268.23</v>
      </c>
    </row>
    <row r="1045" spans="1:10" x14ac:dyDescent="0.3">
      <c r="A1045" t="s">
        <v>1053</v>
      </c>
      <c r="B1045" s="1">
        <v>45011</v>
      </c>
      <c r="C1045" t="s">
        <v>1210</v>
      </c>
      <c r="D1045" t="s">
        <v>1215</v>
      </c>
      <c r="E1045" t="s">
        <v>1220</v>
      </c>
      <c r="F1045" t="s">
        <v>1224</v>
      </c>
      <c r="G1045">
        <v>6</v>
      </c>
      <c r="H1045">
        <v>2462</v>
      </c>
      <c r="I1045">
        <v>14772</v>
      </c>
      <c r="J1045" s="2">
        <v>3316.65</v>
      </c>
    </row>
    <row r="1046" spans="1:10" x14ac:dyDescent="0.3">
      <c r="A1046" t="s">
        <v>1054</v>
      </c>
      <c r="B1046" s="1">
        <v>45020</v>
      </c>
      <c r="C1046" t="s">
        <v>1211</v>
      </c>
      <c r="D1046" t="s">
        <v>1215</v>
      </c>
      <c r="E1046" t="s">
        <v>1219</v>
      </c>
      <c r="F1046" t="s">
        <v>1238</v>
      </c>
      <c r="G1046">
        <v>1</v>
      </c>
      <c r="H1046">
        <v>2975</v>
      </c>
      <c r="I1046">
        <v>2975</v>
      </c>
      <c r="J1046" s="2">
        <v>726.01</v>
      </c>
    </row>
    <row r="1047" spans="1:10" x14ac:dyDescent="0.3">
      <c r="A1047" t="s">
        <v>1055</v>
      </c>
      <c r="B1047" s="1">
        <v>45031</v>
      </c>
      <c r="C1047" t="s">
        <v>1210</v>
      </c>
      <c r="D1047" t="s">
        <v>1214</v>
      </c>
      <c r="E1047" t="s">
        <v>1219</v>
      </c>
      <c r="F1047" t="s">
        <v>1223</v>
      </c>
      <c r="G1047">
        <v>7</v>
      </c>
      <c r="H1047">
        <v>1600</v>
      </c>
      <c r="I1047">
        <v>11200</v>
      </c>
      <c r="J1047" s="2">
        <v>922.68</v>
      </c>
    </row>
    <row r="1048" spans="1:10" x14ac:dyDescent="0.3">
      <c r="A1048" t="s">
        <v>1056</v>
      </c>
      <c r="B1048" s="1">
        <v>45106</v>
      </c>
      <c r="C1048" t="s">
        <v>1212</v>
      </c>
      <c r="D1048" t="s">
        <v>1215</v>
      </c>
      <c r="E1048" t="s">
        <v>1220</v>
      </c>
      <c r="F1048" t="s">
        <v>1237</v>
      </c>
      <c r="G1048">
        <v>5</v>
      </c>
      <c r="H1048">
        <v>3804</v>
      </c>
      <c r="I1048">
        <v>19020</v>
      </c>
      <c r="J1048" s="2">
        <v>2626.37</v>
      </c>
    </row>
    <row r="1049" spans="1:10" x14ac:dyDescent="0.3">
      <c r="A1049" t="s">
        <v>1057</v>
      </c>
      <c r="B1049" s="1">
        <v>45047</v>
      </c>
      <c r="C1049" t="s">
        <v>1213</v>
      </c>
      <c r="D1049" t="s">
        <v>1217</v>
      </c>
      <c r="E1049" t="s">
        <v>1222</v>
      </c>
      <c r="F1049" t="s">
        <v>1236</v>
      </c>
      <c r="G1049">
        <v>6</v>
      </c>
      <c r="H1049">
        <v>859</v>
      </c>
      <c r="I1049">
        <v>5154</v>
      </c>
      <c r="J1049" s="2">
        <v>1012.01</v>
      </c>
    </row>
    <row r="1050" spans="1:10" x14ac:dyDescent="0.3">
      <c r="A1050" t="s">
        <v>1058</v>
      </c>
      <c r="B1050" s="1">
        <v>45187</v>
      </c>
      <c r="C1050" t="s">
        <v>1212</v>
      </c>
      <c r="D1050" t="s">
        <v>1214</v>
      </c>
      <c r="E1050" t="s">
        <v>1220</v>
      </c>
      <c r="F1050" t="s">
        <v>1228</v>
      </c>
      <c r="G1050">
        <v>9</v>
      </c>
      <c r="H1050">
        <v>2984</v>
      </c>
      <c r="I1050">
        <v>26856</v>
      </c>
      <c r="J1050" s="2">
        <v>4598</v>
      </c>
    </row>
    <row r="1051" spans="1:10" x14ac:dyDescent="0.3">
      <c r="A1051" t="s">
        <v>1059</v>
      </c>
      <c r="B1051" s="1">
        <v>45020</v>
      </c>
      <c r="C1051" t="s">
        <v>1212</v>
      </c>
      <c r="D1051" t="s">
        <v>1217</v>
      </c>
      <c r="E1051" t="s">
        <v>1221</v>
      </c>
      <c r="F1051" t="s">
        <v>1226</v>
      </c>
      <c r="G1051">
        <v>9</v>
      </c>
      <c r="H1051">
        <v>2618</v>
      </c>
      <c r="I1051">
        <v>23562</v>
      </c>
      <c r="J1051" s="2">
        <v>4460.7700000000004</v>
      </c>
    </row>
    <row r="1052" spans="1:10" x14ac:dyDescent="0.3">
      <c r="A1052" t="s">
        <v>1060</v>
      </c>
      <c r="B1052" s="1">
        <v>44995</v>
      </c>
      <c r="C1052" t="s">
        <v>1213</v>
      </c>
      <c r="D1052" t="s">
        <v>1218</v>
      </c>
      <c r="E1052" t="s">
        <v>1220</v>
      </c>
      <c r="F1052" t="s">
        <v>1237</v>
      </c>
      <c r="G1052">
        <v>9</v>
      </c>
      <c r="H1052">
        <v>2634</v>
      </c>
      <c r="I1052">
        <v>23706</v>
      </c>
      <c r="J1052" s="2">
        <v>4404.37</v>
      </c>
    </row>
    <row r="1053" spans="1:10" x14ac:dyDescent="0.3">
      <c r="A1053" t="s">
        <v>1061</v>
      </c>
      <c r="B1053" s="1">
        <v>45258</v>
      </c>
      <c r="C1053" t="s">
        <v>1212</v>
      </c>
      <c r="D1053" t="s">
        <v>1215</v>
      </c>
      <c r="E1053" t="s">
        <v>1221</v>
      </c>
      <c r="F1053" t="s">
        <v>1226</v>
      </c>
      <c r="G1053">
        <v>2</v>
      </c>
      <c r="H1053">
        <v>411</v>
      </c>
      <c r="I1053">
        <v>822</v>
      </c>
      <c r="J1053" s="2">
        <v>142.09</v>
      </c>
    </row>
    <row r="1054" spans="1:10" x14ac:dyDescent="0.3">
      <c r="A1054" t="s">
        <v>1062</v>
      </c>
      <c r="B1054" s="1">
        <v>45180</v>
      </c>
      <c r="C1054" t="s">
        <v>1213</v>
      </c>
      <c r="D1054" t="s">
        <v>1216</v>
      </c>
      <c r="E1054" t="s">
        <v>1220</v>
      </c>
      <c r="F1054" t="s">
        <v>1237</v>
      </c>
      <c r="G1054">
        <v>9</v>
      </c>
      <c r="H1054">
        <v>1141</v>
      </c>
      <c r="I1054">
        <v>10269</v>
      </c>
      <c r="J1054" s="2">
        <v>2423.31</v>
      </c>
    </row>
    <row r="1055" spans="1:10" x14ac:dyDescent="0.3">
      <c r="A1055" t="s">
        <v>1063</v>
      </c>
      <c r="B1055" s="1">
        <v>44941</v>
      </c>
      <c r="C1055" t="s">
        <v>1213</v>
      </c>
      <c r="D1055" t="s">
        <v>1218</v>
      </c>
      <c r="E1055" t="s">
        <v>1222</v>
      </c>
      <c r="F1055" t="s">
        <v>1236</v>
      </c>
      <c r="G1055">
        <v>2</v>
      </c>
      <c r="H1055">
        <v>2937</v>
      </c>
      <c r="I1055">
        <v>5874</v>
      </c>
      <c r="J1055" s="2">
        <v>1092.17</v>
      </c>
    </row>
    <row r="1056" spans="1:10" x14ac:dyDescent="0.3">
      <c r="A1056" t="s">
        <v>1064</v>
      </c>
      <c r="B1056" s="1">
        <v>45231</v>
      </c>
      <c r="C1056" t="s">
        <v>1211</v>
      </c>
      <c r="D1056" t="s">
        <v>1216</v>
      </c>
      <c r="E1056" t="s">
        <v>1219</v>
      </c>
      <c r="F1056" t="s">
        <v>1232</v>
      </c>
      <c r="G1056">
        <v>6</v>
      </c>
      <c r="H1056">
        <v>4464</v>
      </c>
      <c r="I1056">
        <v>26784</v>
      </c>
      <c r="J1056" s="2">
        <v>5617.56</v>
      </c>
    </row>
    <row r="1057" spans="1:10" x14ac:dyDescent="0.3">
      <c r="A1057" t="s">
        <v>1065</v>
      </c>
      <c r="B1057" s="1">
        <v>44955</v>
      </c>
      <c r="C1057" t="s">
        <v>1210</v>
      </c>
      <c r="D1057" t="s">
        <v>1215</v>
      </c>
      <c r="E1057" t="s">
        <v>1220</v>
      </c>
      <c r="F1057" t="s">
        <v>1228</v>
      </c>
      <c r="G1057">
        <v>7</v>
      </c>
      <c r="H1057">
        <v>727</v>
      </c>
      <c r="I1057">
        <v>5089</v>
      </c>
      <c r="J1057" s="2">
        <v>797.54</v>
      </c>
    </row>
    <row r="1058" spans="1:10" x14ac:dyDescent="0.3">
      <c r="A1058" t="s">
        <v>1066</v>
      </c>
      <c r="B1058" s="1">
        <v>45205</v>
      </c>
      <c r="C1058" t="s">
        <v>1212</v>
      </c>
      <c r="D1058" t="s">
        <v>1214</v>
      </c>
      <c r="E1058" t="s">
        <v>1220</v>
      </c>
      <c r="F1058" t="s">
        <v>1237</v>
      </c>
      <c r="G1058">
        <v>1</v>
      </c>
      <c r="H1058">
        <v>1376</v>
      </c>
      <c r="I1058">
        <v>1376</v>
      </c>
      <c r="J1058" s="2">
        <v>154.91999999999999</v>
      </c>
    </row>
    <row r="1059" spans="1:10" x14ac:dyDescent="0.3">
      <c r="A1059" t="s">
        <v>1067</v>
      </c>
      <c r="B1059" s="1">
        <v>45164</v>
      </c>
      <c r="C1059" t="s">
        <v>1212</v>
      </c>
      <c r="D1059" t="s">
        <v>1217</v>
      </c>
      <c r="E1059" t="s">
        <v>1222</v>
      </c>
      <c r="F1059" t="s">
        <v>1230</v>
      </c>
      <c r="G1059">
        <v>4</v>
      </c>
      <c r="H1059">
        <v>2713</v>
      </c>
      <c r="I1059">
        <v>10852</v>
      </c>
      <c r="J1059" s="2">
        <v>1772.71</v>
      </c>
    </row>
    <row r="1060" spans="1:10" x14ac:dyDescent="0.3">
      <c r="A1060" t="s">
        <v>1068</v>
      </c>
      <c r="B1060" s="1">
        <v>45046</v>
      </c>
      <c r="C1060" t="s">
        <v>1212</v>
      </c>
      <c r="D1060" t="s">
        <v>1217</v>
      </c>
      <c r="E1060" t="s">
        <v>1222</v>
      </c>
      <c r="F1060" t="s">
        <v>1234</v>
      </c>
      <c r="G1060">
        <v>6</v>
      </c>
      <c r="H1060">
        <v>1754</v>
      </c>
      <c r="I1060">
        <v>10524</v>
      </c>
      <c r="J1060" s="2">
        <v>1268.32</v>
      </c>
    </row>
    <row r="1061" spans="1:10" x14ac:dyDescent="0.3">
      <c r="A1061" t="s">
        <v>1069</v>
      </c>
      <c r="B1061" s="1">
        <v>45267</v>
      </c>
      <c r="C1061" t="s">
        <v>1210</v>
      </c>
      <c r="D1061" t="s">
        <v>1214</v>
      </c>
      <c r="E1061" t="s">
        <v>1221</v>
      </c>
      <c r="F1061" t="s">
        <v>1231</v>
      </c>
      <c r="G1061">
        <v>4</v>
      </c>
      <c r="H1061">
        <v>1041</v>
      </c>
      <c r="I1061">
        <v>4164</v>
      </c>
      <c r="J1061" s="2">
        <v>502.19</v>
      </c>
    </row>
    <row r="1062" spans="1:10" x14ac:dyDescent="0.3">
      <c r="A1062" t="s">
        <v>1070</v>
      </c>
      <c r="B1062" s="1">
        <v>45153</v>
      </c>
      <c r="C1062" t="s">
        <v>1211</v>
      </c>
      <c r="D1062" t="s">
        <v>1216</v>
      </c>
      <c r="E1062" t="s">
        <v>1221</v>
      </c>
      <c r="F1062" t="s">
        <v>1229</v>
      </c>
      <c r="G1062">
        <v>1</v>
      </c>
      <c r="H1062">
        <v>4887</v>
      </c>
      <c r="I1062">
        <v>4887</v>
      </c>
      <c r="J1062" s="2">
        <v>963.86</v>
      </c>
    </row>
    <row r="1063" spans="1:10" x14ac:dyDescent="0.3">
      <c r="A1063" t="s">
        <v>1071</v>
      </c>
      <c r="B1063" s="1">
        <v>45199</v>
      </c>
      <c r="C1063" t="s">
        <v>1213</v>
      </c>
      <c r="D1063" t="s">
        <v>1218</v>
      </c>
      <c r="E1063" t="s">
        <v>1219</v>
      </c>
      <c r="F1063" t="s">
        <v>1232</v>
      </c>
      <c r="G1063">
        <v>5</v>
      </c>
      <c r="H1063">
        <v>3961</v>
      </c>
      <c r="I1063">
        <v>19805</v>
      </c>
      <c r="J1063" s="2">
        <v>2691.29</v>
      </c>
    </row>
    <row r="1064" spans="1:10" x14ac:dyDescent="0.3">
      <c r="A1064" t="s">
        <v>1072</v>
      </c>
      <c r="B1064" s="1">
        <v>45243</v>
      </c>
      <c r="C1064" t="s">
        <v>1211</v>
      </c>
      <c r="D1064" t="s">
        <v>1214</v>
      </c>
      <c r="E1064" t="s">
        <v>1220</v>
      </c>
      <c r="F1064" t="s">
        <v>1224</v>
      </c>
      <c r="G1064">
        <v>4</v>
      </c>
      <c r="H1064">
        <v>1289</v>
      </c>
      <c r="I1064">
        <v>5156</v>
      </c>
      <c r="J1064" s="2">
        <v>479.64</v>
      </c>
    </row>
    <row r="1065" spans="1:10" x14ac:dyDescent="0.3">
      <c r="A1065" t="s">
        <v>1073</v>
      </c>
      <c r="B1065" s="1">
        <v>45152</v>
      </c>
      <c r="C1065" t="s">
        <v>1210</v>
      </c>
      <c r="D1065" t="s">
        <v>1215</v>
      </c>
      <c r="E1065" t="s">
        <v>1221</v>
      </c>
      <c r="F1065" t="s">
        <v>1229</v>
      </c>
      <c r="G1065">
        <v>7</v>
      </c>
      <c r="H1065">
        <v>1324</v>
      </c>
      <c r="I1065">
        <v>9268</v>
      </c>
      <c r="J1065" s="2">
        <v>1064.4000000000001</v>
      </c>
    </row>
    <row r="1066" spans="1:10" x14ac:dyDescent="0.3">
      <c r="A1066" t="s">
        <v>1074</v>
      </c>
      <c r="B1066" s="1">
        <v>45048</v>
      </c>
      <c r="C1066" t="s">
        <v>1210</v>
      </c>
      <c r="D1066" t="s">
        <v>1214</v>
      </c>
      <c r="E1066" t="s">
        <v>1220</v>
      </c>
      <c r="F1066" t="s">
        <v>1228</v>
      </c>
      <c r="G1066">
        <v>6</v>
      </c>
      <c r="H1066">
        <v>3982</v>
      </c>
      <c r="I1066">
        <v>23892</v>
      </c>
      <c r="J1066" s="2">
        <v>3343.21</v>
      </c>
    </row>
    <row r="1067" spans="1:10" x14ac:dyDescent="0.3">
      <c r="A1067" t="s">
        <v>1075</v>
      </c>
      <c r="B1067" s="1">
        <v>44950</v>
      </c>
      <c r="C1067" t="s">
        <v>1212</v>
      </c>
      <c r="D1067" t="s">
        <v>1214</v>
      </c>
      <c r="E1067" t="s">
        <v>1219</v>
      </c>
      <c r="F1067" t="s">
        <v>1232</v>
      </c>
      <c r="G1067">
        <v>1</v>
      </c>
      <c r="H1067">
        <v>3691</v>
      </c>
      <c r="I1067">
        <v>3691</v>
      </c>
      <c r="J1067" s="2">
        <v>346.69</v>
      </c>
    </row>
    <row r="1068" spans="1:10" x14ac:dyDescent="0.3">
      <c r="A1068" t="s">
        <v>1076</v>
      </c>
      <c r="B1068" s="1">
        <v>44963</v>
      </c>
      <c r="C1068" t="s">
        <v>1211</v>
      </c>
      <c r="D1068" t="s">
        <v>1218</v>
      </c>
      <c r="E1068" t="s">
        <v>1222</v>
      </c>
      <c r="F1068" t="s">
        <v>1227</v>
      </c>
      <c r="G1068">
        <v>4</v>
      </c>
      <c r="H1068">
        <v>537</v>
      </c>
      <c r="I1068">
        <v>2148</v>
      </c>
      <c r="J1068" s="2">
        <v>218.3</v>
      </c>
    </row>
    <row r="1069" spans="1:10" x14ac:dyDescent="0.3">
      <c r="A1069" t="s">
        <v>1077</v>
      </c>
      <c r="B1069" s="1">
        <v>45012</v>
      </c>
      <c r="C1069" t="s">
        <v>1210</v>
      </c>
      <c r="D1069" t="s">
        <v>1215</v>
      </c>
      <c r="E1069" t="s">
        <v>1221</v>
      </c>
      <c r="F1069" t="s">
        <v>1235</v>
      </c>
      <c r="G1069">
        <v>8</v>
      </c>
      <c r="H1069">
        <v>1115</v>
      </c>
      <c r="I1069">
        <v>8920</v>
      </c>
      <c r="J1069" s="2">
        <v>1818.51</v>
      </c>
    </row>
    <row r="1070" spans="1:10" x14ac:dyDescent="0.3">
      <c r="A1070" t="s">
        <v>1078</v>
      </c>
      <c r="B1070" s="1">
        <v>45013</v>
      </c>
      <c r="C1070" t="s">
        <v>1210</v>
      </c>
      <c r="D1070" t="s">
        <v>1216</v>
      </c>
      <c r="E1070" t="s">
        <v>1221</v>
      </c>
      <c r="F1070" t="s">
        <v>1235</v>
      </c>
      <c r="G1070">
        <v>1</v>
      </c>
      <c r="H1070">
        <v>3767</v>
      </c>
      <c r="I1070">
        <v>3767</v>
      </c>
      <c r="J1070" s="2">
        <v>687.42</v>
      </c>
    </row>
    <row r="1071" spans="1:10" x14ac:dyDescent="0.3">
      <c r="A1071" t="s">
        <v>1079</v>
      </c>
      <c r="B1071" s="1">
        <v>45040</v>
      </c>
      <c r="C1071" t="s">
        <v>1210</v>
      </c>
      <c r="D1071" t="s">
        <v>1217</v>
      </c>
      <c r="E1071" t="s">
        <v>1219</v>
      </c>
      <c r="F1071" t="s">
        <v>1238</v>
      </c>
      <c r="G1071">
        <v>5</v>
      </c>
      <c r="H1071">
        <v>2924</v>
      </c>
      <c r="I1071">
        <v>14620</v>
      </c>
      <c r="J1071" s="2">
        <v>3049.33</v>
      </c>
    </row>
    <row r="1072" spans="1:10" x14ac:dyDescent="0.3">
      <c r="A1072" t="s">
        <v>1080</v>
      </c>
      <c r="B1072" s="1">
        <v>45140</v>
      </c>
      <c r="C1072" t="s">
        <v>1211</v>
      </c>
      <c r="D1072" t="s">
        <v>1214</v>
      </c>
      <c r="E1072" t="s">
        <v>1221</v>
      </c>
      <c r="F1072" t="s">
        <v>1229</v>
      </c>
      <c r="G1072">
        <v>4</v>
      </c>
      <c r="H1072">
        <v>4566</v>
      </c>
      <c r="I1072">
        <v>18264</v>
      </c>
      <c r="J1072" s="2">
        <v>3443.12</v>
      </c>
    </row>
    <row r="1073" spans="1:10" x14ac:dyDescent="0.3">
      <c r="A1073" t="s">
        <v>1081</v>
      </c>
      <c r="B1073" s="1">
        <v>45065</v>
      </c>
      <c r="C1073" t="s">
        <v>1212</v>
      </c>
      <c r="D1073" t="s">
        <v>1217</v>
      </c>
      <c r="E1073" t="s">
        <v>1220</v>
      </c>
      <c r="F1073" t="s">
        <v>1237</v>
      </c>
      <c r="G1073">
        <v>8</v>
      </c>
      <c r="H1073">
        <v>322</v>
      </c>
      <c r="I1073">
        <v>2576</v>
      </c>
      <c r="J1073" s="2">
        <v>530.30999999999995</v>
      </c>
    </row>
    <row r="1074" spans="1:10" x14ac:dyDescent="0.3">
      <c r="A1074" t="s">
        <v>1082</v>
      </c>
      <c r="B1074" s="1">
        <v>45117</v>
      </c>
      <c r="C1074" t="s">
        <v>1213</v>
      </c>
      <c r="E1074" t="s">
        <v>1219</v>
      </c>
      <c r="F1074" t="s">
        <v>1233</v>
      </c>
      <c r="G1074">
        <v>2</v>
      </c>
      <c r="H1074">
        <v>4181</v>
      </c>
      <c r="I1074">
        <v>8362</v>
      </c>
      <c r="J1074" s="2">
        <v>1361.78</v>
      </c>
    </row>
    <row r="1075" spans="1:10" x14ac:dyDescent="0.3">
      <c r="A1075" t="s">
        <v>1083</v>
      </c>
      <c r="B1075" s="1">
        <v>44947</v>
      </c>
      <c r="C1075" t="s">
        <v>1211</v>
      </c>
      <c r="D1075" t="s">
        <v>1214</v>
      </c>
      <c r="E1075" t="s">
        <v>1219</v>
      </c>
      <c r="F1075" t="s">
        <v>1232</v>
      </c>
      <c r="G1075">
        <v>7</v>
      </c>
      <c r="H1075">
        <v>274</v>
      </c>
      <c r="I1075">
        <v>1918</v>
      </c>
      <c r="J1075" s="2">
        <v>164.03</v>
      </c>
    </row>
    <row r="1076" spans="1:10" x14ac:dyDescent="0.3">
      <c r="A1076" t="s">
        <v>1084</v>
      </c>
      <c r="B1076" s="1">
        <v>45232</v>
      </c>
      <c r="C1076" t="s">
        <v>1210</v>
      </c>
      <c r="D1076" t="s">
        <v>1215</v>
      </c>
      <c r="E1076" t="s">
        <v>1219</v>
      </c>
      <c r="F1076" t="s">
        <v>1238</v>
      </c>
      <c r="G1076">
        <v>6</v>
      </c>
      <c r="H1076">
        <v>3971</v>
      </c>
      <c r="I1076">
        <v>23826</v>
      </c>
      <c r="J1076" s="2">
        <v>5645.32</v>
      </c>
    </row>
    <row r="1077" spans="1:10" x14ac:dyDescent="0.3">
      <c r="A1077" t="s">
        <v>1085</v>
      </c>
      <c r="B1077" s="1">
        <v>45027</v>
      </c>
      <c r="C1077" t="s">
        <v>1212</v>
      </c>
      <c r="D1077" t="s">
        <v>1217</v>
      </c>
      <c r="E1077" t="s">
        <v>1222</v>
      </c>
      <c r="F1077" t="s">
        <v>1236</v>
      </c>
      <c r="G1077">
        <v>8</v>
      </c>
      <c r="H1077">
        <v>720</v>
      </c>
      <c r="I1077">
        <v>5760</v>
      </c>
      <c r="J1077" s="2">
        <v>661.26</v>
      </c>
    </row>
    <row r="1078" spans="1:10" x14ac:dyDescent="0.3">
      <c r="A1078" t="s">
        <v>1086</v>
      </c>
      <c r="B1078" s="1">
        <v>45263</v>
      </c>
      <c r="C1078" t="s">
        <v>1210</v>
      </c>
      <c r="D1078" t="s">
        <v>1217</v>
      </c>
      <c r="E1078" t="s">
        <v>1220</v>
      </c>
      <c r="F1078" t="s">
        <v>1228</v>
      </c>
      <c r="G1078">
        <v>8</v>
      </c>
      <c r="H1078">
        <v>442</v>
      </c>
      <c r="I1078">
        <v>3536</v>
      </c>
      <c r="J1078" s="2">
        <v>450.8</v>
      </c>
    </row>
    <row r="1079" spans="1:10" x14ac:dyDescent="0.3">
      <c r="A1079" t="s">
        <v>1087</v>
      </c>
      <c r="B1079" s="1">
        <v>45163</v>
      </c>
      <c r="C1079" t="s">
        <v>1211</v>
      </c>
      <c r="D1079" t="s">
        <v>1217</v>
      </c>
      <c r="E1079" t="s">
        <v>1220</v>
      </c>
      <c r="F1079" t="s">
        <v>1225</v>
      </c>
      <c r="G1079">
        <v>3</v>
      </c>
      <c r="H1079">
        <v>4691</v>
      </c>
      <c r="I1079">
        <v>14073</v>
      </c>
      <c r="J1079" s="2">
        <v>1534.5</v>
      </c>
    </row>
    <row r="1080" spans="1:10" x14ac:dyDescent="0.3">
      <c r="A1080" t="s">
        <v>1088</v>
      </c>
      <c r="B1080" s="1">
        <v>45068</v>
      </c>
      <c r="C1080" t="s">
        <v>1213</v>
      </c>
      <c r="D1080" t="s">
        <v>1218</v>
      </c>
      <c r="E1080" t="s">
        <v>1219</v>
      </c>
      <c r="F1080" t="s">
        <v>1238</v>
      </c>
      <c r="G1080">
        <v>1</v>
      </c>
      <c r="H1080">
        <v>2894</v>
      </c>
      <c r="I1080">
        <v>2894</v>
      </c>
      <c r="J1080" s="2">
        <v>285.70999999999998</v>
      </c>
    </row>
    <row r="1081" spans="1:10" x14ac:dyDescent="0.3">
      <c r="A1081" t="s">
        <v>1089</v>
      </c>
      <c r="B1081" s="1">
        <v>45270</v>
      </c>
      <c r="C1081" t="s">
        <v>1212</v>
      </c>
      <c r="D1081" t="s">
        <v>1217</v>
      </c>
      <c r="E1081" t="s">
        <v>1221</v>
      </c>
      <c r="F1081" t="s">
        <v>1229</v>
      </c>
      <c r="G1081">
        <v>6</v>
      </c>
      <c r="H1081">
        <v>3533</v>
      </c>
      <c r="I1081">
        <v>21198</v>
      </c>
      <c r="J1081" s="2">
        <v>2621.37</v>
      </c>
    </row>
    <row r="1082" spans="1:10" x14ac:dyDescent="0.3">
      <c r="A1082" t="s">
        <v>1090</v>
      </c>
      <c r="B1082" s="1">
        <v>45200</v>
      </c>
      <c r="C1082" t="s">
        <v>1213</v>
      </c>
      <c r="D1082" t="s">
        <v>1216</v>
      </c>
      <c r="E1082" t="s">
        <v>1221</v>
      </c>
      <c r="F1082" t="s">
        <v>1235</v>
      </c>
      <c r="G1082">
        <v>6</v>
      </c>
      <c r="H1082">
        <v>957</v>
      </c>
      <c r="I1082">
        <v>5742</v>
      </c>
      <c r="J1082" s="2">
        <v>597.23</v>
      </c>
    </row>
    <row r="1083" spans="1:10" x14ac:dyDescent="0.3">
      <c r="A1083" t="s">
        <v>1091</v>
      </c>
      <c r="B1083" s="1">
        <v>45088</v>
      </c>
      <c r="C1083" t="s">
        <v>1210</v>
      </c>
      <c r="D1083" t="s">
        <v>1217</v>
      </c>
      <c r="E1083" t="s">
        <v>1222</v>
      </c>
      <c r="F1083" t="s">
        <v>1227</v>
      </c>
      <c r="G1083">
        <v>8</v>
      </c>
      <c r="H1083">
        <v>2627</v>
      </c>
      <c r="I1083">
        <v>21016</v>
      </c>
      <c r="J1083" s="2">
        <v>1685.81</v>
      </c>
    </row>
    <row r="1084" spans="1:10" x14ac:dyDescent="0.3">
      <c r="A1084" t="s">
        <v>1092</v>
      </c>
      <c r="B1084" s="1">
        <v>45062</v>
      </c>
      <c r="C1084" t="s">
        <v>1211</v>
      </c>
      <c r="D1084" t="s">
        <v>1215</v>
      </c>
      <c r="E1084" t="s">
        <v>1219</v>
      </c>
      <c r="F1084" t="s">
        <v>1223</v>
      </c>
      <c r="G1084">
        <v>2</v>
      </c>
      <c r="H1084">
        <v>2713</v>
      </c>
      <c r="I1084">
        <v>5426</v>
      </c>
      <c r="J1084" s="2">
        <v>1161.82</v>
      </c>
    </row>
    <row r="1085" spans="1:10" x14ac:dyDescent="0.3">
      <c r="A1085" t="s">
        <v>1093</v>
      </c>
      <c r="B1085" s="1">
        <v>45212</v>
      </c>
      <c r="C1085" t="s">
        <v>1213</v>
      </c>
      <c r="D1085" t="s">
        <v>1217</v>
      </c>
      <c r="E1085" t="s">
        <v>1222</v>
      </c>
      <c r="F1085" t="s">
        <v>1236</v>
      </c>
      <c r="G1085">
        <v>4</v>
      </c>
      <c r="H1085">
        <v>1192</v>
      </c>
      <c r="I1085">
        <v>4768</v>
      </c>
      <c r="J1085" s="2">
        <v>1032.46</v>
      </c>
    </row>
    <row r="1086" spans="1:10" x14ac:dyDescent="0.3">
      <c r="A1086" t="s">
        <v>1094</v>
      </c>
      <c r="B1086" s="1">
        <v>45018</v>
      </c>
      <c r="C1086" t="s">
        <v>1210</v>
      </c>
      <c r="D1086" t="s">
        <v>1216</v>
      </c>
      <c r="E1086" t="s">
        <v>1222</v>
      </c>
      <c r="F1086" t="s">
        <v>1234</v>
      </c>
      <c r="G1086">
        <v>2</v>
      </c>
      <c r="H1086">
        <v>3278</v>
      </c>
      <c r="I1086">
        <v>6556</v>
      </c>
      <c r="J1086" s="2">
        <v>1312.7</v>
      </c>
    </row>
    <row r="1087" spans="1:10" x14ac:dyDescent="0.3">
      <c r="A1087" t="s">
        <v>1095</v>
      </c>
      <c r="B1087" s="1">
        <v>45290</v>
      </c>
      <c r="C1087" t="s">
        <v>1213</v>
      </c>
      <c r="D1087" t="s">
        <v>1218</v>
      </c>
      <c r="E1087" t="s">
        <v>1219</v>
      </c>
      <c r="F1087" t="s">
        <v>1233</v>
      </c>
      <c r="G1087">
        <v>5</v>
      </c>
      <c r="H1087">
        <v>4781</v>
      </c>
      <c r="I1087">
        <v>23905</v>
      </c>
      <c r="J1087" s="2">
        <v>5919.09</v>
      </c>
    </row>
    <row r="1088" spans="1:10" x14ac:dyDescent="0.3">
      <c r="A1088" t="s">
        <v>1096</v>
      </c>
      <c r="B1088" s="1">
        <v>45176</v>
      </c>
      <c r="C1088" t="s">
        <v>1213</v>
      </c>
      <c r="D1088" t="s">
        <v>1214</v>
      </c>
      <c r="E1088" t="s">
        <v>1219</v>
      </c>
      <c r="F1088" t="s">
        <v>1233</v>
      </c>
      <c r="G1088">
        <v>5</v>
      </c>
      <c r="H1088">
        <v>4006</v>
      </c>
      <c r="I1088">
        <v>20030</v>
      </c>
      <c r="J1088" s="2">
        <v>2909.18</v>
      </c>
    </row>
    <row r="1089" spans="1:10" x14ac:dyDescent="0.3">
      <c r="A1089" t="s">
        <v>1097</v>
      </c>
      <c r="B1089" s="1">
        <v>45115</v>
      </c>
      <c r="C1089" t="s">
        <v>1210</v>
      </c>
      <c r="D1089" t="s">
        <v>1217</v>
      </c>
      <c r="E1089" t="s">
        <v>1221</v>
      </c>
      <c r="F1089" t="s">
        <v>1226</v>
      </c>
      <c r="G1089">
        <v>8</v>
      </c>
      <c r="H1089">
        <v>1034</v>
      </c>
      <c r="I1089">
        <v>8272</v>
      </c>
      <c r="J1089" s="2">
        <v>1211.17</v>
      </c>
    </row>
    <row r="1090" spans="1:10" x14ac:dyDescent="0.3">
      <c r="A1090" t="s">
        <v>1098</v>
      </c>
      <c r="B1090" s="1">
        <v>45230</v>
      </c>
      <c r="C1090" t="s">
        <v>1212</v>
      </c>
      <c r="D1090" t="s">
        <v>1217</v>
      </c>
      <c r="E1090" t="s">
        <v>1220</v>
      </c>
      <c r="F1090" t="s">
        <v>1237</v>
      </c>
      <c r="G1090">
        <v>9</v>
      </c>
      <c r="H1090">
        <v>1338</v>
      </c>
      <c r="I1090">
        <v>12042</v>
      </c>
      <c r="J1090" s="2">
        <v>2205.39</v>
      </c>
    </row>
    <row r="1091" spans="1:10" x14ac:dyDescent="0.3">
      <c r="A1091" t="s">
        <v>1099</v>
      </c>
      <c r="B1091" s="1">
        <v>45262</v>
      </c>
      <c r="C1091" t="s">
        <v>1210</v>
      </c>
      <c r="E1091" t="s">
        <v>1222</v>
      </c>
      <c r="F1091" t="s">
        <v>1236</v>
      </c>
      <c r="G1091">
        <v>9</v>
      </c>
      <c r="H1091">
        <v>3310</v>
      </c>
      <c r="I1091">
        <v>29790</v>
      </c>
      <c r="J1091" s="2">
        <v>3264.27</v>
      </c>
    </row>
    <row r="1092" spans="1:10" x14ac:dyDescent="0.3">
      <c r="A1092" t="s">
        <v>1100</v>
      </c>
      <c r="B1092" s="1">
        <v>45132</v>
      </c>
      <c r="C1092" t="s">
        <v>1212</v>
      </c>
      <c r="D1092" t="s">
        <v>1217</v>
      </c>
      <c r="E1092" t="s">
        <v>1219</v>
      </c>
      <c r="F1092" t="s">
        <v>1223</v>
      </c>
      <c r="G1092">
        <v>3</v>
      </c>
      <c r="H1092">
        <v>483</v>
      </c>
      <c r="I1092">
        <v>1449</v>
      </c>
      <c r="J1092" s="2">
        <v>279.36</v>
      </c>
    </row>
    <row r="1093" spans="1:10" x14ac:dyDescent="0.3">
      <c r="A1093" t="s">
        <v>1101</v>
      </c>
      <c r="B1093" s="1">
        <v>45184</v>
      </c>
      <c r="C1093" t="s">
        <v>1213</v>
      </c>
      <c r="D1093" t="s">
        <v>1214</v>
      </c>
      <c r="E1093" t="s">
        <v>1219</v>
      </c>
      <c r="F1093" t="s">
        <v>1233</v>
      </c>
      <c r="G1093">
        <v>6</v>
      </c>
      <c r="H1093">
        <v>1994</v>
      </c>
      <c r="I1093">
        <v>11964</v>
      </c>
      <c r="J1093" s="2">
        <v>1344.73</v>
      </c>
    </row>
    <row r="1094" spans="1:10" x14ac:dyDescent="0.3">
      <c r="A1094" t="s">
        <v>1102</v>
      </c>
      <c r="B1094" s="1">
        <v>45151</v>
      </c>
      <c r="C1094" t="s">
        <v>1211</v>
      </c>
      <c r="D1094" t="s">
        <v>1217</v>
      </c>
      <c r="E1094" t="s">
        <v>1219</v>
      </c>
      <c r="F1094" t="s">
        <v>1223</v>
      </c>
      <c r="G1094">
        <v>2</v>
      </c>
      <c r="H1094">
        <v>3638</v>
      </c>
      <c r="I1094">
        <v>7276</v>
      </c>
      <c r="J1094" s="2">
        <v>663.25</v>
      </c>
    </row>
    <row r="1095" spans="1:10" x14ac:dyDescent="0.3">
      <c r="A1095" t="s">
        <v>1103</v>
      </c>
      <c r="B1095" s="1">
        <v>45162</v>
      </c>
      <c r="C1095" t="s">
        <v>1210</v>
      </c>
      <c r="D1095" t="s">
        <v>1215</v>
      </c>
      <c r="E1095" t="s">
        <v>1221</v>
      </c>
      <c r="F1095" t="s">
        <v>1235</v>
      </c>
      <c r="G1095">
        <v>8</v>
      </c>
      <c r="H1095">
        <v>2088</v>
      </c>
      <c r="I1095">
        <v>16704</v>
      </c>
      <c r="J1095" s="2">
        <v>3732.1</v>
      </c>
    </row>
    <row r="1096" spans="1:10" x14ac:dyDescent="0.3">
      <c r="A1096" t="s">
        <v>1104</v>
      </c>
      <c r="B1096" s="1">
        <v>45123</v>
      </c>
      <c r="C1096" t="s">
        <v>1212</v>
      </c>
      <c r="D1096" t="s">
        <v>1218</v>
      </c>
      <c r="E1096" t="s">
        <v>1219</v>
      </c>
      <c r="F1096" t="s">
        <v>1223</v>
      </c>
      <c r="G1096">
        <v>1</v>
      </c>
      <c r="H1096">
        <v>709</v>
      </c>
      <c r="I1096">
        <v>709</v>
      </c>
      <c r="J1096" s="2">
        <v>125.28</v>
      </c>
    </row>
    <row r="1097" spans="1:10" x14ac:dyDescent="0.3">
      <c r="A1097" t="s">
        <v>1105</v>
      </c>
      <c r="B1097" s="1">
        <v>45125</v>
      </c>
      <c r="C1097" t="s">
        <v>1210</v>
      </c>
      <c r="D1097" t="s">
        <v>1215</v>
      </c>
      <c r="E1097" t="s">
        <v>1220</v>
      </c>
      <c r="F1097" t="s">
        <v>1225</v>
      </c>
      <c r="G1097">
        <v>9</v>
      </c>
      <c r="H1097">
        <v>2334</v>
      </c>
      <c r="I1097">
        <v>21006</v>
      </c>
      <c r="J1097" s="2">
        <v>3071.16</v>
      </c>
    </row>
    <row r="1098" spans="1:10" x14ac:dyDescent="0.3">
      <c r="A1098" t="s">
        <v>1106</v>
      </c>
      <c r="B1098" s="1">
        <v>45116</v>
      </c>
      <c r="C1098" t="s">
        <v>1210</v>
      </c>
      <c r="D1098" t="s">
        <v>1217</v>
      </c>
      <c r="E1098" t="s">
        <v>1220</v>
      </c>
      <c r="F1098" t="s">
        <v>1224</v>
      </c>
      <c r="G1098">
        <v>2</v>
      </c>
      <c r="H1098">
        <v>1504</v>
      </c>
      <c r="I1098">
        <v>3008</v>
      </c>
      <c r="J1098" s="2">
        <v>390.87</v>
      </c>
    </row>
    <row r="1099" spans="1:10" x14ac:dyDescent="0.3">
      <c r="A1099" t="s">
        <v>1107</v>
      </c>
      <c r="B1099" s="1">
        <v>44975</v>
      </c>
      <c r="C1099" t="s">
        <v>1211</v>
      </c>
      <c r="D1099" t="s">
        <v>1215</v>
      </c>
      <c r="E1099" t="s">
        <v>1220</v>
      </c>
      <c r="F1099" t="s">
        <v>1225</v>
      </c>
      <c r="G1099">
        <v>8</v>
      </c>
      <c r="H1099">
        <v>1006</v>
      </c>
      <c r="I1099">
        <v>8048</v>
      </c>
      <c r="J1099" s="2">
        <v>1307.76</v>
      </c>
    </row>
    <row r="1100" spans="1:10" x14ac:dyDescent="0.3">
      <c r="A1100" t="s">
        <v>1108</v>
      </c>
      <c r="B1100" s="1">
        <v>45162</v>
      </c>
      <c r="C1100" t="s">
        <v>1210</v>
      </c>
      <c r="D1100" t="s">
        <v>1218</v>
      </c>
      <c r="E1100" t="s">
        <v>1219</v>
      </c>
      <c r="F1100" t="s">
        <v>1223</v>
      </c>
      <c r="G1100">
        <v>8</v>
      </c>
      <c r="H1100">
        <v>1769</v>
      </c>
      <c r="I1100">
        <v>14152</v>
      </c>
      <c r="J1100" s="2">
        <v>2397.5</v>
      </c>
    </row>
    <row r="1101" spans="1:10" x14ac:dyDescent="0.3">
      <c r="A1101" t="s">
        <v>1109</v>
      </c>
      <c r="B1101" s="1">
        <v>44935</v>
      </c>
      <c r="C1101" t="s">
        <v>1212</v>
      </c>
      <c r="D1101" t="s">
        <v>1216</v>
      </c>
      <c r="E1101" t="s">
        <v>1222</v>
      </c>
      <c r="F1101" t="s">
        <v>1227</v>
      </c>
      <c r="G1101">
        <v>4</v>
      </c>
      <c r="H1101">
        <v>1597</v>
      </c>
      <c r="I1101">
        <v>6388</v>
      </c>
      <c r="J1101" s="2">
        <v>803.64</v>
      </c>
    </row>
    <row r="1102" spans="1:10" x14ac:dyDescent="0.3">
      <c r="A1102" t="s">
        <v>1110</v>
      </c>
      <c r="B1102" s="1">
        <v>45192</v>
      </c>
      <c r="C1102" t="s">
        <v>1211</v>
      </c>
      <c r="D1102" t="s">
        <v>1214</v>
      </c>
      <c r="E1102" t="s">
        <v>1222</v>
      </c>
      <c r="F1102" t="s">
        <v>1234</v>
      </c>
      <c r="G1102">
        <v>5</v>
      </c>
      <c r="H1102">
        <v>1921</v>
      </c>
      <c r="I1102">
        <v>9605</v>
      </c>
      <c r="J1102" s="2">
        <v>1826.03</v>
      </c>
    </row>
    <row r="1103" spans="1:10" x14ac:dyDescent="0.3">
      <c r="A1103" t="s">
        <v>1111</v>
      </c>
      <c r="B1103" s="1">
        <v>45228</v>
      </c>
      <c r="C1103" t="s">
        <v>1213</v>
      </c>
      <c r="D1103" t="s">
        <v>1217</v>
      </c>
      <c r="E1103" t="s">
        <v>1222</v>
      </c>
      <c r="F1103" t="s">
        <v>1234</v>
      </c>
      <c r="G1103">
        <v>1</v>
      </c>
      <c r="H1103">
        <v>1499</v>
      </c>
      <c r="I1103">
        <v>1499</v>
      </c>
      <c r="J1103" s="2">
        <v>211.51</v>
      </c>
    </row>
    <row r="1104" spans="1:10" x14ac:dyDescent="0.3">
      <c r="A1104" t="s">
        <v>1112</v>
      </c>
      <c r="B1104" s="1">
        <v>45103</v>
      </c>
      <c r="C1104" t="s">
        <v>1212</v>
      </c>
      <c r="D1104" t="s">
        <v>1218</v>
      </c>
      <c r="E1104" t="s">
        <v>1222</v>
      </c>
      <c r="F1104" t="s">
        <v>1234</v>
      </c>
      <c r="G1104">
        <v>9</v>
      </c>
      <c r="H1104">
        <v>2442</v>
      </c>
      <c r="I1104">
        <v>21978</v>
      </c>
      <c r="J1104" s="2">
        <v>4308.6099999999997</v>
      </c>
    </row>
    <row r="1105" spans="1:10" x14ac:dyDescent="0.3">
      <c r="A1105" t="s">
        <v>1113</v>
      </c>
      <c r="B1105" s="1">
        <v>45144</v>
      </c>
      <c r="C1105" t="s">
        <v>1211</v>
      </c>
      <c r="D1105" t="s">
        <v>1218</v>
      </c>
      <c r="E1105" t="s">
        <v>1219</v>
      </c>
      <c r="F1105" t="s">
        <v>1233</v>
      </c>
      <c r="G1105">
        <v>6</v>
      </c>
      <c r="H1105">
        <v>4459</v>
      </c>
      <c r="I1105">
        <v>26754</v>
      </c>
      <c r="J1105" s="2">
        <v>4454.01</v>
      </c>
    </row>
    <row r="1106" spans="1:10" x14ac:dyDescent="0.3">
      <c r="A1106" t="s">
        <v>1114</v>
      </c>
      <c r="B1106" s="1">
        <v>45217</v>
      </c>
      <c r="C1106" t="s">
        <v>1212</v>
      </c>
      <c r="D1106" t="s">
        <v>1216</v>
      </c>
      <c r="E1106" t="s">
        <v>1221</v>
      </c>
      <c r="F1106" t="s">
        <v>1229</v>
      </c>
      <c r="G1106">
        <v>4</v>
      </c>
      <c r="H1106">
        <v>997</v>
      </c>
      <c r="I1106">
        <v>3988</v>
      </c>
      <c r="J1106" s="2">
        <v>769.76</v>
      </c>
    </row>
    <row r="1107" spans="1:10" x14ac:dyDescent="0.3">
      <c r="A1107" t="s">
        <v>1115</v>
      </c>
      <c r="B1107" s="1">
        <v>45257</v>
      </c>
      <c r="C1107" t="s">
        <v>1213</v>
      </c>
      <c r="D1107" t="s">
        <v>1218</v>
      </c>
      <c r="E1107" t="s">
        <v>1219</v>
      </c>
      <c r="F1107" t="s">
        <v>1233</v>
      </c>
      <c r="G1107">
        <v>7</v>
      </c>
      <c r="H1107">
        <v>3918</v>
      </c>
      <c r="I1107">
        <v>27426</v>
      </c>
      <c r="J1107" s="2">
        <v>3470.03</v>
      </c>
    </row>
    <row r="1108" spans="1:10" x14ac:dyDescent="0.3">
      <c r="A1108" t="s">
        <v>1116</v>
      </c>
      <c r="B1108" s="1">
        <v>44981</v>
      </c>
      <c r="C1108" t="s">
        <v>1210</v>
      </c>
      <c r="D1108" t="s">
        <v>1217</v>
      </c>
      <c r="E1108" t="s">
        <v>1220</v>
      </c>
      <c r="F1108" t="s">
        <v>1228</v>
      </c>
      <c r="G1108">
        <v>7</v>
      </c>
      <c r="H1108">
        <v>595</v>
      </c>
      <c r="I1108">
        <v>4165</v>
      </c>
      <c r="J1108" s="2">
        <v>340.36</v>
      </c>
    </row>
    <row r="1109" spans="1:10" x14ac:dyDescent="0.3">
      <c r="A1109" t="s">
        <v>1117</v>
      </c>
      <c r="B1109" s="1">
        <v>45259</v>
      </c>
      <c r="C1109" t="s">
        <v>1210</v>
      </c>
      <c r="D1109" t="s">
        <v>1216</v>
      </c>
      <c r="E1109" t="s">
        <v>1220</v>
      </c>
      <c r="F1109" t="s">
        <v>1224</v>
      </c>
      <c r="G1109">
        <v>8</v>
      </c>
      <c r="H1109">
        <v>656</v>
      </c>
      <c r="I1109">
        <v>5248</v>
      </c>
      <c r="J1109" s="2">
        <v>828.63</v>
      </c>
    </row>
    <row r="1110" spans="1:10" x14ac:dyDescent="0.3">
      <c r="A1110" t="s">
        <v>1118</v>
      </c>
      <c r="B1110" s="1">
        <v>45210</v>
      </c>
      <c r="C1110" t="s">
        <v>1213</v>
      </c>
      <c r="D1110" t="s">
        <v>1214</v>
      </c>
      <c r="E1110" t="s">
        <v>1222</v>
      </c>
      <c r="F1110" t="s">
        <v>1236</v>
      </c>
      <c r="G1110">
        <v>1</v>
      </c>
      <c r="H1110">
        <v>2662</v>
      </c>
      <c r="I1110">
        <v>2662</v>
      </c>
      <c r="J1110" s="2">
        <v>419.08</v>
      </c>
    </row>
    <row r="1111" spans="1:10" x14ac:dyDescent="0.3">
      <c r="A1111" t="s">
        <v>1119</v>
      </c>
      <c r="B1111" s="1">
        <v>45096</v>
      </c>
      <c r="C1111" t="s">
        <v>1213</v>
      </c>
      <c r="D1111" t="s">
        <v>1215</v>
      </c>
      <c r="E1111" t="s">
        <v>1219</v>
      </c>
      <c r="F1111" t="s">
        <v>1238</v>
      </c>
      <c r="G1111">
        <v>8</v>
      </c>
      <c r="H1111">
        <v>662</v>
      </c>
      <c r="I1111">
        <v>5296</v>
      </c>
      <c r="J1111" s="2">
        <v>477.8</v>
      </c>
    </row>
    <row r="1112" spans="1:10" x14ac:dyDescent="0.3">
      <c r="A1112" t="s">
        <v>1120</v>
      </c>
      <c r="B1112" s="1">
        <v>45079</v>
      </c>
      <c r="C1112" t="s">
        <v>1212</v>
      </c>
      <c r="D1112" t="s">
        <v>1215</v>
      </c>
      <c r="E1112" t="s">
        <v>1222</v>
      </c>
      <c r="F1112" t="s">
        <v>1227</v>
      </c>
      <c r="G1112">
        <v>8</v>
      </c>
      <c r="H1112">
        <v>4151</v>
      </c>
      <c r="I1112">
        <v>33208</v>
      </c>
      <c r="J1112" s="2">
        <v>6481.16</v>
      </c>
    </row>
    <row r="1113" spans="1:10" x14ac:dyDescent="0.3">
      <c r="A1113" t="s">
        <v>1121</v>
      </c>
      <c r="B1113" s="1">
        <v>45067</v>
      </c>
      <c r="C1113" t="s">
        <v>1213</v>
      </c>
      <c r="E1113" t="s">
        <v>1222</v>
      </c>
      <c r="F1113" t="s">
        <v>1227</v>
      </c>
      <c r="G1113">
        <v>5</v>
      </c>
      <c r="H1113">
        <v>4658</v>
      </c>
      <c r="I1113">
        <v>23290</v>
      </c>
      <c r="J1113" s="2">
        <v>2283.86</v>
      </c>
    </row>
    <row r="1114" spans="1:10" x14ac:dyDescent="0.3">
      <c r="A1114" t="s">
        <v>1122</v>
      </c>
      <c r="B1114" s="1">
        <v>44993</v>
      </c>
      <c r="C1114" t="s">
        <v>1211</v>
      </c>
      <c r="D1114" t="s">
        <v>1215</v>
      </c>
      <c r="E1114" t="s">
        <v>1222</v>
      </c>
      <c r="F1114" t="s">
        <v>1227</v>
      </c>
      <c r="G1114">
        <v>3</v>
      </c>
      <c r="H1114">
        <v>4270</v>
      </c>
      <c r="I1114">
        <v>12810</v>
      </c>
      <c r="J1114" s="2">
        <v>2620.79</v>
      </c>
    </row>
    <row r="1115" spans="1:10" x14ac:dyDescent="0.3">
      <c r="A1115" t="s">
        <v>1123</v>
      </c>
      <c r="B1115" s="1">
        <v>44978</v>
      </c>
      <c r="C1115" t="s">
        <v>1210</v>
      </c>
      <c r="D1115" t="s">
        <v>1218</v>
      </c>
      <c r="E1115" t="s">
        <v>1219</v>
      </c>
      <c r="F1115" t="s">
        <v>1232</v>
      </c>
      <c r="G1115">
        <v>7</v>
      </c>
      <c r="H1115">
        <v>797</v>
      </c>
      <c r="I1115">
        <v>5579</v>
      </c>
      <c r="J1115" s="2">
        <v>529.91999999999996</v>
      </c>
    </row>
    <row r="1116" spans="1:10" x14ac:dyDescent="0.3">
      <c r="A1116" t="s">
        <v>1124</v>
      </c>
      <c r="B1116" s="1">
        <v>44990</v>
      </c>
      <c r="C1116" t="s">
        <v>1210</v>
      </c>
      <c r="D1116" t="s">
        <v>1215</v>
      </c>
      <c r="E1116" t="s">
        <v>1220</v>
      </c>
      <c r="F1116" t="s">
        <v>1228</v>
      </c>
      <c r="G1116">
        <v>8</v>
      </c>
      <c r="H1116">
        <v>1731</v>
      </c>
      <c r="I1116">
        <v>13848</v>
      </c>
      <c r="J1116" s="2">
        <v>3125.24</v>
      </c>
    </row>
    <row r="1117" spans="1:10" x14ac:dyDescent="0.3">
      <c r="A1117" t="s">
        <v>1125</v>
      </c>
      <c r="B1117" s="1">
        <v>45092</v>
      </c>
      <c r="C1117" t="s">
        <v>1211</v>
      </c>
      <c r="D1117" t="s">
        <v>1215</v>
      </c>
      <c r="E1117" t="s">
        <v>1220</v>
      </c>
      <c r="F1117" t="s">
        <v>1224</v>
      </c>
      <c r="G1117">
        <v>1</v>
      </c>
      <c r="H1117">
        <v>1431</v>
      </c>
      <c r="I1117">
        <v>1431</v>
      </c>
      <c r="J1117" s="2">
        <v>330.65</v>
      </c>
    </row>
    <row r="1118" spans="1:10" x14ac:dyDescent="0.3">
      <c r="A1118" t="s">
        <v>1126</v>
      </c>
      <c r="B1118" s="1">
        <v>45258</v>
      </c>
      <c r="C1118" t="s">
        <v>1210</v>
      </c>
      <c r="D1118" t="s">
        <v>1218</v>
      </c>
      <c r="E1118" t="s">
        <v>1222</v>
      </c>
      <c r="F1118" t="s">
        <v>1234</v>
      </c>
      <c r="G1118">
        <v>4</v>
      </c>
      <c r="H1118">
        <v>1825</v>
      </c>
      <c r="I1118">
        <v>7300</v>
      </c>
      <c r="J1118" s="2">
        <v>842.47</v>
      </c>
    </row>
    <row r="1119" spans="1:10" x14ac:dyDescent="0.3">
      <c r="A1119" t="s">
        <v>1127</v>
      </c>
      <c r="B1119" s="1">
        <v>45022</v>
      </c>
      <c r="C1119" t="s">
        <v>1212</v>
      </c>
      <c r="D1119" t="s">
        <v>1217</v>
      </c>
      <c r="E1119" t="s">
        <v>1219</v>
      </c>
      <c r="F1119" t="s">
        <v>1232</v>
      </c>
      <c r="G1119">
        <v>7</v>
      </c>
      <c r="H1119">
        <v>4209</v>
      </c>
      <c r="I1119">
        <v>29463</v>
      </c>
      <c r="J1119" s="2">
        <v>6794.37</v>
      </c>
    </row>
    <row r="1120" spans="1:10" x14ac:dyDescent="0.3">
      <c r="A1120" t="s">
        <v>1128</v>
      </c>
      <c r="B1120" s="1">
        <v>45089</v>
      </c>
      <c r="C1120" t="s">
        <v>1211</v>
      </c>
      <c r="D1120" t="s">
        <v>1218</v>
      </c>
      <c r="E1120" t="s">
        <v>1219</v>
      </c>
      <c r="F1120" t="s">
        <v>1223</v>
      </c>
      <c r="G1120">
        <v>6</v>
      </c>
      <c r="H1120">
        <v>435</v>
      </c>
      <c r="I1120">
        <v>2610</v>
      </c>
      <c r="J1120" s="2">
        <v>415.24</v>
      </c>
    </row>
    <row r="1121" spans="1:10" x14ac:dyDescent="0.3">
      <c r="A1121" t="s">
        <v>1129</v>
      </c>
      <c r="B1121" s="1">
        <v>45022</v>
      </c>
      <c r="C1121" t="s">
        <v>1211</v>
      </c>
      <c r="D1121" t="s">
        <v>1217</v>
      </c>
      <c r="E1121" t="s">
        <v>1220</v>
      </c>
      <c r="F1121" t="s">
        <v>1228</v>
      </c>
      <c r="G1121">
        <v>2</v>
      </c>
      <c r="H1121">
        <v>3927</v>
      </c>
      <c r="I1121">
        <v>7854</v>
      </c>
      <c r="J1121" s="2">
        <v>1652.2</v>
      </c>
    </row>
    <row r="1122" spans="1:10" x14ac:dyDescent="0.3">
      <c r="A1122" t="s">
        <v>1130</v>
      </c>
      <c r="B1122" s="1">
        <v>44996</v>
      </c>
      <c r="C1122" t="s">
        <v>1210</v>
      </c>
      <c r="D1122" t="s">
        <v>1216</v>
      </c>
      <c r="E1122" t="s">
        <v>1221</v>
      </c>
      <c r="F1122" t="s">
        <v>1229</v>
      </c>
      <c r="G1122">
        <v>8</v>
      </c>
      <c r="H1122">
        <v>1043</v>
      </c>
      <c r="I1122">
        <v>8344</v>
      </c>
      <c r="J1122" s="2">
        <v>774.66</v>
      </c>
    </row>
    <row r="1123" spans="1:10" x14ac:dyDescent="0.3">
      <c r="A1123" t="s">
        <v>1131</v>
      </c>
      <c r="B1123" s="1">
        <v>44972</v>
      </c>
      <c r="C1123" t="s">
        <v>1211</v>
      </c>
      <c r="D1123" t="s">
        <v>1214</v>
      </c>
      <c r="E1123" t="s">
        <v>1222</v>
      </c>
      <c r="F1123" t="s">
        <v>1227</v>
      </c>
      <c r="G1123">
        <v>9</v>
      </c>
      <c r="H1123">
        <v>3585</v>
      </c>
      <c r="I1123">
        <v>32265</v>
      </c>
      <c r="J1123" s="2">
        <v>3273.07</v>
      </c>
    </row>
    <row r="1124" spans="1:10" x14ac:dyDescent="0.3">
      <c r="A1124" t="s">
        <v>1132</v>
      </c>
      <c r="B1124" s="1">
        <v>45257</v>
      </c>
      <c r="C1124" t="s">
        <v>1211</v>
      </c>
      <c r="D1124" t="s">
        <v>1218</v>
      </c>
      <c r="E1124" t="s">
        <v>1221</v>
      </c>
      <c r="F1124" t="s">
        <v>1235</v>
      </c>
      <c r="G1124">
        <v>7</v>
      </c>
      <c r="H1124">
        <v>1516</v>
      </c>
      <c r="I1124">
        <v>10612</v>
      </c>
      <c r="J1124" s="2">
        <v>1821.69</v>
      </c>
    </row>
    <row r="1125" spans="1:10" x14ac:dyDescent="0.3">
      <c r="A1125" t="s">
        <v>1133</v>
      </c>
      <c r="B1125" s="1">
        <v>45039</v>
      </c>
      <c r="C1125" t="s">
        <v>1211</v>
      </c>
      <c r="D1125" t="s">
        <v>1218</v>
      </c>
      <c r="E1125" t="s">
        <v>1219</v>
      </c>
      <c r="F1125" t="s">
        <v>1238</v>
      </c>
      <c r="G1125">
        <v>6</v>
      </c>
      <c r="H1125">
        <v>2163</v>
      </c>
      <c r="I1125">
        <v>12978</v>
      </c>
      <c r="J1125" s="2">
        <v>2893.92</v>
      </c>
    </row>
    <row r="1126" spans="1:10" x14ac:dyDescent="0.3">
      <c r="A1126" t="s">
        <v>1134</v>
      </c>
      <c r="B1126" s="1">
        <v>45054</v>
      </c>
      <c r="C1126" t="s">
        <v>1213</v>
      </c>
      <c r="D1126" t="s">
        <v>1218</v>
      </c>
      <c r="E1126" t="s">
        <v>1222</v>
      </c>
      <c r="F1126" t="s">
        <v>1227</v>
      </c>
      <c r="G1126">
        <v>6</v>
      </c>
      <c r="H1126">
        <v>1641</v>
      </c>
      <c r="I1126">
        <v>9846</v>
      </c>
      <c r="J1126" s="2">
        <v>2431.1999999999998</v>
      </c>
    </row>
    <row r="1127" spans="1:10" x14ac:dyDescent="0.3">
      <c r="A1127" t="s">
        <v>1135</v>
      </c>
      <c r="B1127" s="1">
        <v>45034</v>
      </c>
      <c r="C1127" t="s">
        <v>1210</v>
      </c>
      <c r="E1127" t="s">
        <v>1219</v>
      </c>
      <c r="F1127" t="s">
        <v>1233</v>
      </c>
      <c r="G1127">
        <v>3</v>
      </c>
      <c r="H1127">
        <v>4807</v>
      </c>
      <c r="I1127">
        <v>14421</v>
      </c>
      <c r="J1127" s="2">
        <v>1289.4000000000001</v>
      </c>
    </row>
    <row r="1128" spans="1:10" x14ac:dyDescent="0.3">
      <c r="A1128" t="s">
        <v>1136</v>
      </c>
      <c r="B1128" s="1">
        <v>45193</v>
      </c>
      <c r="C1128" t="s">
        <v>1211</v>
      </c>
      <c r="D1128" t="s">
        <v>1214</v>
      </c>
      <c r="E1128" t="s">
        <v>1220</v>
      </c>
      <c r="F1128" t="s">
        <v>1237</v>
      </c>
      <c r="G1128">
        <v>1</v>
      </c>
      <c r="H1128">
        <v>1926</v>
      </c>
      <c r="I1128">
        <v>1926</v>
      </c>
      <c r="J1128" s="2">
        <v>369.51</v>
      </c>
    </row>
    <row r="1129" spans="1:10" x14ac:dyDescent="0.3">
      <c r="A1129" t="s">
        <v>1137</v>
      </c>
      <c r="B1129" s="1">
        <v>45286</v>
      </c>
      <c r="C1129" t="s">
        <v>1211</v>
      </c>
      <c r="D1129" t="s">
        <v>1216</v>
      </c>
      <c r="E1129" t="s">
        <v>1222</v>
      </c>
      <c r="F1129" t="s">
        <v>1230</v>
      </c>
      <c r="G1129">
        <v>2</v>
      </c>
      <c r="H1129">
        <v>556</v>
      </c>
      <c r="I1129">
        <v>1112</v>
      </c>
      <c r="J1129" s="2">
        <v>206.54</v>
      </c>
    </row>
    <row r="1130" spans="1:10" x14ac:dyDescent="0.3">
      <c r="A1130" t="s">
        <v>1138</v>
      </c>
      <c r="B1130" s="1">
        <v>45246</v>
      </c>
      <c r="C1130" t="s">
        <v>1210</v>
      </c>
      <c r="D1130" t="s">
        <v>1217</v>
      </c>
      <c r="E1130" t="s">
        <v>1222</v>
      </c>
      <c r="F1130" t="s">
        <v>1236</v>
      </c>
      <c r="G1130">
        <v>3</v>
      </c>
      <c r="H1130">
        <v>4618</v>
      </c>
      <c r="I1130">
        <v>13854</v>
      </c>
      <c r="J1130" s="2">
        <v>2244.6799999999998</v>
      </c>
    </row>
    <row r="1131" spans="1:10" x14ac:dyDescent="0.3">
      <c r="A1131" t="s">
        <v>1139</v>
      </c>
      <c r="B1131" s="1">
        <v>45163</v>
      </c>
      <c r="C1131" t="s">
        <v>1211</v>
      </c>
      <c r="D1131" t="s">
        <v>1218</v>
      </c>
      <c r="E1131" t="s">
        <v>1221</v>
      </c>
      <c r="F1131" t="s">
        <v>1226</v>
      </c>
      <c r="G1131">
        <v>7</v>
      </c>
      <c r="H1131">
        <v>1735</v>
      </c>
      <c r="I1131">
        <v>12145</v>
      </c>
      <c r="J1131" s="2">
        <v>2447.1999999999998</v>
      </c>
    </row>
    <row r="1132" spans="1:10" x14ac:dyDescent="0.3">
      <c r="A1132" t="s">
        <v>1140</v>
      </c>
      <c r="B1132" s="1">
        <v>45237</v>
      </c>
      <c r="C1132" t="s">
        <v>1212</v>
      </c>
      <c r="D1132" t="s">
        <v>1217</v>
      </c>
      <c r="E1132" t="s">
        <v>1222</v>
      </c>
      <c r="F1132" t="s">
        <v>1236</v>
      </c>
      <c r="G1132">
        <v>5</v>
      </c>
      <c r="H1132">
        <v>492</v>
      </c>
      <c r="I1132">
        <v>2460</v>
      </c>
      <c r="J1132" s="2">
        <v>569.54999999999995</v>
      </c>
    </row>
    <row r="1133" spans="1:10" x14ac:dyDescent="0.3">
      <c r="A1133" t="s">
        <v>1141</v>
      </c>
      <c r="B1133" s="1">
        <v>45206</v>
      </c>
      <c r="C1133" t="s">
        <v>1210</v>
      </c>
      <c r="D1133" t="s">
        <v>1218</v>
      </c>
      <c r="E1133" t="s">
        <v>1222</v>
      </c>
      <c r="F1133" t="s">
        <v>1234</v>
      </c>
      <c r="G1133">
        <v>7</v>
      </c>
      <c r="H1133">
        <v>2472</v>
      </c>
      <c r="I1133">
        <v>17304</v>
      </c>
      <c r="J1133" s="2">
        <v>4277.13</v>
      </c>
    </row>
    <row r="1134" spans="1:10" x14ac:dyDescent="0.3">
      <c r="A1134" t="s">
        <v>1142</v>
      </c>
      <c r="B1134" s="1">
        <v>45067</v>
      </c>
      <c r="C1134" t="s">
        <v>1210</v>
      </c>
      <c r="D1134" t="s">
        <v>1214</v>
      </c>
      <c r="E1134" t="s">
        <v>1221</v>
      </c>
      <c r="F1134" t="s">
        <v>1235</v>
      </c>
      <c r="G1134">
        <v>4</v>
      </c>
      <c r="H1134">
        <v>1963</v>
      </c>
      <c r="I1134">
        <v>7852</v>
      </c>
      <c r="J1134" s="2">
        <v>1375.16</v>
      </c>
    </row>
    <row r="1135" spans="1:10" x14ac:dyDescent="0.3">
      <c r="A1135" t="s">
        <v>1143</v>
      </c>
      <c r="B1135" s="1">
        <v>45216</v>
      </c>
      <c r="C1135" t="s">
        <v>1210</v>
      </c>
      <c r="D1135" t="s">
        <v>1214</v>
      </c>
      <c r="E1135" t="s">
        <v>1220</v>
      </c>
      <c r="F1135" t="s">
        <v>1228</v>
      </c>
      <c r="G1135">
        <v>7</v>
      </c>
      <c r="H1135">
        <v>4639</v>
      </c>
      <c r="I1135">
        <v>32473</v>
      </c>
      <c r="J1135" s="2">
        <v>6919.49</v>
      </c>
    </row>
    <row r="1136" spans="1:10" x14ac:dyDescent="0.3">
      <c r="A1136" t="s">
        <v>1144</v>
      </c>
      <c r="B1136" s="1">
        <v>45001</v>
      </c>
      <c r="C1136" t="s">
        <v>1211</v>
      </c>
      <c r="D1136" t="s">
        <v>1216</v>
      </c>
      <c r="E1136" t="s">
        <v>1219</v>
      </c>
      <c r="F1136" t="s">
        <v>1232</v>
      </c>
      <c r="G1136">
        <v>2</v>
      </c>
      <c r="H1136">
        <v>1582</v>
      </c>
      <c r="I1136">
        <v>3164</v>
      </c>
      <c r="J1136" s="2">
        <v>780.65</v>
      </c>
    </row>
    <row r="1137" spans="1:10" x14ac:dyDescent="0.3">
      <c r="A1137" t="s">
        <v>1145</v>
      </c>
      <c r="B1137" s="1">
        <v>45003</v>
      </c>
      <c r="C1137" t="s">
        <v>1212</v>
      </c>
      <c r="D1137" t="s">
        <v>1218</v>
      </c>
      <c r="E1137" t="s">
        <v>1219</v>
      </c>
      <c r="F1137" t="s">
        <v>1232</v>
      </c>
      <c r="G1137">
        <v>2</v>
      </c>
      <c r="H1137">
        <v>1220</v>
      </c>
      <c r="I1137">
        <v>2440</v>
      </c>
      <c r="J1137" s="2">
        <v>272.73</v>
      </c>
    </row>
    <row r="1138" spans="1:10" x14ac:dyDescent="0.3">
      <c r="A1138" t="s">
        <v>1146</v>
      </c>
      <c r="B1138" s="1">
        <v>45155</v>
      </c>
      <c r="C1138" t="s">
        <v>1211</v>
      </c>
      <c r="D1138" t="s">
        <v>1218</v>
      </c>
      <c r="E1138" t="s">
        <v>1222</v>
      </c>
      <c r="F1138" t="s">
        <v>1236</v>
      </c>
      <c r="G1138">
        <v>3</v>
      </c>
      <c r="H1138">
        <v>3885</v>
      </c>
      <c r="I1138">
        <v>11655</v>
      </c>
      <c r="J1138" s="2">
        <v>1644.63</v>
      </c>
    </row>
    <row r="1139" spans="1:10" x14ac:dyDescent="0.3">
      <c r="A1139" t="s">
        <v>1147</v>
      </c>
      <c r="B1139" s="1">
        <v>44997</v>
      </c>
      <c r="C1139" t="s">
        <v>1212</v>
      </c>
      <c r="D1139" t="s">
        <v>1214</v>
      </c>
      <c r="E1139" t="s">
        <v>1220</v>
      </c>
      <c r="F1139" t="s">
        <v>1237</v>
      </c>
      <c r="G1139">
        <v>8</v>
      </c>
      <c r="H1139">
        <v>4237</v>
      </c>
      <c r="I1139">
        <v>33896</v>
      </c>
      <c r="J1139" s="2">
        <v>2764.11</v>
      </c>
    </row>
    <row r="1140" spans="1:10" x14ac:dyDescent="0.3">
      <c r="A1140" t="s">
        <v>1148</v>
      </c>
      <c r="B1140" s="1">
        <v>45112</v>
      </c>
      <c r="C1140" t="s">
        <v>1211</v>
      </c>
      <c r="D1140" t="s">
        <v>1218</v>
      </c>
      <c r="E1140" t="s">
        <v>1220</v>
      </c>
      <c r="F1140" t="s">
        <v>1237</v>
      </c>
      <c r="G1140">
        <v>7</v>
      </c>
      <c r="H1140">
        <v>3977</v>
      </c>
      <c r="I1140">
        <v>27839</v>
      </c>
      <c r="J1140" s="2">
        <v>5099.7</v>
      </c>
    </row>
    <row r="1141" spans="1:10" x14ac:dyDescent="0.3">
      <c r="A1141" t="s">
        <v>1149</v>
      </c>
      <c r="B1141" s="1">
        <v>45041</v>
      </c>
      <c r="C1141" t="s">
        <v>1211</v>
      </c>
      <c r="D1141" t="s">
        <v>1217</v>
      </c>
      <c r="E1141" t="s">
        <v>1222</v>
      </c>
      <c r="G1141">
        <v>7</v>
      </c>
      <c r="H1141">
        <v>4008</v>
      </c>
      <c r="I1141">
        <v>28056</v>
      </c>
      <c r="J1141" s="2">
        <v>4911.29</v>
      </c>
    </row>
    <row r="1142" spans="1:10" x14ac:dyDescent="0.3">
      <c r="A1142" t="s">
        <v>1150</v>
      </c>
      <c r="B1142" s="1">
        <v>44978</v>
      </c>
      <c r="C1142" t="s">
        <v>1210</v>
      </c>
      <c r="D1142" t="s">
        <v>1217</v>
      </c>
      <c r="E1142" t="s">
        <v>1220</v>
      </c>
      <c r="F1142" t="s">
        <v>1224</v>
      </c>
      <c r="G1142">
        <v>1</v>
      </c>
      <c r="H1142">
        <v>3116</v>
      </c>
      <c r="I1142">
        <v>3116</v>
      </c>
      <c r="J1142" s="2">
        <v>559.51</v>
      </c>
    </row>
    <row r="1143" spans="1:10" x14ac:dyDescent="0.3">
      <c r="A1143" t="s">
        <v>1151</v>
      </c>
      <c r="B1143" s="1">
        <v>45235</v>
      </c>
      <c r="C1143" t="s">
        <v>1212</v>
      </c>
      <c r="D1143" t="s">
        <v>1215</v>
      </c>
      <c r="E1143" t="s">
        <v>1222</v>
      </c>
      <c r="F1143" t="s">
        <v>1230</v>
      </c>
      <c r="G1143">
        <v>1</v>
      </c>
      <c r="H1143">
        <v>4149</v>
      </c>
      <c r="I1143">
        <v>4149</v>
      </c>
      <c r="J1143" s="2">
        <v>864.4</v>
      </c>
    </row>
    <row r="1144" spans="1:10" x14ac:dyDescent="0.3">
      <c r="A1144" t="s">
        <v>1152</v>
      </c>
      <c r="B1144" s="1">
        <v>45090</v>
      </c>
      <c r="C1144" t="s">
        <v>1211</v>
      </c>
      <c r="D1144" t="s">
        <v>1216</v>
      </c>
      <c r="E1144" t="s">
        <v>1222</v>
      </c>
      <c r="F1144" t="s">
        <v>1230</v>
      </c>
      <c r="G1144">
        <v>7</v>
      </c>
      <c r="H1144">
        <v>2077</v>
      </c>
      <c r="I1144">
        <v>14539</v>
      </c>
      <c r="J1144" s="2">
        <v>1545.83</v>
      </c>
    </row>
    <row r="1145" spans="1:10" x14ac:dyDescent="0.3">
      <c r="A1145" t="s">
        <v>1153</v>
      </c>
      <c r="B1145" s="1">
        <v>45093</v>
      </c>
      <c r="C1145" t="s">
        <v>1213</v>
      </c>
      <c r="D1145" t="s">
        <v>1218</v>
      </c>
      <c r="E1145" t="s">
        <v>1222</v>
      </c>
      <c r="F1145" t="s">
        <v>1234</v>
      </c>
      <c r="G1145">
        <v>6</v>
      </c>
      <c r="H1145">
        <v>4286</v>
      </c>
      <c r="I1145">
        <v>25716</v>
      </c>
      <c r="J1145" s="2">
        <v>3894.49</v>
      </c>
    </row>
    <row r="1146" spans="1:10" x14ac:dyDescent="0.3">
      <c r="A1146" t="s">
        <v>1154</v>
      </c>
      <c r="B1146" s="1">
        <v>45164</v>
      </c>
      <c r="C1146" t="s">
        <v>1213</v>
      </c>
      <c r="D1146" t="s">
        <v>1216</v>
      </c>
      <c r="E1146" t="s">
        <v>1220</v>
      </c>
      <c r="F1146" t="s">
        <v>1224</v>
      </c>
      <c r="G1146">
        <v>4</v>
      </c>
      <c r="H1146">
        <v>348</v>
      </c>
      <c r="I1146">
        <v>1392</v>
      </c>
      <c r="J1146" s="2">
        <v>342.03</v>
      </c>
    </row>
    <row r="1147" spans="1:10" x14ac:dyDescent="0.3">
      <c r="A1147" t="s">
        <v>1155</v>
      </c>
      <c r="B1147" s="1">
        <v>44992</v>
      </c>
      <c r="C1147" t="s">
        <v>1210</v>
      </c>
      <c r="D1147" t="s">
        <v>1216</v>
      </c>
      <c r="E1147" t="s">
        <v>1222</v>
      </c>
      <c r="F1147" t="s">
        <v>1236</v>
      </c>
      <c r="G1147">
        <v>8</v>
      </c>
      <c r="H1147">
        <v>3744</v>
      </c>
      <c r="I1147">
        <v>29952</v>
      </c>
      <c r="J1147" s="2">
        <v>5767.53</v>
      </c>
    </row>
    <row r="1148" spans="1:10" x14ac:dyDescent="0.3">
      <c r="A1148" t="s">
        <v>1156</v>
      </c>
      <c r="B1148" s="1">
        <v>45067</v>
      </c>
      <c r="C1148" t="s">
        <v>1212</v>
      </c>
      <c r="D1148" t="s">
        <v>1215</v>
      </c>
      <c r="E1148" t="s">
        <v>1220</v>
      </c>
      <c r="F1148" t="s">
        <v>1225</v>
      </c>
      <c r="G1148">
        <v>6</v>
      </c>
      <c r="H1148">
        <v>2805</v>
      </c>
      <c r="I1148">
        <v>16830</v>
      </c>
      <c r="J1148" s="2">
        <v>2318.29</v>
      </c>
    </row>
    <row r="1149" spans="1:10" x14ac:dyDescent="0.3">
      <c r="A1149" t="s">
        <v>1157</v>
      </c>
      <c r="B1149" s="1">
        <v>45249</v>
      </c>
      <c r="C1149" t="s">
        <v>1210</v>
      </c>
      <c r="D1149" t="s">
        <v>1214</v>
      </c>
      <c r="E1149" t="s">
        <v>1220</v>
      </c>
      <c r="F1149" t="s">
        <v>1228</v>
      </c>
      <c r="G1149">
        <v>9</v>
      </c>
      <c r="H1149">
        <v>1607</v>
      </c>
      <c r="I1149">
        <v>14463</v>
      </c>
      <c r="J1149" s="2">
        <v>1592.76</v>
      </c>
    </row>
    <row r="1150" spans="1:10" x14ac:dyDescent="0.3">
      <c r="A1150" t="s">
        <v>1158</v>
      </c>
      <c r="B1150" s="1">
        <v>45082</v>
      </c>
      <c r="C1150" t="s">
        <v>1213</v>
      </c>
      <c r="D1150" t="s">
        <v>1215</v>
      </c>
      <c r="E1150" t="s">
        <v>1219</v>
      </c>
      <c r="F1150" t="s">
        <v>1232</v>
      </c>
      <c r="G1150">
        <v>3</v>
      </c>
      <c r="H1150">
        <v>4998</v>
      </c>
      <c r="I1150">
        <v>14994</v>
      </c>
      <c r="J1150" s="2">
        <v>1499.03</v>
      </c>
    </row>
    <row r="1151" spans="1:10" x14ac:dyDescent="0.3">
      <c r="A1151" t="s">
        <v>1159</v>
      </c>
      <c r="B1151" s="1">
        <v>45269</v>
      </c>
      <c r="C1151" t="s">
        <v>1213</v>
      </c>
      <c r="D1151" t="s">
        <v>1214</v>
      </c>
      <c r="E1151" t="s">
        <v>1219</v>
      </c>
      <c r="F1151" t="s">
        <v>1232</v>
      </c>
      <c r="G1151">
        <v>8</v>
      </c>
      <c r="H1151">
        <v>2424</v>
      </c>
      <c r="I1151">
        <v>19392</v>
      </c>
      <c r="J1151" s="2">
        <v>3366.79</v>
      </c>
    </row>
    <row r="1152" spans="1:10" x14ac:dyDescent="0.3">
      <c r="A1152" t="s">
        <v>1160</v>
      </c>
      <c r="B1152" s="1">
        <v>45282</v>
      </c>
      <c r="C1152" t="s">
        <v>1213</v>
      </c>
      <c r="D1152" t="s">
        <v>1216</v>
      </c>
      <c r="E1152" t="s">
        <v>1222</v>
      </c>
      <c r="F1152" t="s">
        <v>1234</v>
      </c>
      <c r="G1152">
        <v>2</v>
      </c>
      <c r="H1152">
        <v>4497</v>
      </c>
      <c r="I1152">
        <v>8994</v>
      </c>
      <c r="J1152" s="2">
        <v>1114.5999999999999</v>
      </c>
    </row>
    <row r="1153" spans="1:10" x14ac:dyDescent="0.3">
      <c r="A1153" t="s">
        <v>1161</v>
      </c>
      <c r="B1153" s="1">
        <v>45163</v>
      </c>
      <c r="C1153" t="s">
        <v>1212</v>
      </c>
      <c r="D1153" t="s">
        <v>1218</v>
      </c>
      <c r="E1153" t="s">
        <v>1219</v>
      </c>
      <c r="F1153" t="s">
        <v>1238</v>
      </c>
      <c r="G1153">
        <v>7</v>
      </c>
      <c r="H1153">
        <v>2402</v>
      </c>
      <c r="I1153">
        <v>16814</v>
      </c>
      <c r="J1153" s="2">
        <v>3529.2</v>
      </c>
    </row>
    <row r="1154" spans="1:10" x14ac:dyDescent="0.3">
      <c r="A1154" t="s">
        <v>1162</v>
      </c>
      <c r="B1154" s="1">
        <v>45005</v>
      </c>
      <c r="C1154" t="s">
        <v>1211</v>
      </c>
      <c r="D1154" t="s">
        <v>1214</v>
      </c>
      <c r="E1154" t="s">
        <v>1220</v>
      </c>
      <c r="F1154" t="s">
        <v>1225</v>
      </c>
      <c r="G1154">
        <v>6</v>
      </c>
      <c r="H1154">
        <v>3871</v>
      </c>
      <c r="I1154">
        <v>23226</v>
      </c>
      <c r="J1154" s="2">
        <v>4188.32</v>
      </c>
    </row>
    <row r="1155" spans="1:10" x14ac:dyDescent="0.3">
      <c r="A1155" t="s">
        <v>1163</v>
      </c>
      <c r="B1155" s="1">
        <v>45153</v>
      </c>
      <c r="C1155" t="s">
        <v>1211</v>
      </c>
      <c r="D1155" t="s">
        <v>1218</v>
      </c>
      <c r="E1155" t="s">
        <v>1221</v>
      </c>
      <c r="F1155" t="s">
        <v>1226</v>
      </c>
      <c r="G1155">
        <v>6</v>
      </c>
      <c r="H1155">
        <v>452</v>
      </c>
      <c r="I1155">
        <v>2712</v>
      </c>
      <c r="J1155" s="2">
        <v>517.5</v>
      </c>
    </row>
    <row r="1156" spans="1:10" x14ac:dyDescent="0.3">
      <c r="A1156" t="s">
        <v>1164</v>
      </c>
      <c r="B1156" s="1">
        <v>45193</v>
      </c>
      <c r="C1156" t="s">
        <v>1213</v>
      </c>
      <c r="D1156" t="s">
        <v>1217</v>
      </c>
      <c r="E1156" t="s">
        <v>1221</v>
      </c>
      <c r="F1156" t="s">
        <v>1229</v>
      </c>
      <c r="G1156">
        <v>4</v>
      </c>
      <c r="H1156">
        <v>2177</v>
      </c>
      <c r="I1156">
        <v>8708</v>
      </c>
      <c r="J1156" s="2">
        <v>1892.52</v>
      </c>
    </row>
    <row r="1157" spans="1:10" x14ac:dyDescent="0.3">
      <c r="A1157" t="s">
        <v>1165</v>
      </c>
      <c r="B1157" s="1">
        <v>45067</v>
      </c>
      <c r="C1157" t="s">
        <v>1211</v>
      </c>
      <c r="D1157" t="s">
        <v>1218</v>
      </c>
      <c r="E1157" t="s">
        <v>1220</v>
      </c>
      <c r="F1157" t="s">
        <v>1237</v>
      </c>
      <c r="G1157">
        <v>7</v>
      </c>
      <c r="H1157">
        <v>1787</v>
      </c>
      <c r="I1157">
        <v>12509</v>
      </c>
      <c r="J1157" s="2">
        <v>2168.88</v>
      </c>
    </row>
    <row r="1158" spans="1:10" x14ac:dyDescent="0.3">
      <c r="A1158" t="s">
        <v>1166</v>
      </c>
      <c r="B1158" s="1">
        <v>45237</v>
      </c>
      <c r="C1158" t="s">
        <v>1212</v>
      </c>
      <c r="E1158" t="s">
        <v>1220</v>
      </c>
      <c r="F1158" t="s">
        <v>1224</v>
      </c>
      <c r="G1158">
        <v>8</v>
      </c>
      <c r="H1158">
        <v>912</v>
      </c>
      <c r="I1158">
        <v>7296</v>
      </c>
      <c r="J1158" s="2">
        <v>1708.48</v>
      </c>
    </row>
    <row r="1159" spans="1:10" x14ac:dyDescent="0.3">
      <c r="A1159" t="s">
        <v>1167</v>
      </c>
      <c r="B1159" s="1">
        <v>45225</v>
      </c>
      <c r="C1159" t="s">
        <v>1210</v>
      </c>
      <c r="D1159" t="s">
        <v>1214</v>
      </c>
      <c r="E1159" t="s">
        <v>1220</v>
      </c>
      <c r="F1159" t="s">
        <v>1224</v>
      </c>
      <c r="G1159">
        <v>2</v>
      </c>
      <c r="H1159">
        <v>3501</v>
      </c>
      <c r="I1159">
        <v>7002</v>
      </c>
      <c r="J1159" s="2">
        <v>830.05</v>
      </c>
    </row>
    <row r="1160" spans="1:10" x14ac:dyDescent="0.3">
      <c r="A1160" t="s">
        <v>1168</v>
      </c>
      <c r="B1160" s="1">
        <v>45229</v>
      </c>
      <c r="C1160" t="s">
        <v>1212</v>
      </c>
      <c r="D1160" t="s">
        <v>1217</v>
      </c>
      <c r="E1160" t="s">
        <v>1221</v>
      </c>
      <c r="F1160" t="s">
        <v>1235</v>
      </c>
      <c r="G1160">
        <v>4</v>
      </c>
      <c r="H1160">
        <v>803</v>
      </c>
      <c r="I1160">
        <v>3212</v>
      </c>
      <c r="J1160" s="2">
        <v>746.35</v>
      </c>
    </row>
    <row r="1161" spans="1:10" x14ac:dyDescent="0.3">
      <c r="A1161" t="s">
        <v>1169</v>
      </c>
      <c r="B1161" s="1">
        <v>45014</v>
      </c>
      <c r="C1161" t="s">
        <v>1211</v>
      </c>
      <c r="D1161" t="s">
        <v>1216</v>
      </c>
      <c r="E1161" t="s">
        <v>1220</v>
      </c>
      <c r="F1161" t="s">
        <v>1237</v>
      </c>
      <c r="G1161">
        <v>2</v>
      </c>
      <c r="H1161">
        <v>4889</v>
      </c>
      <c r="I1161">
        <v>9778</v>
      </c>
      <c r="J1161" s="2">
        <v>1315.19</v>
      </c>
    </row>
    <row r="1162" spans="1:10" x14ac:dyDescent="0.3">
      <c r="A1162" t="s">
        <v>1170</v>
      </c>
      <c r="B1162" s="1">
        <v>44991</v>
      </c>
      <c r="C1162" t="s">
        <v>1211</v>
      </c>
      <c r="D1162" t="s">
        <v>1218</v>
      </c>
      <c r="E1162" t="s">
        <v>1220</v>
      </c>
      <c r="F1162" t="s">
        <v>1237</v>
      </c>
      <c r="G1162">
        <v>7</v>
      </c>
      <c r="H1162">
        <v>2853</v>
      </c>
      <c r="I1162">
        <v>19971</v>
      </c>
      <c r="J1162" s="2">
        <v>2055.94</v>
      </c>
    </row>
    <row r="1163" spans="1:10" x14ac:dyDescent="0.3">
      <c r="A1163" t="s">
        <v>1171</v>
      </c>
      <c r="B1163" s="1">
        <v>45250</v>
      </c>
      <c r="C1163" t="s">
        <v>1210</v>
      </c>
      <c r="D1163" t="s">
        <v>1216</v>
      </c>
      <c r="E1163" t="s">
        <v>1219</v>
      </c>
      <c r="F1163" t="s">
        <v>1233</v>
      </c>
      <c r="G1163">
        <v>5</v>
      </c>
      <c r="H1163">
        <v>4766</v>
      </c>
      <c r="I1163">
        <v>23830</v>
      </c>
      <c r="J1163" s="2">
        <v>3145.05</v>
      </c>
    </row>
    <row r="1164" spans="1:10" x14ac:dyDescent="0.3">
      <c r="A1164" t="s">
        <v>1172</v>
      </c>
      <c r="B1164" s="1">
        <v>45279</v>
      </c>
      <c r="C1164" t="s">
        <v>1213</v>
      </c>
      <c r="D1164" t="s">
        <v>1216</v>
      </c>
      <c r="E1164" t="s">
        <v>1220</v>
      </c>
      <c r="F1164" t="s">
        <v>1224</v>
      </c>
      <c r="G1164">
        <v>2</v>
      </c>
      <c r="H1164">
        <v>1864</v>
      </c>
      <c r="I1164">
        <v>3728</v>
      </c>
      <c r="J1164" s="2">
        <v>380.83</v>
      </c>
    </row>
    <row r="1165" spans="1:10" x14ac:dyDescent="0.3">
      <c r="A1165" t="s">
        <v>1173</v>
      </c>
      <c r="B1165" s="1">
        <v>45134</v>
      </c>
      <c r="C1165" t="s">
        <v>1213</v>
      </c>
      <c r="D1165" t="s">
        <v>1215</v>
      </c>
      <c r="E1165" t="s">
        <v>1222</v>
      </c>
      <c r="F1165" t="s">
        <v>1227</v>
      </c>
      <c r="G1165">
        <v>8</v>
      </c>
      <c r="H1165">
        <v>3203</v>
      </c>
      <c r="I1165">
        <v>25624</v>
      </c>
      <c r="J1165" s="2">
        <v>2623.66</v>
      </c>
    </row>
    <row r="1166" spans="1:10" x14ac:dyDescent="0.3">
      <c r="A1166" t="s">
        <v>1174</v>
      </c>
      <c r="B1166" s="1">
        <v>45001</v>
      </c>
      <c r="C1166" t="s">
        <v>1210</v>
      </c>
      <c r="D1166" t="s">
        <v>1214</v>
      </c>
      <c r="E1166" t="s">
        <v>1221</v>
      </c>
      <c r="F1166" t="s">
        <v>1229</v>
      </c>
      <c r="G1166">
        <v>2</v>
      </c>
      <c r="H1166">
        <v>621</v>
      </c>
      <c r="I1166">
        <v>1242</v>
      </c>
      <c r="J1166" s="2">
        <v>237.75</v>
      </c>
    </row>
    <row r="1167" spans="1:10" x14ac:dyDescent="0.3">
      <c r="A1167" t="s">
        <v>1175</v>
      </c>
      <c r="B1167" s="1">
        <v>45064</v>
      </c>
      <c r="C1167" t="s">
        <v>1210</v>
      </c>
      <c r="D1167" t="s">
        <v>1217</v>
      </c>
      <c r="E1167" t="s">
        <v>1219</v>
      </c>
      <c r="F1167" t="s">
        <v>1232</v>
      </c>
      <c r="G1167">
        <v>5</v>
      </c>
      <c r="H1167">
        <v>2147</v>
      </c>
      <c r="I1167">
        <v>10735</v>
      </c>
      <c r="J1167" s="2">
        <v>2102.91</v>
      </c>
    </row>
    <row r="1168" spans="1:10" x14ac:dyDescent="0.3">
      <c r="A1168" t="s">
        <v>1176</v>
      </c>
      <c r="B1168" s="1">
        <v>45048</v>
      </c>
      <c r="C1168" t="s">
        <v>1211</v>
      </c>
      <c r="D1168" t="s">
        <v>1217</v>
      </c>
      <c r="E1168" t="s">
        <v>1220</v>
      </c>
      <c r="F1168" t="s">
        <v>1224</v>
      </c>
      <c r="G1168">
        <v>3</v>
      </c>
      <c r="H1168">
        <v>4680</v>
      </c>
      <c r="I1168">
        <v>14040</v>
      </c>
      <c r="J1168" s="2">
        <v>1971.78</v>
      </c>
    </row>
    <row r="1169" spans="1:10" x14ac:dyDescent="0.3">
      <c r="A1169" t="s">
        <v>1177</v>
      </c>
      <c r="B1169" s="1">
        <v>45017</v>
      </c>
      <c r="C1169" t="s">
        <v>1212</v>
      </c>
      <c r="D1169" t="s">
        <v>1217</v>
      </c>
      <c r="E1169" t="s">
        <v>1222</v>
      </c>
      <c r="F1169" t="s">
        <v>1230</v>
      </c>
      <c r="G1169">
        <v>8</v>
      </c>
      <c r="H1169">
        <v>942</v>
      </c>
      <c r="I1169">
        <v>7536</v>
      </c>
      <c r="J1169" s="2">
        <v>607.89</v>
      </c>
    </row>
    <row r="1170" spans="1:10" x14ac:dyDescent="0.3">
      <c r="A1170" t="s">
        <v>1178</v>
      </c>
      <c r="B1170" s="1">
        <v>45282</v>
      </c>
      <c r="C1170" t="s">
        <v>1213</v>
      </c>
      <c r="D1170" t="s">
        <v>1215</v>
      </c>
      <c r="E1170" t="s">
        <v>1220</v>
      </c>
      <c r="F1170" t="s">
        <v>1228</v>
      </c>
      <c r="G1170">
        <v>1</v>
      </c>
      <c r="H1170">
        <v>4635</v>
      </c>
      <c r="I1170">
        <v>4635</v>
      </c>
      <c r="J1170" s="2">
        <v>800.3</v>
      </c>
    </row>
    <row r="1171" spans="1:10" x14ac:dyDescent="0.3">
      <c r="A1171" t="s">
        <v>1179</v>
      </c>
      <c r="B1171" s="1">
        <v>45130</v>
      </c>
      <c r="C1171" t="s">
        <v>1211</v>
      </c>
      <c r="D1171" t="s">
        <v>1214</v>
      </c>
      <c r="E1171" t="s">
        <v>1221</v>
      </c>
      <c r="F1171" t="s">
        <v>1231</v>
      </c>
      <c r="G1171">
        <v>9</v>
      </c>
      <c r="H1171">
        <v>2247</v>
      </c>
      <c r="I1171">
        <v>20223</v>
      </c>
      <c r="J1171" s="2">
        <v>4054.97</v>
      </c>
    </row>
    <row r="1172" spans="1:10" x14ac:dyDescent="0.3">
      <c r="A1172" t="s">
        <v>1180</v>
      </c>
      <c r="B1172" s="1">
        <v>45198</v>
      </c>
      <c r="C1172" t="s">
        <v>1212</v>
      </c>
      <c r="D1172" t="s">
        <v>1214</v>
      </c>
      <c r="E1172" t="s">
        <v>1219</v>
      </c>
      <c r="F1172" t="s">
        <v>1232</v>
      </c>
      <c r="G1172">
        <v>6</v>
      </c>
      <c r="H1172">
        <v>4933</v>
      </c>
      <c r="I1172">
        <v>29598</v>
      </c>
      <c r="J1172" s="2">
        <v>3593.75</v>
      </c>
    </row>
    <row r="1173" spans="1:10" x14ac:dyDescent="0.3">
      <c r="A1173" t="s">
        <v>1181</v>
      </c>
      <c r="B1173" s="1">
        <v>45263</v>
      </c>
      <c r="C1173" t="s">
        <v>1213</v>
      </c>
      <c r="D1173" t="s">
        <v>1217</v>
      </c>
      <c r="E1173" t="s">
        <v>1222</v>
      </c>
      <c r="F1173" t="s">
        <v>1227</v>
      </c>
      <c r="G1173">
        <v>3</v>
      </c>
      <c r="H1173">
        <v>2237</v>
      </c>
      <c r="I1173">
        <v>6711</v>
      </c>
      <c r="J1173" s="2">
        <v>1024.79</v>
      </c>
    </row>
    <row r="1174" spans="1:10" x14ac:dyDescent="0.3">
      <c r="A1174" t="s">
        <v>1182</v>
      </c>
      <c r="B1174" s="1">
        <v>44992</v>
      </c>
      <c r="C1174" t="s">
        <v>1211</v>
      </c>
      <c r="D1174" t="s">
        <v>1216</v>
      </c>
      <c r="E1174" t="s">
        <v>1220</v>
      </c>
      <c r="F1174" t="s">
        <v>1225</v>
      </c>
      <c r="G1174">
        <v>8</v>
      </c>
      <c r="H1174">
        <v>1156</v>
      </c>
      <c r="I1174">
        <v>9248</v>
      </c>
      <c r="J1174" s="2">
        <v>1604.03</v>
      </c>
    </row>
    <row r="1175" spans="1:10" x14ac:dyDescent="0.3">
      <c r="A1175" t="s">
        <v>1183</v>
      </c>
      <c r="B1175" s="1">
        <v>45058</v>
      </c>
      <c r="C1175" t="s">
        <v>1212</v>
      </c>
      <c r="D1175" t="s">
        <v>1216</v>
      </c>
      <c r="E1175" t="s">
        <v>1221</v>
      </c>
      <c r="F1175" t="s">
        <v>1229</v>
      </c>
      <c r="G1175">
        <v>9</v>
      </c>
      <c r="H1175">
        <v>2449</v>
      </c>
      <c r="I1175">
        <v>22041</v>
      </c>
      <c r="J1175" s="2">
        <v>3054.47</v>
      </c>
    </row>
    <row r="1176" spans="1:10" x14ac:dyDescent="0.3">
      <c r="A1176" t="s">
        <v>1184</v>
      </c>
      <c r="B1176" s="1">
        <v>45120</v>
      </c>
      <c r="C1176" t="s">
        <v>1213</v>
      </c>
      <c r="D1176" t="s">
        <v>1218</v>
      </c>
      <c r="E1176" t="s">
        <v>1222</v>
      </c>
      <c r="F1176" t="s">
        <v>1234</v>
      </c>
      <c r="G1176">
        <v>2</v>
      </c>
      <c r="H1176">
        <v>3012</v>
      </c>
      <c r="I1176">
        <v>6024</v>
      </c>
      <c r="J1176" s="2">
        <v>725.78</v>
      </c>
    </row>
    <row r="1177" spans="1:10" x14ac:dyDescent="0.3">
      <c r="A1177" t="s">
        <v>1185</v>
      </c>
      <c r="B1177" s="1">
        <v>45051</v>
      </c>
      <c r="C1177" t="s">
        <v>1211</v>
      </c>
      <c r="D1177" t="s">
        <v>1218</v>
      </c>
      <c r="E1177" t="s">
        <v>1220</v>
      </c>
      <c r="F1177" t="s">
        <v>1237</v>
      </c>
      <c r="G1177">
        <v>9</v>
      </c>
      <c r="H1177">
        <v>2787</v>
      </c>
      <c r="I1177">
        <v>25083</v>
      </c>
      <c r="J1177" s="2">
        <v>4732.67</v>
      </c>
    </row>
    <row r="1178" spans="1:10" x14ac:dyDescent="0.3">
      <c r="A1178" t="s">
        <v>1186</v>
      </c>
      <c r="B1178" s="1">
        <v>45251</v>
      </c>
      <c r="C1178" t="s">
        <v>1212</v>
      </c>
      <c r="D1178" t="s">
        <v>1217</v>
      </c>
      <c r="E1178" t="s">
        <v>1220</v>
      </c>
      <c r="F1178" t="s">
        <v>1228</v>
      </c>
      <c r="G1178">
        <v>9</v>
      </c>
      <c r="H1178">
        <v>4995</v>
      </c>
      <c r="I1178">
        <v>44955</v>
      </c>
      <c r="J1178" s="2">
        <v>9309.7999999999993</v>
      </c>
    </row>
    <row r="1179" spans="1:10" x14ac:dyDescent="0.3">
      <c r="A1179" t="s">
        <v>1187</v>
      </c>
      <c r="B1179" s="1">
        <v>45162</v>
      </c>
      <c r="C1179" t="s">
        <v>1212</v>
      </c>
      <c r="D1179" t="s">
        <v>1214</v>
      </c>
      <c r="E1179" t="s">
        <v>1220</v>
      </c>
      <c r="F1179" t="s">
        <v>1224</v>
      </c>
      <c r="G1179">
        <v>9</v>
      </c>
      <c r="H1179">
        <v>3486</v>
      </c>
      <c r="I1179">
        <v>31374</v>
      </c>
      <c r="J1179" s="2">
        <v>2971.05</v>
      </c>
    </row>
    <row r="1180" spans="1:10" x14ac:dyDescent="0.3">
      <c r="A1180" t="s">
        <v>1188</v>
      </c>
      <c r="B1180" s="1">
        <v>44986</v>
      </c>
      <c r="C1180" t="s">
        <v>1212</v>
      </c>
      <c r="D1180" t="s">
        <v>1218</v>
      </c>
      <c r="E1180" t="s">
        <v>1222</v>
      </c>
      <c r="F1180" t="s">
        <v>1230</v>
      </c>
      <c r="G1180">
        <v>7</v>
      </c>
      <c r="H1180">
        <v>1385</v>
      </c>
      <c r="I1180">
        <v>9695</v>
      </c>
      <c r="J1180" s="2">
        <v>2422.44</v>
      </c>
    </row>
    <row r="1181" spans="1:10" x14ac:dyDescent="0.3">
      <c r="A1181" t="s">
        <v>1189</v>
      </c>
      <c r="B1181" s="1">
        <v>44940</v>
      </c>
      <c r="C1181" t="s">
        <v>1213</v>
      </c>
      <c r="D1181" t="s">
        <v>1216</v>
      </c>
      <c r="E1181" t="s">
        <v>1222</v>
      </c>
      <c r="F1181" t="s">
        <v>1227</v>
      </c>
      <c r="G1181">
        <v>6</v>
      </c>
      <c r="H1181">
        <v>4464</v>
      </c>
      <c r="I1181">
        <v>26784</v>
      </c>
      <c r="J1181" s="2">
        <v>4619.84</v>
      </c>
    </row>
    <row r="1182" spans="1:10" x14ac:dyDescent="0.3">
      <c r="A1182" t="s">
        <v>1190</v>
      </c>
      <c r="B1182" s="1">
        <v>45011</v>
      </c>
      <c r="C1182" t="s">
        <v>1213</v>
      </c>
      <c r="D1182" t="s">
        <v>1216</v>
      </c>
      <c r="E1182" t="s">
        <v>1222</v>
      </c>
      <c r="F1182" t="s">
        <v>1227</v>
      </c>
      <c r="G1182">
        <v>8</v>
      </c>
      <c r="H1182">
        <v>1889</v>
      </c>
      <c r="I1182">
        <v>15112</v>
      </c>
      <c r="J1182" s="2">
        <v>1946.89</v>
      </c>
    </row>
    <row r="1183" spans="1:10" x14ac:dyDescent="0.3">
      <c r="A1183" t="s">
        <v>1191</v>
      </c>
      <c r="B1183" s="1">
        <v>45156</v>
      </c>
      <c r="C1183" t="s">
        <v>1211</v>
      </c>
      <c r="E1183" t="s">
        <v>1220</v>
      </c>
      <c r="F1183" t="s">
        <v>1224</v>
      </c>
      <c r="G1183">
        <v>6</v>
      </c>
      <c r="H1183">
        <v>3223</v>
      </c>
      <c r="I1183">
        <v>19338</v>
      </c>
      <c r="J1183" s="2">
        <v>4199.29</v>
      </c>
    </row>
    <row r="1184" spans="1:10" x14ac:dyDescent="0.3">
      <c r="A1184" t="s">
        <v>1192</v>
      </c>
      <c r="B1184" s="1">
        <v>45183</v>
      </c>
      <c r="C1184" t="s">
        <v>1210</v>
      </c>
      <c r="D1184" t="s">
        <v>1215</v>
      </c>
      <c r="E1184" t="s">
        <v>1222</v>
      </c>
      <c r="F1184" t="s">
        <v>1227</v>
      </c>
      <c r="G1184">
        <v>2</v>
      </c>
      <c r="H1184">
        <v>1329</v>
      </c>
      <c r="I1184">
        <v>2658</v>
      </c>
      <c r="J1184" s="2">
        <v>275.12</v>
      </c>
    </row>
    <row r="1185" spans="1:10" x14ac:dyDescent="0.3">
      <c r="A1185" t="s">
        <v>1193</v>
      </c>
      <c r="B1185" s="1">
        <v>44960</v>
      </c>
      <c r="C1185" t="s">
        <v>1213</v>
      </c>
      <c r="D1185" t="s">
        <v>1218</v>
      </c>
      <c r="E1185" t="s">
        <v>1222</v>
      </c>
      <c r="F1185" t="s">
        <v>1227</v>
      </c>
      <c r="G1185">
        <v>4</v>
      </c>
      <c r="H1185">
        <v>3409</v>
      </c>
      <c r="I1185">
        <v>13636</v>
      </c>
      <c r="J1185" s="2">
        <v>2895.16</v>
      </c>
    </row>
    <row r="1186" spans="1:10" x14ac:dyDescent="0.3">
      <c r="A1186" t="s">
        <v>1194</v>
      </c>
      <c r="B1186" s="1">
        <v>44927</v>
      </c>
      <c r="C1186" t="s">
        <v>1212</v>
      </c>
      <c r="D1186" t="s">
        <v>1218</v>
      </c>
      <c r="E1186" t="s">
        <v>1220</v>
      </c>
      <c r="F1186" t="s">
        <v>1237</v>
      </c>
      <c r="G1186">
        <v>6</v>
      </c>
      <c r="H1186">
        <v>2075</v>
      </c>
      <c r="I1186">
        <v>12450</v>
      </c>
      <c r="J1186" s="2">
        <v>1839.38</v>
      </c>
    </row>
    <row r="1187" spans="1:10" x14ac:dyDescent="0.3">
      <c r="A1187" t="s">
        <v>1195</v>
      </c>
      <c r="B1187" s="1">
        <v>45280</v>
      </c>
      <c r="C1187" t="s">
        <v>1212</v>
      </c>
      <c r="D1187" t="s">
        <v>1214</v>
      </c>
      <c r="E1187" t="s">
        <v>1221</v>
      </c>
      <c r="F1187" t="s">
        <v>1235</v>
      </c>
      <c r="G1187">
        <v>7</v>
      </c>
      <c r="H1187">
        <v>2868</v>
      </c>
      <c r="I1187">
        <v>20076</v>
      </c>
      <c r="J1187" s="2">
        <v>1940.7</v>
      </c>
    </row>
    <row r="1188" spans="1:10" x14ac:dyDescent="0.3">
      <c r="A1188" t="s">
        <v>1196</v>
      </c>
      <c r="B1188" s="1">
        <v>45007</v>
      </c>
      <c r="C1188" t="s">
        <v>1210</v>
      </c>
      <c r="D1188" t="s">
        <v>1218</v>
      </c>
      <c r="E1188" t="s">
        <v>1221</v>
      </c>
      <c r="F1188" t="s">
        <v>1229</v>
      </c>
      <c r="G1188">
        <v>3</v>
      </c>
      <c r="H1188">
        <v>2370</v>
      </c>
      <c r="I1188">
        <v>7110</v>
      </c>
      <c r="J1188" s="2">
        <v>1521.74</v>
      </c>
    </row>
    <row r="1189" spans="1:10" x14ac:dyDescent="0.3">
      <c r="A1189" t="s">
        <v>1197</v>
      </c>
      <c r="B1189" s="1">
        <v>44946</v>
      </c>
      <c r="C1189" t="s">
        <v>1213</v>
      </c>
      <c r="D1189" t="s">
        <v>1218</v>
      </c>
      <c r="E1189" t="s">
        <v>1220</v>
      </c>
      <c r="F1189" t="s">
        <v>1224</v>
      </c>
      <c r="G1189">
        <v>5</v>
      </c>
      <c r="H1189">
        <v>2956</v>
      </c>
      <c r="I1189">
        <v>14780</v>
      </c>
      <c r="J1189" s="2">
        <v>1433.07</v>
      </c>
    </row>
    <row r="1190" spans="1:10" x14ac:dyDescent="0.3">
      <c r="A1190" t="s">
        <v>1198</v>
      </c>
      <c r="B1190" s="1">
        <v>45207</v>
      </c>
      <c r="C1190" t="s">
        <v>1210</v>
      </c>
      <c r="D1190" t="s">
        <v>1218</v>
      </c>
      <c r="E1190" t="s">
        <v>1220</v>
      </c>
      <c r="F1190" t="s">
        <v>1228</v>
      </c>
      <c r="G1190">
        <v>1</v>
      </c>
      <c r="H1190">
        <v>3403</v>
      </c>
      <c r="I1190">
        <v>3403</v>
      </c>
      <c r="J1190" s="2">
        <v>582.02</v>
      </c>
    </row>
    <row r="1191" spans="1:10" x14ac:dyDescent="0.3">
      <c r="A1191" t="s">
        <v>1199</v>
      </c>
      <c r="B1191" s="1">
        <v>45204</v>
      </c>
      <c r="C1191" t="s">
        <v>1211</v>
      </c>
      <c r="D1191" t="s">
        <v>1217</v>
      </c>
      <c r="E1191" t="s">
        <v>1220</v>
      </c>
      <c r="F1191" t="s">
        <v>1237</v>
      </c>
      <c r="G1191">
        <v>2</v>
      </c>
      <c r="H1191">
        <v>242</v>
      </c>
      <c r="I1191">
        <v>484</v>
      </c>
      <c r="J1191" s="2">
        <v>102.09</v>
      </c>
    </row>
    <row r="1192" spans="1:10" x14ac:dyDescent="0.3">
      <c r="A1192" t="s">
        <v>1200</v>
      </c>
      <c r="B1192" s="1">
        <v>45130</v>
      </c>
      <c r="C1192" t="s">
        <v>1212</v>
      </c>
      <c r="D1192" t="s">
        <v>1215</v>
      </c>
      <c r="E1192" t="s">
        <v>1220</v>
      </c>
      <c r="F1192" t="s">
        <v>1225</v>
      </c>
      <c r="G1192">
        <v>2</v>
      </c>
      <c r="H1192">
        <v>1767</v>
      </c>
      <c r="I1192">
        <v>3534</v>
      </c>
      <c r="J1192" s="2">
        <v>411.01</v>
      </c>
    </row>
    <row r="1193" spans="1:10" x14ac:dyDescent="0.3">
      <c r="A1193" t="s">
        <v>1201</v>
      </c>
      <c r="B1193" s="1">
        <v>45040</v>
      </c>
      <c r="C1193" t="s">
        <v>1210</v>
      </c>
      <c r="D1193" t="s">
        <v>1214</v>
      </c>
      <c r="E1193" t="s">
        <v>1221</v>
      </c>
      <c r="F1193" t="s">
        <v>1226</v>
      </c>
      <c r="G1193">
        <v>2</v>
      </c>
      <c r="H1193">
        <v>3601</v>
      </c>
      <c r="I1193">
        <v>7202</v>
      </c>
      <c r="J1193" s="2">
        <v>1683.1</v>
      </c>
    </row>
    <row r="1194" spans="1:10" x14ac:dyDescent="0.3">
      <c r="A1194" t="s">
        <v>1202</v>
      </c>
      <c r="B1194" s="1">
        <v>45239</v>
      </c>
      <c r="C1194" t="s">
        <v>1211</v>
      </c>
      <c r="D1194" t="s">
        <v>1217</v>
      </c>
      <c r="E1194" t="s">
        <v>1219</v>
      </c>
      <c r="F1194" t="s">
        <v>1232</v>
      </c>
      <c r="G1194">
        <v>4</v>
      </c>
      <c r="H1194">
        <v>2139</v>
      </c>
      <c r="I1194">
        <v>8556</v>
      </c>
      <c r="J1194" s="2">
        <v>2015</v>
      </c>
    </row>
    <row r="1195" spans="1:10" x14ac:dyDescent="0.3">
      <c r="A1195" t="s">
        <v>1203</v>
      </c>
      <c r="B1195" s="1">
        <v>44968</v>
      </c>
      <c r="C1195" t="s">
        <v>1210</v>
      </c>
      <c r="D1195" t="s">
        <v>1216</v>
      </c>
      <c r="E1195" t="s">
        <v>1220</v>
      </c>
      <c r="F1195" t="s">
        <v>1225</v>
      </c>
      <c r="G1195">
        <v>9</v>
      </c>
      <c r="H1195">
        <v>1077</v>
      </c>
      <c r="I1195">
        <v>9693</v>
      </c>
      <c r="J1195" s="2">
        <v>1094.5</v>
      </c>
    </row>
    <row r="1196" spans="1:10" x14ac:dyDescent="0.3">
      <c r="A1196" t="s">
        <v>1204</v>
      </c>
      <c r="B1196" s="1">
        <v>45285</v>
      </c>
      <c r="C1196" t="s">
        <v>1212</v>
      </c>
      <c r="D1196" t="s">
        <v>1214</v>
      </c>
      <c r="E1196" t="s">
        <v>1222</v>
      </c>
      <c r="F1196" t="s">
        <v>1234</v>
      </c>
      <c r="G1196">
        <v>6</v>
      </c>
      <c r="H1196">
        <v>2955</v>
      </c>
      <c r="I1196">
        <v>17730</v>
      </c>
      <c r="J1196" s="2">
        <v>2101.87</v>
      </c>
    </row>
    <row r="1197" spans="1:10" x14ac:dyDescent="0.3">
      <c r="A1197" t="s">
        <v>1205</v>
      </c>
      <c r="B1197" s="1">
        <v>45257</v>
      </c>
      <c r="C1197" t="s">
        <v>1213</v>
      </c>
      <c r="D1197" t="s">
        <v>1218</v>
      </c>
      <c r="E1197" t="s">
        <v>1222</v>
      </c>
      <c r="F1197" t="s">
        <v>1227</v>
      </c>
      <c r="G1197">
        <v>1</v>
      </c>
      <c r="H1197">
        <v>2061</v>
      </c>
      <c r="I1197">
        <v>2061</v>
      </c>
      <c r="J1197" s="2">
        <v>279.45</v>
      </c>
    </row>
    <row r="1198" spans="1:10" x14ac:dyDescent="0.3">
      <c r="A1198" t="s">
        <v>1206</v>
      </c>
      <c r="B1198" s="1">
        <v>44945</v>
      </c>
      <c r="C1198" t="s">
        <v>1210</v>
      </c>
      <c r="D1198" t="s">
        <v>1217</v>
      </c>
      <c r="E1198" t="s">
        <v>1221</v>
      </c>
      <c r="F1198" t="s">
        <v>1235</v>
      </c>
      <c r="G1198">
        <v>7</v>
      </c>
      <c r="H1198">
        <v>4863</v>
      </c>
      <c r="I1198">
        <v>34041</v>
      </c>
      <c r="J1198" s="2">
        <v>7983.67</v>
      </c>
    </row>
    <row r="1199" spans="1:10" x14ac:dyDescent="0.3">
      <c r="A1199" t="s">
        <v>1207</v>
      </c>
      <c r="B1199" s="1">
        <v>45143</v>
      </c>
      <c r="C1199" t="s">
        <v>1211</v>
      </c>
      <c r="D1199" t="s">
        <v>1217</v>
      </c>
      <c r="E1199" t="s">
        <v>1220</v>
      </c>
      <c r="F1199" t="s">
        <v>1228</v>
      </c>
      <c r="G1199">
        <v>4</v>
      </c>
      <c r="H1199">
        <v>2270</v>
      </c>
      <c r="I1199">
        <v>9080</v>
      </c>
      <c r="J1199" s="2">
        <v>1830.29</v>
      </c>
    </row>
    <row r="1200" spans="1:10" x14ac:dyDescent="0.3">
      <c r="A1200" t="s">
        <v>1208</v>
      </c>
      <c r="B1200" s="1">
        <v>45011</v>
      </c>
      <c r="C1200" t="s">
        <v>1213</v>
      </c>
      <c r="D1200" t="s">
        <v>1217</v>
      </c>
      <c r="E1200" t="s">
        <v>1221</v>
      </c>
      <c r="F1200" t="s">
        <v>1231</v>
      </c>
      <c r="G1200">
        <v>3</v>
      </c>
      <c r="H1200">
        <v>880</v>
      </c>
      <c r="I1200">
        <v>2640</v>
      </c>
      <c r="J1200" s="2">
        <v>248.41</v>
      </c>
    </row>
    <row r="1201" spans="1:10" x14ac:dyDescent="0.3">
      <c r="A1201" t="s">
        <v>1209</v>
      </c>
      <c r="B1201" s="1">
        <v>45022</v>
      </c>
      <c r="C1201" t="s">
        <v>1211</v>
      </c>
      <c r="D1201" t="s">
        <v>1217</v>
      </c>
      <c r="E1201" t="s">
        <v>1221</v>
      </c>
      <c r="F1201" t="s">
        <v>1235</v>
      </c>
      <c r="G1201">
        <v>9</v>
      </c>
      <c r="H1201">
        <v>3383</v>
      </c>
      <c r="I1201">
        <v>30447</v>
      </c>
      <c r="J1201" s="2">
        <v>3433.9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91A65-8457-448C-837E-DC0F9D5A3464}">
  <dimension ref="A1:U1201"/>
  <sheetViews>
    <sheetView workbookViewId="0">
      <selection activeCell="B2" sqref="B2"/>
    </sheetView>
  </sheetViews>
  <sheetFormatPr defaultRowHeight="14.4" x14ac:dyDescent="0.3"/>
  <cols>
    <col min="1" max="1" width="13" bestFit="1" customWidth="1"/>
    <col min="2" max="2" width="15.109375" bestFit="1" customWidth="1"/>
    <col min="3" max="3" width="11.21875" bestFit="1" customWidth="1"/>
    <col min="4" max="4" width="9.21875" bestFit="1" customWidth="1"/>
    <col min="5" max="5" width="20.77734375" bestFit="1" customWidth="1"/>
    <col min="6" max="6" width="18.21875" bestFit="1" customWidth="1"/>
    <col min="7" max="7" width="12.77734375" bestFit="1" customWidth="1"/>
    <col min="8" max="8" width="9.5546875" bestFit="1" customWidth="1"/>
    <col min="9" max="9" width="9.6640625" bestFit="1" customWidth="1"/>
    <col min="10" max="10" width="10.109375" bestFit="1" customWidth="1"/>
    <col min="11" max="11" width="16.77734375" customWidth="1"/>
    <col min="12" max="12" width="13.33203125" customWidth="1"/>
    <col min="13" max="13" width="17" customWidth="1"/>
    <col min="15" max="15" width="13.21875" customWidth="1"/>
    <col min="16" max="16" width="15.88671875" customWidth="1"/>
    <col min="17" max="17" width="11.6640625" customWidth="1"/>
    <col min="18" max="18" width="14.109375" customWidth="1"/>
    <col min="19" max="19" width="13.21875" customWidth="1"/>
    <col min="20" max="20" width="14.109375" customWidth="1"/>
    <col min="21" max="21" width="22" customWidth="1"/>
  </cols>
  <sheetData>
    <row r="1" spans="1:21" x14ac:dyDescent="0.3">
      <c r="A1" s="3" t="s">
        <v>0</v>
      </c>
      <c r="B1" s="4" t="s">
        <v>1</v>
      </c>
      <c r="C1" s="3" t="s">
        <v>2</v>
      </c>
      <c r="D1" s="3" t="s">
        <v>3</v>
      </c>
      <c r="E1" s="3" t="s">
        <v>4</v>
      </c>
      <c r="F1" s="3" t="s">
        <v>5</v>
      </c>
      <c r="G1" s="3" t="s">
        <v>6</v>
      </c>
      <c r="H1" s="3" t="s">
        <v>7</v>
      </c>
      <c r="I1" s="3" t="s">
        <v>8</v>
      </c>
      <c r="J1" s="3" t="s">
        <v>9</v>
      </c>
      <c r="K1" s="15" t="s">
        <v>1240</v>
      </c>
      <c r="L1" s="15" t="s">
        <v>1241</v>
      </c>
      <c r="M1" s="15" t="s">
        <v>1242</v>
      </c>
      <c r="N1" s="15" t="s">
        <v>1243</v>
      </c>
      <c r="O1" s="15" t="s">
        <v>1244</v>
      </c>
      <c r="P1" s="15" t="s">
        <v>1245</v>
      </c>
      <c r="Q1" s="15" t="s">
        <v>1246</v>
      </c>
      <c r="R1" s="15" t="s">
        <v>1247</v>
      </c>
      <c r="S1" s="15" t="s">
        <v>1248</v>
      </c>
      <c r="T1" s="15" t="s">
        <v>1249</v>
      </c>
      <c r="U1" s="15" t="s">
        <v>1250</v>
      </c>
    </row>
    <row r="2" spans="1:21" x14ac:dyDescent="0.3">
      <c r="A2" t="s">
        <v>10</v>
      </c>
      <c r="B2" s="1">
        <v>45048</v>
      </c>
      <c r="C2" t="s">
        <v>1210</v>
      </c>
      <c r="D2" t="s">
        <v>1214</v>
      </c>
      <c r="E2" t="s">
        <v>1219</v>
      </c>
      <c r="F2" t="s">
        <v>1223</v>
      </c>
      <c r="G2" s="6">
        <v>8</v>
      </c>
      <c r="H2">
        <v>3972</v>
      </c>
      <c r="I2">
        <v>31776</v>
      </c>
      <c r="J2" s="2">
        <v>5766.22</v>
      </c>
      <c r="K2" s="16">
        <f>Table13[[#This Row],[Profit]]/Table13[[#This Row],[Sales]]</f>
        <v>0.18146462739174221</v>
      </c>
      <c r="L2" s="17" t="str">
        <f t="shared" ref="L2:L65" si="0">IF(I2&gt;20000,"High",IF(I2&gt;10000,"Medium","Low"))</f>
        <v>High</v>
      </c>
      <c r="M2" s="17" t="str">
        <f t="shared" ref="M2:M65" si="1">TEXT(B2,"mmm")</f>
        <v>May</v>
      </c>
      <c r="N2" s="18">
        <f>YEAR(Table13[[#This Row],[Order_Date]])</f>
        <v>2023</v>
      </c>
      <c r="O2" s="18">
        <f>Table13[[#This Row],[Price]]*0.7</f>
        <v>2780.3999999999996</v>
      </c>
      <c r="P2" s="18">
        <f t="shared" ref="P2:P65" si="2">I2 - (G2 *O2)</f>
        <v>9532.8000000000029</v>
      </c>
      <c r="Q2" s="18">
        <f t="shared" ref="Q2:Q65" si="3">IF(G2&gt;5,0.1,0.05)</f>
        <v>0.1</v>
      </c>
      <c r="R2" s="18">
        <f t="shared" ref="R2:R65" si="4">I2*(1-K2)</f>
        <v>26009.78</v>
      </c>
      <c r="S2" s="18" t="str">
        <f>IF(Table13[[#This Row],[Quantity]]&lt;=3,"Small",IF(Table13[[#This Row],[Quantity]]&lt;=6,"Medium","Bulk"))</f>
        <v>Bulk</v>
      </c>
      <c r="T2" s="18" t="str">
        <f>IF(C2="North","High Demand","Normal")</f>
        <v>Normal</v>
      </c>
      <c r="U2" s="18" t="str">
        <f>IF(I2&gt;20000,"High Value",IF(I2&gt;10000,"Medium Value","low Value"))</f>
        <v>High Value</v>
      </c>
    </row>
    <row r="3" spans="1:21" x14ac:dyDescent="0.3">
      <c r="A3" t="s">
        <v>11</v>
      </c>
      <c r="B3" s="1">
        <v>45057</v>
      </c>
      <c r="C3" t="s">
        <v>1211</v>
      </c>
      <c r="D3" t="s">
        <v>1215</v>
      </c>
      <c r="E3" t="s">
        <v>1219</v>
      </c>
      <c r="F3" t="s">
        <v>1223</v>
      </c>
      <c r="G3" s="6">
        <v>5</v>
      </c>
      <c r="H3">
        <v>3371</v>
      </c>
      <c r="I3">
        <v>16855</v>
      </c>
      <c r="J3" s="2">
        <v>1757.76</v>
      </c>
      <c r="K3" s="16">
        <f>Table13[[#This Row],[Profit]]/Table13[[#This Row],[Sales]]</f>
        <v>0.1042871551468407</v>
      </c>
      <c r="L3" s="17" t="str">
        <f t="shared" si="0"/>
        <v>Medium</v>
      </c>
      <c r="M3" s="17" t="str">
        <f t="shared" si="1"/>
        <v>May</v>
      </c>
      <c r="N3" s="18">
        <f>YEAR(Table13[[#This Row],[Order_Date]])</f>
        <v>2023</v>
      </c>
      <c r="O3" s="18">
        <f>Table13[[#This Row],[Price]]*0.7</f>
        <v>2359.6999999999998</v>
      </c>
      <c r="P3" s="18">
        <f t="shared" si="2"/>
        <v>5056.5</v>
      </c>
      <c r="Q3" s="18">
        <f t="shared" si="3"/>
        <v>0.05</v>
      </c>
      <c r="R3" s="18">
        <f t="shared" si="4"/>
        <v>15097.24</v>
      </c>
      <c r="S3" s="18" t="str">
        <f>IF(Table13[[#This Row],[Quantity]]&lt;=3,"Small",IF(Table13[[#This Row],[Quantity]]&lt;=6,"Medium","Bulk"))</f>
        <v>Medium</v>
      </c>
      <c r="T3" s="18" t="str">
        <f t="shared" ref="T3:T65" si="5">IF(C3="North","High Demand","Normal")</f>
        <v>Normal</v>
      </c>
      <c r="U3" s="18" t="str">
        <f t="shared" ref="U3:U65" si="6">IF(I3&gt;20000,"High Value",IF(I3&gt;10000,"Medium Value","low Value"))</f>
        <v>Medium Value</v>
      </c>
    </row>
    <row r="4" spans="1:21" x14ac:dyDescent="0.3">
      <c r="A4" t="s">
        <v>12</v>
      </c>
      <c r="B4" s="1">
        <v>45203</v>
      </c>
      <c r="C4" t="s">
        <v>1212</v>
      </c>
      <c r="D4" t="s">
        <v>1216</v>
      </c>
      <c r="E4" t="s">
        <v>1220</v>
      </c>
      <c r="F4" t="s">
        <v>1224</v>
      </c>
      <c r="G4" s="6">
        <v>6</v>
      </c>
      <c r="H4">
        <v>2633</v>
      </c>
      <c r="I4">
        <v>15798</v>
      </c>
      <c r="J4" s="2">
        <v>1752.16</v>
      </c>
      <c r="K4" s="16">
        <f>Table13[[#This Row],[Profit]]/Table13[[#This Row],[Sales]]</f>
        <v>0.11091024180275985</v>
      </c>
      <c r="L4" s="17" t="str">
        <f t="shared" si="0"/>
        <v>Medium</v>
      </c>
      <c r="M4" s="17" t="str">
        <f t="shared" si="1"/>
        <v>Oct</v>
      </c>
      <c r="N4" s="18">
        <f>YEAR(Table13[[#This Row],[Order_Date]])</f>
        <v>2023</v>
      </c>
      <c r="O4" s="18">
        <f>Table13[[#This Row],[Price]]*0.7</f>
        <v>1843.1</v>
      </c>
      <c r="P4" s="18">
        <f t="shared" si="2"/>
        <v>4739.4000000000015</v>
      </c>
      <c r="Q4" s="18">
        <f t="shared" si="3"/>
        <v>0.1</v>
      </c>
      <c r="R4" s="18">
        <f t="shared" si="4"/>
        <v>14045.84</v>
      </c>
      <c r="S4" s="18" t="str">
        <f>IF(Table13[[#This Row],[Quantity]]&lt;=3,"Small",IF(Table13[[#This Row],[Quantity]]&lt;=6,"Medium","Bulk"))</f>
        <v>Medium</v>
      </c>
      <c r="T4" s="18" t="str">
        <f t="shared" si="5"/>
        <v>High Demand</v>
      </c>
      <c r="U4" s="18" t="str">
        <f t="shared" si="6"/>
        <v>Medium Value</v>
      </c>
    </row>
    <row r="5" spans="1:21" x14ac:dyDescent="0.3">
      <c r="A5" t="s">
        <v>13</v>
      </c>
      <c r="B5" s="1">
        <v>45096</v>
      </c>
      <c r="C5" t="s">
        <v>1213</v>
      </c>
      <c r="D5" t="s">
        <v>1216</v>
      </c>
      <c r="E5" t="s">
        <v>1220</v>
      </c>
      <c r="F5" t="s">
        <v>1225</v>
      </c>
      <c r="G5" s="6">
        <v>9</v>
      </c>
      <c r="H5">
        <v>674</v>
      </c>
      <c r="I5">
        <v>6066</v>
      </c>
      <c r="J5" s="2">
        <v>1116.23</v>
      </c>
      <c r="K5" s="16">
        <f>Table13[[#This Row],[Profit]]/Table13[[#This Row],[Sales]]</f>
        <v>0.18401417738212991</v>
      </c>
      <c r="L5" s="17" t="str">
        <f t="shared" si="0"/>
        <v>Low</v>
      </c>
      <c r="M5" s="17" t="str">
        <f t="shared" si="1"/>
        <v>Jun</v>
      </c>
      <c r="N5" s="18">
        <f>YEAR(Table13[[#This Row],[Order_Date]])</f>
        <v>2023</v>
      </c>
      <c r="O5" s="18">
        <f>Table13[[#This Row],[Price]]*0.7</f>
        <v>471.79999999999995</v>
      </c>
      <c r="P5" s="18">
        <f t="shared" si="2"/>
        <v>1819.8000000000002</v>
      </c>
      <c r="Q5" s="18">
        <f t="shared" si="3"/>
        <v>0.1</v>
      </c>
      <c r="R5" s="18">
        <f t="shared" si="4"/>
        <v>4949.7700000000004</v>
      </c>
      <c r="S5" s="18" t="str">
        <f>IF(Table13[[#This Row],[Quantity]]&lt;=3,"Small",IF(Table13[[#This Row],[Quantity]]&lt;=6,"Medium","Bulk"))</f>
        <v>Bulk</v>
      </c>
      <c r="T5" s="18" t="str">
        <f t="shared" si="5"/>
        <v>Normal</v>
      </c>
      <c r="U5" s="18" t="str">
        <f t="shared" si="6"/>
        <v>low Value</v>
      </c>
    </row>
    <row r="6" spans="1:21" x14ac:dyDescent="0.3">
      <c r="A6" t="s">
        <v>14</v>
      </c>
      <c r="B6" s="1">
        <v>45246</v>
      </c>
      <c r="C6" t="s">
        <v>1212</v>
      </c>
      <c r="D6" t="s">
        <v>1214</v>
      </c>
      <c r="E6" t="s">
        <v>1221</v>
      </c>
      <c r="F6" t="s">
        <v>1226</v>
      </c>
      <c r="G6" s="6">
        <v>3</v>
      </c>
      <c r="H6">
        <v>2099</v>
      </c>
      <c r="I6">
        <v>6297</v>
      </c>
      <c r="J6" s="2">
        <v>1054.24</v>
      </c>
      <c r="K6" s="16">
        <f>Table13[[#This Row],[Profit]]/Table13[[#This Row],[Sales]]</f>
        <v>0.16741940606638081</v>
      </c>
      <c r="L6" s="17" t="str">
        <f t="shared" si="0"/>
        <v>Low</v>
      </c>
      <c r="M6" s="17" t="str">
        <f t="shared" si="1"/>
        <v>Nov</v>
      </c>
      <c r="N6" s="18">
        <f>YEAR(Table13[[#This Row],[Order_Date]])</f>
        <v>2023</v>
      </c>
      <c r="O6" s="18">
        <f>Table13[[#This Row],[Price]]*0.7</f>
        <v>1469.3</v>
      </c>
      <c r="P6" s="18">
        <f t="shared" si="2"/>
        <v>1889.1000000000004</v>
      </c>
      <c r="Q6" s="18">
        <f t="shared" si="3"/>
        <v>0.05</v>
      </c>
      <c r="R6" s="18">
        <f t="shared" si="4"/>
        <v>5242.76</v>
      </c>
      <c r="S6" s="18" t="str">
        <f>IF(Table13[[#This Row],[Quantity]]&lt;=3,"Small",IF(Table13[[#This Row],[Quantity]]&lt;=6,"Medium","Bulk"))</f>
        <v>Small</v>
      </c>
      <c r="T6" s="18" t="str">
        <f t="shared" si="5"/>
        <v>High Demand</v>
      </c>
      <c r="U6" s="18" t="str">
        <f t="shared" si="6"/>
        <v>low Value</v>
      </c>
    </row>
    <row r="7" spans="1:21" x14ac:dyDescent="0.3">
      <c r="A7" t="s">
        <v>15</v>
      </c>
      <c r="B7" s="1">
        <v>45015</v>
      </c>
      <c r="C7" t="s">
        <v>1213</v>
      </c>
      <c r="D7" t="s">
        <v>1217</v>
      </c>
      <c r="E7" t="s">
        <v>1222</v>
      </c>
      <c r="F7" t="s">
        <v>1227</v>
      </c>
      <c r="G7" s="6">
        <v>7</v>
      </c>
      <c r="H7">
        <v>3088</v>
      </c>
      <c r="I7">
        <v>21616</v>
      </c>
      <c r="J7" s="2">
        <v>1968.33</v>
      </c>
      <c r="K7" s="16">
        <f>Table13[[#This Row],[Profit]]/Table13[[#This Row],[Sales]]</f>
        <v>9.1058937823834188E-2</v>
      </c>
      <c r="L7" s="17" t="str">
        <f t="shared" si="0"/>
        <v>High</v>
      </c>
      <c r="M7" s="17" t="str">
        <f t="shared" si="1"/>
        <v>Mar</v>
      </c>
      <c r="N7" s="18">
        <f>YEAR(Table13[[#This Row],[Order_Date]])</f>
        <v>2023</v>
      </c>
      <c r="O7" s="18">
        <f>Table13[[#This Row],[Price]]*0.7</f>
        <v>2161.6</v>
      </c>
      <c r="P7" s="18">
        <f t="shared" si="2"/>
        <v>6484.8000000000011</v>
      </c>
      <c r="Q7" s="18">
        <f t="shared" si="3"/>
        <v>0.1</v>
      </c>
      <c r="R7" s="18">
        <f t="shared" si="4"/>
        <v>19647.669999999998</v>
      </c>
      <c r="S7" s="18" t="str">
        <f>IF(Table13[[#This Row],[Quantity]]&lt;=3,"Small",IF(Table13[[#This Row],[Quantity]]&lt;=6,"Medium","Bulk"))</f>
        <v>Bulk</v>
      </c>
      <c r="T7" s="18" t="str">
        <f t="shared" si="5"/>
        <v>Normal</v>
      </c>
      <c r="U7" s="18" t="str">
        <f t="shared" si="6"/>
        <v>High Value</v>
      </c>
    </row>
    <row r="8" spans="1:21" x14ac:dyDescent="0.3">
      <c r="A8" t="s">
        <v>16</v>
      </c>
      <c r="B8" s="1">
        <v>45190</v>
      </c>
      <c r="C8" t="s">
        <v>1210</v>
      </c>
      <c r="D8" t="s">
        <v>1214</v>
      </c>
      <c r="E8" t="s">
        <v>1220</v>
      </c>
      <c r="F8" t="s">
        <v>1228</v>
      </c>
      <c r="G8" s="6">
        <v>5</v>
      </c>
      <c r="H8">
        <v>1563</v>
      </c>
      <c r="I8">
        <v>7815</v>
      </c>
      <c r="J8" s="2">
        <v>945.41</v>
      </c>
      <c r="K8" s="16">
        <f>Table13[[#This Row],[Profit]]/Table13[[#This Row],[Sales]]</f>
        <v>0.12097376839411388</v>
      </c>
      <c r="L8" s="17" t="str">
        <f t="shared" si="0"/>
        <v>Low</v>
      </c>
      <c r="M8" s="17" t="str">
        <f t="shared" si="1"/>
        <v>Sep</v>
      </c>
      <c r="N8" s="18">
        <f>YEAR(Table13[[#This Row],[Order_Date]])</f>
        <v>2023</v>
      </c>
      <c r="O8" s="18">
        <f>Table13[[#This Row],[Price]]*0.7</f>
        <v>1094.0999999999999</v>
      </c>
      <c r="P8" s="18">
        <f t="shared" si="2"/>
        <v>2344.5</v>
      </c>
      <c r="Q8" s="18">
        <f t="shared" si="3"/>
        <v>0.05</v>
      </c>
      <c r="R8" s="18">
        <f t="shared" si="4"/>
        <v>6869.59</v>
      </c>
      <c r="S8" s="18" t="str">
        <f>IF(Table13[[#This Row],[Quantity]]&lt;=3,"Small",IF(Table13[[#This Row],[Quantity]]&lt;=6,"Medium","Bulk"))</f>
        <v>Medium</v>
      </c>
      <c r="T8" s="18" t="str">
        <f t="shared" si="5"/>
        <v>Normal</v>
      </c>
      <c r="U8" s="18" t="str">
        <f t="shared" si="6"/>
        <v>low Value</v>
      </c>
    </row>
    <row r="9" spans="1:21" x14ac:dyDescent="0.3">
      <c r="A9" t="s">
        <v>17</v>
      </c>
      <c r="B9" s="1">
        <v>44928</v>
      </c>
      <c r="C9" t="s">
        <v>1211</v>
      </c>
      <c r="D9" t="s">
        <v>1217</v>
      </c>
      <c r="E9" t="s">
        <v>1220</v>
      </c>
      <c r="F9" t="s">
        <v>1228</v>
      </c>
      <c r="G9" s="6">
        <v>4</v>
      </c>
      <c r="H9">
        <v>1785</v>
      </c>
      <c r="I9">
        <v>7140</v>
      </c>
      <c r="J9" s="2">
        <v>1375.37</v>
      </c>
      <c r="K9" s="16">
        <f>Table13[[#This Row],[Profit]]/Table13[[#This Row],[Sales]]</f>
        <v>0.19262885154061624</v>
      </c>
      <c r="L9" s="17" t="str">
        <f t="shared" si="0"/>
        <v>Low</v>
      </c>
      <c r="M9" s="17" t="str">
        <f t="shared" si="1"/>
        <v>Jan</v>
      </c>
      <c r="N9" s="18">
        <f>YEAR(Table13[[#This Row],[Order_Date]])</f>
        <v>2023</v>
      </c>
      <c r="O9" s="18">
        <f>Table13[[#This Row],[Price]]*0.7</f>
        <v>1249.5</v>
      </c>
      <c r="P9" s="18">
        <f t="shared" si="2"/>
        <v>2142</v>
      </c>
      <c r="Q9" s="18">
        <f t="shared" si="3"/>
        <v>0.05</v>
      </c>
      <c r="R9" s="18">
        <f t="shared" si="4"/>
        <v>5764.63</v>
      </c>
      <c r="S9" s="18" t="str">
        <f>IF(Table13[[#This Row],[Quantity]]&lt;=3,"Small",IF(Table13[[#This Row],[Quantity]]&lt;=6,"Medium","Bulk"))</f>
        <v>Medium</v>
      </c>
      <c r="T9" s="18" t="str">
        <f t="shared" si="5"/>
        <v>Normal</v>
      </c>
      <c r="U9" s="18" t="str">
        <f t="shared" si="6"/>
        <v>low Value</v>
      </c>
    </row>
    <row r="10" spans="1:21" x14ac:dyDescent="0.3">
      <c r="A10" t="s">
        <v>18</v>
      </c>
      <c r="B10" s="1">
        <v>45196</v>
      </c>
      <c r="C10" t="s">
        <v>1210</v>
      </c>
      <c r="D10" t="s">
        <v>1216</v>
      </c>
      <c r="E10" t="s">
        <v>1221</v>
      </c>
      <c r="F10" t="s">
        <v>1229</v>
      </c>
      <c r="G10" s="6">
        <v>2</v>
      </c>
      <c r="H10">
        <v>361</v>
      </c>
      <c r="I10">
        <v>722</v>
      </c>
      <c r="J10" s="2">
        <v>106.26</v>
      </c>
      <c r="K10" s="16">
        <f>Table13[[#This Row],[Profit]]/Table13[[#This Row],[Sales]]</f>
        <v>0.14717451523545708</v>
      </c>
      <c r="L10" s="17" t="str">
        <f t="shared" si="0"/>
        <v>Low</v>
      </c>
      <c r="M10" s="17" t="str">
        <f t="shared" si="1"/>
        <v>Sep</v>
      </c>
      <c r="N10" s="18">
        <f>YEAR(Table13[[#This Row],[Order_Date]])</f>
        <v>2023</v>
      </c>
      <c r="O10" s="18">
        <f>Table13[[#This Row],[Price]]*0.7</f>
        <v>252.7</v>
      </c>
      <c r="P10" s="18">
        <f t="shared" si="2"/>
        <v>216.60000000000002</v>
      </c>
      <c r="Q10" s="18">
        <f t="shared" si="3"/>
        <v>0.05</v>
      </c>
      <c r="R10" s="18">
        <f t="shared" si="4"/>
        <v>615.74</v>
      </c>
      <c r="S10" s="18" t="str">
        <f>IF(Table13[[#This Row],[Quantity]]&lt;=3,"Small",IF(Table13[[#This Row],[Quantity]]&lt;=6,"Medium","Bulk"))</f>
        <v>Small</v>
      </c>
      <c r="T10" s="18" t="str">
        <f t="shared" si="5"/>
        <v>Normal</v>
      </c>
      <c r="U10" s="18" t="str">
        <f t="shared" si="6"/>
        <v>low Value</v>
      </c>
    </row>
    <row r="11" spans="1:21" x14ac:dyDescent="0.3">
      <c r="A11" t="s">
        <v>19</v>
      </c>
      <c r="B11" s="1">
        <v>45206</v>
      </c>
      <c r="C11" t="s">
        <v>1211</v>
      </c>
      <c r="D11" t="s">
        <v>1218</v>
      </c>
      <c r="E11" t="s">
        <v>1222</v>
      </c>
      <c r="F11" t="s">
        <v>1230</v>
      </c>
      <c r="G11" s="6">
        <v>8</v>
      </c>
      <c r="H11">
        <v>537</v>
      </c>
      <c r="I11">
        <v>4296</v>
      </c>
      <c r="J11" s="2">
        <v>737.83</v>
      </c>
      <c r="K11" s="16">
        <f>Table13[[#This Row],[Profit]]/Table13[[#This Row],[Sales]]</f>
        <v>0.17174813780260709</v>
      </c>
      <c r="L11" s="17" t="str">
        <f t="shared" si="0"/>
        <v>Low</v>
      </c>
      <c r="M11" s="17" t="str">
        <f t="shared" si="1"/>
        <v>Oct</v>
      </c>
      <c r="N11" s="18">
        <f>YEAR(Table13[[#This Row],[Order_Date]])</f>
        <v>2023</v>
      </c>
      <c r="O11" s="18">
        <f>Table13[[#This Row],[Price]]*0.7</f>
        <v>375.9</v>
      </c>
      <c r="P11" s="18">
        <f t="shared" si="2"/>
        <v>1288.8000000000002</v>
      </c>
      <c r="Q11" s="18">
        <f t="shared" si="3"/>
        <v>0.1</v>
      </c>
      <c r="R11" s="18">
        <f t="shared" si="4"/>
        <v>3558.1699999999996</v>
      </c>
      <c r="S11" s="18" t="str">
        <f>IF(Table13[[#This Row],[Quantity]]&lt;=3,"Small",IF(Table13[[#This Row],[Quantity]]&lt;=6,"Medium","Bulk"))</f>
        <v>Bulk</v>
      </c>
      <c r="T11" s="18" t="str">
        <f t="shared" si="5"/>
        <v>Normal</v>
      </c>
      <c r="U11" s="18" t="str">
        <f t="shared" si="6"/>
        <v>low Value</v>
      </c>
    </row>
    <row r="12" spans="1:21" x14ac:dyDescent="0.3">
      <c r="A12" t="s">
        <v>20</v>
      </c>
      <c r="B12" s="1">
        <v>45271</v>
      </c>
      <c r="C12" t="s">
        <v>1210</v>
      </c>
      <c r="D12" t="s">
        <v>1218</v>
      </c>
      <c r="E12" t="s">
        <v>1221</v>
      </c>
      <c r="F12" t="s">
        <v>1226</v>
      </c>
      <c r="G12" s="6">
        <v>9</v>
      </c>
      <c r="H12">
        <v>2262</v>
      </c>
      <c r="I12">
        <v>20358</v>
      </c>
      <c r="J12" s="2">
        <v>2200.61</v>
      </c>
      <c r="K12" s="16">
        <f>Table13[[#This Row],[Profit]]/Table13[[#This Row],[Sales]]</f>
        <v>0.10809558895765793</v>
      </c>
      <c r="L12" s="17" t="str">
        <f t="shared" si="0"/>
        <v>High</v>
      </c>
      <c r="M12" s="17" t="str">
        <f t="shared" si="1"/>
        <v>Dec</v>
      </c>
      <c r="N12" s="18">
        <f>YEAR(Table13[[#This Row],[Order_Date]])</f>
        <v>2023</v>
      </c>
      <c r="O12" s="18">
        <f>Table13[[#This Row],[Price]]*0.7</f>
        <v>1583.3999999999999</v>
      </c>
      <c r="P12" s="18">
        <f t="shared" si="2"/>
        <v>6107.4000000000015</v>
      </c>
      <c r="Q12" s="18">
        <f t="shared" si="3"/>
        <v>0.1</v>
      </c>
      <c r="R12" s="18">
        <f t="shared" si="4"/>
        <v>18157.39</v>
      </c>
      <c r="S12" s="18" t="str">
        <f>IF(Table13[[#This Row],[Quantity]]&lt;=3,"Small",IF(Table13[[#This Row],[Quantity]]&lt;=6,"Medium","Bulk"))</f>
        <v>Bulk</v>
      </c>
      <c r="T12" s="18" t="str">
        <f t="shared" si="5"/>
        <v>Normal</v>
      </c>
      <c r="U12" s="18" t="str">
        <f t="shared" si="6"/>
        <v>High Value</v>
      </c>
    </row>
    <row r="13" spans="1:21" x14ac:dyDescent="0.3">
      <c r="A13" t="s">
        <v>21</v>
      </c>
      <c r="B13" s="1">
        <v>45007</v>
      </c>
      <c r="C13" t="s">
        <v>1213</v>
      </c>
      <c r="D13" t="s">
        <v>1214</v>
      </c>
      <c r="E13" t="s">
        <v>1221</v>
      </c>
      <c r="F13" t="s">
        <v>1231</v>
      </c>
      <c r="G13" s="6">
        <v>8</v>
      </c>
      <c r="H13">
        <v>1695</v>
      </c>
      <c r="I13">
        <v>13560</v>
      </c>
      <c r="J13" s="2">
        <v>1117.26</v>
      </c>
      <c r="K13" s="16">
        <f>Table13[[#This Row],[Profit]]/Table13[[#This Row],[Sales]]</f>
        <v>8.2393805309734516E-2</v>
      </c>
      <c r="L13" s="17" t="str">
        <f t="shared" si="0"/>
        <v>Medium</v>
      </c>
      <c r="M13" s="17" t="str">
        <f t="shared" si="1"/>
        <v>Mar</v>
      </c>
      <c r="N13" s="18">
        <f>YEAR(Table13[[#This Row],[Order_Date]])</f>
        <v>2023</v>
      </c>
      <c r="O13" s="18">
        <f>Table13[[#This Row],[Price]]*0.7</f>
        <v>1186.5</v>
      </c>
      <c r="P13" s="18">
        <f t="shared" si="2"/>
        <v>4068</v>
      </c>
      <c r="Q13" s="18">
        <f t="shared" si="3"/>
        <v>0.1</v>
      </c>
      <c r="R13" s="18">
        <f t="shared" si="4"/>
        <v>12442.74</v>
      </c>
      <c r="S13" s="18" t="str">
        <f>IF(Table13[[#This Row],[Quantity]]&lt;=3,"Small",IF(Table13[[#This Row],[Quantity]]&lt;=6,"Medium","Bulk"))</f>
        <v>Bulk</v>
      </c>
      <c r="T13" s="18" t="str">
        <f t="shared" si="5"/>
        <v>Normal</v>
      </c>
      <c r="U13" s="18" t="str">
        <f t="shared" si="6"/>
        <v>Medium Value</v>
      </c>
    </row>
    <row r="14" spans="1:21" x14ac:dyDescent="0.3">
      <c r="A14" t="s">
        <v>22</v>
      </c>
      <c r="B14" s="1">
        <v>44967</v>
      </c>
      <c r="C14" t="s">
        <v>1213</v>
      </c>
      <c r="D14" t="s">
        <v>1218</v>
      </c>
      <c r="E14" t="s">
        <v>1219</v>
      </c>
      <c r="F14" t="s">
        <v>1232</v>
      </c>
      <c r="G14" s="6">
        <v>5</v>
      </c>
      <c r="H14">
        <v>3761</v>
      </c>
      <c r="I14">
        <v>18805</v>
      </c>
      <c r="J14" s="2">
        <v>2650.36</v>
      </c>
      <c r="K14" s="16">
        <f>Table13[[#This Row],[Profit]]/Table13[[#This Row],[Sales]]</f>
        <v>0.14093911193831429</v>
      </c>
      <c r="L14" s="17" t="str">
        <f t="shared" si="0"/>
        <v>Medium</v>
      </c>
      <c r="M14" s="17" t="str">
        <f t="shared" si="1"/>
        <v>Feb</v>
      </c>
      <c r="N14" s="18">
        <f>YEAR(Table13[[#This Row],[Order_Date]])</f>
        <v>2023</v>
      </c>
      <c r="O14" s="18">
        <f>Table13[[#This Row],[Price]]*0.7</f>
        <v>2632.7</v>
      </c>
      <c r="P14" s="18">
        <f t="shared" si="2"/>
        <v>5641.5</v>
      </c>
      <c r="Q14" s="18">
        <f t="shared" si="3"/>
        <v>0.05</v>
      </c>
      <c r="R14" s="18">
        <f t="shared" si="4"/>
        <v>16154.64</v>
      </c>
      <c r="S14" s="18" t="str">
        <f>IF(Table13[[#This Row],[Quantity]]&lt;=3,"Small",IF(Table13[[#This Row],[Quantity]]&lt;=6,"Medium","Bulk"))</f>
        <v>Medium</v>
      </c>
      <c r="T14" s="18" t="str">
        <f t="shared" si="5"/>
        <v>Normal</v>
      </c>
      <c r="U14" s="18" t="str">
        <f t="shared" si="6"/>
        <v>Medium Value</v>
      </c>
    </row>
    <row r="15" spans="1:21" x14ac:dyDescent="0.3">
      <c r="A15" t="s">
        <v>23</v>
      </c>
      <c r="B15" s="1">
        <v>44988</v>
      </c>
      <c r="C15" t="s">
        <v>1213</v>
      </c>
      <c r="D15" t="s">
        <v>1215</v>
      </c>
      <c r="E15" t="s">
        <v>1221</v>
      </c>
      <c r="F15" t="s">
        <v>1226</v>
      </c>
      <c r="G15" s="6">
        <v>2</v>
      </c>
      <c r="H15">
        <v>3304</v>
      </c>
      <c r="I15">
        <v>6608</v>
      </c>
      <c r="J15" s="2">
        <v>600.04</v>
      </c>
      <c r="K15" s="16">
        <f>Table13[[#This Row],[Profit]]/Table13[[#This Row],[Sales]]</f>
        <v>9.080508474576271E-2</v>
      </c>
      <c r="L15" s="17" t="str">
        <f t="shared" si="0"/>
        <v>Low</v>
      </c>
      <c r="M15" s="17" t="str">
        <f t="shared" si="1"/>
        <v>Mar</v>
      </c>
      <c r="N15" s="18">
        <f>YEAR(Table13[[#This Row],[Order_Date]])</f>
        <v>2023</v>
      </c>
      <c r="O15" s="18">
        <f>Table13[[#This Row],[Price]]*0.7</f>
        <v>2312.7999999999997</v>
      </c>
      <c r="P15" s="18">
        <f t="shared" si="2"/>
        <v>1982.4000000000005</v>
      </c>
      <c r="Q15" s="18">
        <f t="shared" si="3"/>
        <v>0.05</v>
      </c>
      <c r="R15" s="18">
        <f t="shared" si="4"/>
        <v>6007.96</v>
      </c>
      <c r="S15" s="18" t="str">
        <f>IF(Table13[[#This Row],[Quantity]]&lt;=3,"Small",IF(Table13[[#This Row],[Quantity]]&lt;=6,"Medium","Bulk"))</f>
        <v>Small</v>
      </c>
      <c r="T15" s="18" t="str">
        <f t="shared" si="5"/>
        <v>Normal</v>
      </c>
      <c r="U15" s="18" t="str">
        <f t="shared" si="6"/>
        <v>low Value</v>
      </c>
    </row>
    <row r="16" spans="1:21" x14ac:dyDescent="0.3">
      <c r="A16" t="s">
        <v>24</v>
      </c>
      <c r="B16" s="1">
        <v>45153</v>
      </c>
      <c r="C16" t="s">
        <v>1212</v>
      </c>
      <c r="D16" t="s">
        <v>1214</v>
      </c>
      <c r="E16" t="s">
        <v>1219</v>
      </c>
      <c r="F16" t="s">
        <v>1223</v>
      </c>
      <c r="G16" s="6">
        <v>8</v>
      </c>
      <c r="H16">
        <v>2973</v>
      </c>
      <c r="I16">
        <v>23784</v>
      </c>
      <c r="J16" s="2">
        <v>5489.97</v>
      </c>
      <c r="K16" s="16">
        <f>Table13[[#This Row],[Profit]]/Table13[[#This Row],[Sales]]</f>
        <v>0.23082618567103935</v>
      </c>
      <c r="L16" s="17" t="str">
        <f t="shared" si="0"/>
        <v>High</v>
      </c>
      <c r="M16" s="17" t="str">
        <f t="shared" si="1"/>
        <v>Aug</v>
      </c>
      <c r="N16" s="18">
        <f>YEAR(Table13[[#This Row],[Order_Date]])</f>
        <v>2023</v>
      </c>
      <c r="O16" s="18">
        <f>Table13[[#This Row],[Price]]*0.7</f>
        <v>2081.1</v>
      </c>
      <c r="P16" s="18">
        <f t="shared" si="2"/>
        <v>7135.2000000000007</v>
      </c>
      <c r="Q16" s="18">
        <f t="shared" si="3"/>
        <v>0.1</v>
      </c>
      <c r="R16" s="18">
        <f t="shared" si="4"/>
        <v>18294.03</v>
      </c>
      <c r="S16" s="18" t="str">
        <f>IF(Table13[[#This Row],[Quantity]]&lt;=3,"Small",IF(Table13[[#This Row],[Quantity]]&lt;=6,"Medium","Bulk"))</f>
        <v>Bulk</v>
      </c>
      <c r="T16" s="18" t="str">
        <f t="shared" si="5"/>
        <v>High Demand</v>
      </c>
      <c r="U16" s="18" t="str">
        <f t="shared" si="6"/>
        <v>High Value</v>
      </c>
    </row>
    <row r="17" spans="1:21" x14ac:dyDescent="0.3">
      <c r="A17" t="s">
        <v>25</v>
      </c>
      <c r="B17" s="1">
        <v>45133</v>
      </c>
      <c r="C17" t="s">
        <v>1210</v>
      </c>
      <c r="D17" t="s">
        <v>1217</v>
      </c>
      <c r="E17" t="s">
        <v>1222</v>
      </c>
      <c r="F17" t="s">
        <v>1239</v>
      </c>
      <c r="G17" s="6">
        <v>7</v>
      </c>
      <c r="H17">
        <v>4693</v>
      </c>
      <c r="I17">
        <v>32851</v>
      </c>
      <c r="J17" s="2">
        <v>5385.77</v>
      </c>
      <c r="K17" s="16">
        <f>Table13[[#This Row],[Profit]]/Table13[[#This Row],[Sales]]</f>
        <v>0.16394538979026516</v>
      </c>
      <c r="L17" s="17" t="str">
        <f t="shared" si="0"/>
        <v>High</v>
      </c>
      <c r="M17" s="17" t="str">
        <f t="shared" si="1"/>
        <v>Jul</v>
      </c>
      <c r="N17" s="18">
        <f>YEAR(Table13[[#This Row],[Order_Date]])</f>
        <v>2023</v>
      </c>
      <c r="O17" s="18">
        <f>Table13[[#This Row],[Price]]*0.7</f>
        <v>3285.1</v>
      </c>
      <c r="P17" s="18">
        <f t="shared" si="2"/>
        <v>9855.2999999999993</v>
      </c>
      <c r="Q17" s="18">
        <f t="shared" si="3"/>
        <v>0.1</v>
      </c>
      <c r="R17" s="18">
        <f t="shared" si="4"/>
        <v>27465.23</v>
      </c>
      <c r="S17" s="18" t="str">
        <f>IF(Table13[[#This Row],[Quantity]]&lt;=3,"Small",IF(Table13[[#This Row],[Quantity]]&lt;=6,"Medium","Bulk"))</f>
        <v>Bulk</v>
      </c>
      <c r="T17" s="18" t="str">
        <f t="shared" si="5"/>
        <v>Normal</v>
      </c>
      <c r="U17" s="18" t="str">
        <f t="shared" si="6"/>
        <v>High Value</v>
      </c>
    </row>
    <row r="18" spans="1:21" x14ac:dyDescent="0.3">
      <c r="A18" t="s">
        <v>26</v>
      </c>
      <c r="B18" s="1">
        <v>44978</v>
      </c>
      <c r="C18" t="s">
        <v>1212</v>
      </c>
      <c r="D18" t="s">
        <v>1216</v>
      </c>
      <c r="E18" t="s">
        <v>1220</v>
      </c>
      <c r="F18" t="s">
        <v>1224</v>
      </c>
      <c r="G18" s="6">
        <v>3</v>
      </c>
      <c r="H18">
        <v>1063</v>
      </c>
      <c r="I18">
        <v>3189</v>
      </c>
      <c r="J18" s="2">
        <v>600.14</v>
      </c>
      <c r="K18" s="16">
        <f>Table13[[#This Row],[Profit]]/Table13[[#This Row],[Sales]]</f>
        <v>0.18819065537786139</v>
      </c>
      <c r="L18" s="17" t="str">
        <f t="shared" si="0"/>
        <v>Low</v>
      </c>
      <c r="M18" s="17" t="str">
        <f t="shared" si="1"/>
        <v>Feb</v>
      </c>
      <c r="N18" s="18">
        <f>YEAR(Table13[[#This Row],[Order_Date]])</f>
        <v>2023</v>
      </c>
      <c r="O18" s="18">
        <f>Table13[[#This Row],[Price]]*0.7</f>
        <v>744.09999999999991</v>
      </c>
      <c r="P18" s="18">
        <f t="shared" si="2"/>
        <v>956.70000000000027</v>
      </c>
      <c r="Q18" s="18">
        <f t="shared" si="3"/>
        <v>0.05</v>
      </c>
      <c r="R18" s="18">
        <f t="shared" si="4"/>
        <v>2588.86</v>
      </c>
      <c r="S18" s="18" t="str">
        <f>IF(Table13[[#This Row],[Quantity]]&lt;=3,"Small",IF(Table13[[#This Row],[Quantity]]&lt;=6,"Medium","Bulk"))</f>
        <v>Small</v>
      </c>
      <c r="T18" s="18" t="str">
        <f t="shared" si="5"/>
        <v>High Demand</v>
      </c>
      <c r="U18" s="18" t="str">
        <f t="shared" si="6"/>
        <v>low Value</v>
      </c>
    </row>
    <row r="19" spans="1:21" x14ac:dyDescent="0.3">
      <c r="A19" t="s">
        <v>27</v>
      </c>
      <c r="B19" s="1">
        <v>44962</v>
      </c>
      <c r="C19" t="s">
        <v>1212</v>
      </c>
      <c r="D19" t="s">
        <v>1239</v>
      </c>
      <c r="E19" t="s">
        <v>1220</v>
      </c>
      <c r="F19" t="s">
        <v>1228</v>
      </c>
      <c r="G19" s="6">
        <v>7</v>
      </c>
      <c r="H19">
        <v>1878</v>
      </c>
      <c r="I19">
        <v>13146</v>
      </c>
      <c r="J19" s="2">
        <v>2740.2</v>
      </c>
      <c r="K19" s="16">
        <f>Table13[[#This Row],[Profit]]/Table13[[#This Row],[Sales]]</f>
        <v>0.20844363304427202</v>
      </c>
      <c r="L19" s="17" t="str">
        <f t="shared" si="0"/>
        <v>Medium</v>
      </c>
      <c r="M19" s="17" t="str">
        <f t="shared" si="1"/>
        <v>Feb</v>
      </c>
      <c r="N19" s="18">
        <f>YEAR(Table13[[#This Row],[Order_Date]])</f>
        <v>2023</v>
      </c>
      <c r="O19" s="18">
        <f>Table13[[#This Row],[Price]]*0.7</f>
        <v>1314.6</v>
      </c>
      <c r="P19" s="18">
        <f t="shared" si="2"/>
        <v>3943.8000000000011</v>
      </c>
      <c r="Q19" s="18">
        <f t="shared" si="3"/>
        <v>0.1</v>
      </c>
      <c r="R19" s="18">
        <f t="shared" si="4"/>
        <v>10405.799999999999</v>
      </c>
      <c r="S19" s="18" t="str">
        <f>IF(Table13[[#This Row],[Quantity]]&lt;=3,"Small",IF(Table13[[#This Row],[Quantity]]&lt;=6,"Medium","Bulk"))</f>
        <v>Bulk</v>
      </c>
      <c r="T19" s="18" t="str">
        <f t="shared" si="5"/>
        <v>High Demand</v>
      </c>
      <c r="U19" s="18" t="str">
        <f t="shared" si="6"/>
        <v>Medium Value</v>
      </c>
    </row>
    <row r="20" spans="1:21" x14ac:dyDescent="0.3">
      <c r="A20" t="s">
        <v>28</v>
      </c>
      <c r="B20" s="1">
        <v>45060</v>
      </c>
      <c r="C20" t="s">
        <v>1213</v>
      </c>
      <c r="D20" t="s">
        <v>1216</v>
      </c>
      <c r="E20" t="s">
        <v>1219</v>
      </c>
      <c r="F20" t="s">
        <v>1233</v>
      </c>
      <c r="G20" s="6">
        <v>2</v>
      </c>
      <c r="H20">
        <v>2929</v>
      </c>
      <c r="I20">
        <v>5858</v>
      </c>
      <c r="J20" s="2">
        <v>1273.4100000000001</v>
      </c>
      <c r="K20" s="16">
        <f>Table13[[#This Row],[Profit]]/Table13[[#This Row],[Sales]]</f>
        <v>0.21737965175827928</v>
      </c>
      <c r="L20" s="17" t="str">
        <f t="shared" si="0"/>
        <v>Low</v>
      </c>
      <c r="M20" s="17" t="str">
        <f t="shared" si="1"/>
        <v>May</v>
      </c>
      <c r="N20" s="18">
        <f>YEAR(Table13[[#This Row],[Order_Date]])</f>
        <v>2023</v>
      </c>
      <c r="O20" s="18">
        <f>Table13[[#This Row],[Price]]*0.7</f>
        <v>2050.2999999999997</v>
      </c>
      <c r="P20" s="18">
        <f t="shared" si="2"/>
        <v>1757.4000000000005</v>
      </c>
      <c r="Q20" s="18">
        <f t="shared" si="3"/>
        <v>0.05</v>
      </c>
      <c r="R20" s="18">
        <f t="shared" si="4"/>
        <v>4584.5899999999992</v>
      </c>
      <c r="S20" s="18" t="str">
        <f>IF(Table13[[#This Row],[Quantity]]&lt;=3,"Small",IF(Table13[[#This Row],[Quantity]]&lt;=6,"Medium","Bulk"))</f>
        <v>Small</v>
      </c>
      <c r="T20" s="18" t="str">
        <f t="shared" si="5"/>
        <v>Normal</v>
      </c>
      <c r="U20" s="18" t="str">
        <f t="shared" si="6"/>
        <v>low Value</v>
      </c>
    </row>
    <row r="21" spans="1:21" x14ac:dyDescent="0.3">
      <c r="A21" t="s">
        <v>29</v>
      </c>
      <c r="B21" s="1">
        <v>45274</v>
      </c>
      <c r="C21" t="s">
        <v>1212</v>
      </c>
      <c r="D21" t="s">
        <v>1218</v>
      </c>
      <c r="E21" t="s">
        <v>1221</v>
      </c>
      <c r="F21" t="s">
        <v>1226</v>
      </c>
      <c r="G21" s="6">
        <v>4</v>
      </c>
      <c r="H21">
        <v>2181</v>
      </c>
      <c r="I21">
        <v>8724</v>
      </c>
      <c r="J21" s="2">
        <v>1497.81</v>
      </c>
      <c r="K21" s="16">
        <f>Table13[[#This Row],[Profit]]/Table13[[#This Row],[Sales]]</f>
        <v>0.17168844566712516</v>
      </c>
      <c r="L21" s="17" t="str">
        <f t="shared" si="0"/>
        <v>Low</v>
      </c>
      <c r="M21" s="17" t="str">
        <f t="shared" si="1"/>
        <v>Dec</v>
      </c>
      <c r="N21" s="18">
        <f>YEAR(Table13[[#This Row],[Order_Date]])</f>
        <v>2023</v>
      </c>
      <c r="O21" s="18">
        <f>Table13[[#This Row],[Price]]*0.7</f>
        <v>1526.6999999999998</v>
      </c>
      <c r="P21" s="18">
        <f t="shared" si="2"/>
        <v>2617.2000000000007</v>
      </c>
      <c r="Q21" s="18">
        <f t="shared" si="3"/>
        <v>0.05</v>
      </c>
      <c r="R21" s="18">
        <f t="shared" si="4"/>
        <v>7226.1900000000005</v>
      </c>
      <c r="S21" s="18" t="str">
        <f>IF(Table13[[#This Row],[Quantity]]&lt;=3,"Small",IF(Table13[[#This Row],[Quantity]]&lt;=6,"Medium","Bulk"))</f>
        <v>Medium</v>
      </c>
      <c r="T21" s="18" t="str">
        <f t="shared" si="5"/>
        <v>High Demand</v>
      </c>
      <c r="U21" s="18" t="str">
        <f t="shared" si="6"/>
        <v>low Value</v>
      </c>
    </row>
    <row r="22" spans="1:21" x14ac:dyDescent="0.3">
      <c r="A22" t="s">
        <v>30</v>
      </c>
      <c r="B22" s="1">
        <v>45185</v>
      </c>
      <c r="C22" t="s">
        <v>1210</v>
      </c>
      <c r="D22" t="s">
        <v>1214</v>
      </c>
      <c r="E22" t="s">
        <v>1222</v>
      </c>
      <c r="F22" t="s">
        <v>1234</v>
      </c>
      <c r="G22" s="6">
        <v>9</v>
      </c>
      <c r="H22">
        <v>2875</v>
      </c>
      <c r="I22">
        <v>25875</v>
      </c>
      <c r="J22" s="2">
        <v>3620.86</v>
      </c>
      <c r="K22" s="16">
        <f>Table13[[#This Row],[Profit]]/Table13[[#This Row],[Sales]]</f>
        <v>0.13993661835748794</v>
      </c>
      <c r="L22" s="17" t="str">
        <f t="shared" si="0"/>
        <v>High</v>
      </c>
      <c r="M22" s="17" t="str">
        <f t="shared" si="1"/>
        <v>Sep</v>
      </c>
      <c r="N22" s="18">
        <f>YEAR(Table13[[#This Row],[Order_Date]])</f>
        <v>2023</v>
      </c>
      <c r="O22" s="18">
        <f>Table13[[#This Row],[Price]]*0.7</f>
        <v>2012.4999999999998</v>
      </c>
      <c r="P22" s="18">
        <f t="shared" si="2"/>
        <v>7762.5000000000036</v>
      </c>
      <c r="Q22" s="18">
        <f t="shared" si="3"/>
        <v>0.1</v>
      </c>
      <c r="R22" s="18">
        <f t="shared" si="4"/>
        <v>22254.14</v>
      </c>
      <c r="S22" s="18" t="str">
        <f>IF(Table13[[#This Row],[Quantity]]&lt;=3,"Small",IF(Table13[[#This Row],[Quantity]]&lt;=6,"Medium","Bulk"))</f>
        <v>Bulk</v>
      </c>
      <c r="T22" s="18" t="str">
        <f t="shared" si="5"/>
        <v>Normal</v>
      </c>
      <c r="U22" s="18" t="str">
        <f t="shared" si="6"/>
        <v>High Value</v>
      </c>
    </row>
    <row r="23" spans="1:21" x14ac:dyDescent="0.3">
      <c r="A23" t="s">
        <v>31</v>
      </c>
      <c r="B23" s="1">
        <v>45241</v>
      </c>
      <c r="C23" t="s">
        <v>1211</v>
      </c>
      <c r="D23" t="s">
        <v>1218</v>
      </c>
      <c r="E23" t="s">
        <v>1222</v>
      </c>
      <c r="F23" t="s">
        <v>1230</v>
      </c>
      <c r="G23" s="6">
        <v>5</v>
      </c>
      <c r="H23">
        <v>4979</v>
      </c>
      <c r="I23">
        <v>24895</v>
      </c>
      <c r="J23" s="2">
        <v>3024.78</v>
      </c>
      <c r="K23" s="16">
        <f>Table13[[#This Row],[Profit]]/Table13[[#This Row],[Sales]]</f>
        <v>0.12150150632657161</v>
      </c>
      <c r="L23" s="17" t="str">
        <f t="shared" si="0"/>
        <v>High</v>
      </c>
      <c r="M23" s="17" t="str">
        <f t="shared" si="1"/>
        <v>Nov</v>
      </c>
      <c r="N23" s="18">
        <f>YEAR(Table13[[#This Row],[Order_Date]])</f>
        <v>2023</v>
      </c>
      <c r="O23" s="18">
        <f>Table13[[#This Row],[Price]]*0.7</f>
        <v>3485.2999999999997</v>
      </c>
      <c r="P23" s="18">
        <f t="shared" si="2"/>
        <v>7468.5</v>
      </c>
      <c r="Q23" s="18">
        <f t="shared" si="3"/>
        <v>0.05</v>
      </c>
      <c r="R23" s="18">
        <f t="shared" si="4"/>
        <v>21870.219999999998</v>
      </c>
      <c r="S23" s="18" t="str">
        <f>IF(Table13[[#This Row],[Quantity]]&lt;=3,"Small",IF(Table13[[#This Row],[Quantity]]&lt;=6,"Medium","Bulk"))</f>
        <v>Medium</v>
      </c>
      <c r="T23" s="18" t="str">
        <f t="shared" si="5"/>
        <v>Normal</v>
      </c>
      <c r="U23" s="18" t="str">
        <f t="shared" si="6"/>
        <v>High Value</v>
      </c>
    </row>
    <row r="24" spans="1:21" x14ac:dyDescent="0.3">
      <c r="A24" t="s">
        <v>32</v>
      </c>
      <c r="B24" s="1">
        <v>45221</v>
      </c>
      <c r="C24" t="s">
        <v>1211</v>
      </c>
      <c r="D24" t="s">
        <v>1214</v>
      </c>
      <c r="E24" t="s">
        <v>1221</v>
      </c>
      <c r="F24" t="s">
        <v>1231</v>
      </c>
      <c r="G24" s="6">
        <v>1</v>
      </c>
      <c r="H24">
        <v>4859</v>
      </c>
      <c r="I24">
        <v>4859</v>
      </c>
      <c r="J24" s="2">
        <v>592.65</v>
      </c>
      <c r="K24" s="16">
        <f>Table13[[#This Row],[Profit]]/Table13[[#This Row],[Sales]]</f>
        <v>0.12196954105783082</v>
      </c>
      <c r="L24" s="17" t="str">
        <f t="shared" si="0"/>
        <v>Low</v>
      </c>
      <c r="M24" s="17" t="str">
        <f t="shared" si="1"/>
        <v>Oct</v>
      </c>
      <c r="N24" s="18">
        <f>YEAR(Table13[[#This Row],[Order_Date]])</f>
        <v>2023</v>
      </c>
      <c r="O24" s="18">
        <f>Table13[[#This Row],[Price]]*0.7</f>
        <v>3401.2999999999997</v>
      </c>
      <c r="P24" s="18">
        <f t="shared" si="2"/>
        <v>1457.7000000000003</v>
      </c>
      <c r="Q24" s="18">
        <f t="shared" si="3"/>
        <v>0.05</v>
      </c>
      <c r="R24" s="18">
        <f t="shared" si="4"/>
        <v>4266.3499999999995</v>
      </c>
      <c r="S24" s="18" t="str">
        <f>IF(Table13[[#This Row],[Quantity]]&lt;=3,"Small",IF(Table13[[#This Row],[Quantity]]&lt;=6,"Medium","Bulk"))</f>
        <v>Small</v>
      </c>
      <c r="T24" s="18" t="str">
        <f t="shared" si="5"/>
        <v>Normal</v>
      </c>
      <c r="U24" s="18" t="str">
        <f t="shared" si="6"/>
        <v>low Value</v>
      </c>
    </row>
    <row r="25" spans="1:21" x14ac:dyDescent="0.3">
      <c r="A25" t="s">
        <v>33</v>
      </c>
      <c r="B25" s="1">
        <v>45039</v>
      </c>
      <c r="C25" t="s">
        <v>1211</v>
      </c>
      <c r="D25" t="s">
        <v>1217</v>
      </c>
      <c r="E25" t="s">
        <v>1222</v>
      </c>
      <c r="F25" t="s">
        <v>1234</v>
      </c>
      <c r="G25" s="6">
        <v>1</v>
      </c>
      <c r="H25">
        <v>3199</v>
      </c>
      <c r="I25">
        <v>3199</v>
      </c>
      <c r="J25" s="2">
        <v>275.98</v>
      </c>
      <c r="K25" s="16">
        <f>Table13[[#This Row],[Profit]]/Table13[[#This Row],[Sales]]</f>
        <v>8.6270709596748985E-2</v>
      </c>
      <c r="L25" s="17" t="str">
        <f t="shared" si="0"/>
        <v>Low</v>
      </c>
      <c r="M25" s="17" t="str">
        <f t="shared" si="1"/>
        <v>Apr</v>
      </c>
      <c r="N25" s="18">
        <f>YEAR(Table13[[#This Row],[Order_Date]])</f>
        <v>2023</v>
      </c>
      <c r="O25" s="18">
        <f>Table13[[#This Row],[Price]]*0.7</f>
        <v>2239.2999999999997</v>
      </c>
      <c r="P25" s="18">
        <f t="shared" si="2"/>
        <v>959.70000000000027</v>
      </c>
      <c r="Q25" s="18">
        <f t="shared" si="3"/>
        <v>0.05</v>
      </c>
      <c r="R25" s="18">
        <f t="shared" si="4"/>
        <v>2923.02</v>
      </c>
      <c r="S25" s="18" t="str">
        <f>IF(Table13[[#This Row],[Quantity]]&lt;=3,"Small",IF(Table13[[#This Row],[Quantity]]&lt;=6,"Medium","Bulk"))</f>
        <v>Small</v>
      </c>
      <c r="T25" s="18" t="str">
        <f t="shared" si="5"/>
        <v>Normal</v>
      </c>
      <c r="U25" s="18" t="str">
        <f t="shared" si="6"/>
        <v>low Value</v>
      </c>
    </row>
    <row r="26" spans="1:21" x14ac:dyDescent="0.3">
      <c r="A26" t="s">
        <v>34</v>
      </c>
      <c r="B26" s="1">
        <v>44979</v>
      </c>
      <c r="C26" t="s">
        <v>1213</v>
      </c>
      <c r="D26" t="s">
        <v>1217</v>
      </c>
      <c r="E26" t="s">
        <v>1221</v>
      </c>
      <c r="F26" t="s">
        <v>1229</v>
      </c>
      <c r="G26" s="6">
        <v>7</v>
      </c>
      <c r="H26">
        <v>3674</v>
      </c>
      <c r="I26">
        <v>25718</v>
      </c>
      <c r="J26" s="2">
        <v>5033.53</v>
      </c>
      <c r="K26" s="16">
        <f>Table13[[#This Row],[Profit]]/Table13[[#This Row],[Sales]]</f>
        <v>0.19572011820514815</v>
      </c>
      <c r="L26" s="17" t="str">
        <f t="shared" si="0"/>
        <v>High</v>
      </c>
      <c r="M26" s="17" t="str">
        <f t="shared" si="1"/>
        <v>Feb</v>
      </c>
      <c r="N26" s="18">
        <f>YEAR(Table13[[#This Row],[Order_Date]])</f>
        <v>2023</v>
      </c>
      <c r="O26" s="18">
        <f>Table13[[#This Row],[Price]]*0.7</f>
        <v>2571.7999999999997</v>
      </c>
      <c r="P26" s="18">
        <f t="shared" si="2"/>
        <v>7715.4000000000015</v>
      </c>
      <c r="Q26" s="18">
        <f t="shared" si="3"/>
        <v>0.1</v>
      </c>
      <c r="R26" s="18">
        <f t="shared" si="4"/>
        <v>20684.47</v>
      </c>
      <c r="S26" s="18" t="str">
        <f>IF(Table13[[#This Row],[Quantity]]&lt;=3,"Small",IF(Table13[[#This Row],[Quantity]]&lt;=6,"Medium","Bulk"))</f>
        <v>Bulk</v>
      </c>
      <c r="T26" s="18" t="str">
        <f t="shared" si="5"/>
        <v>Normal</v>
      </c>
      <c r="U26" s="18" t="str">
        <f t="shared" si="6"/>
        <v>High Value</v>
      </c>
    </row>
    <row r="27" spans="1:21" x14ac:dyDescent="0.3">
      <c r="A27" t="s">
        <v>35</v>
      </c>
      <c r="B27" s="1">
        <v>45049</v>
      </c>
      <c r="C27" t="s">
        <v>1212</v>
      </c>
      <c r="D27" t="s">
        <v>1215</v>
      </c>
      <c r="E27" t="s">
        <v>1221</v>
      </c>
      <c r="F27" t="s">
        <v>1229</v>
      </c>
      <c r="G27" s="6">
        <v>7</v>
      </c>
      <c r="H27">
        <v>3710</v>
      </c>
      <c r="I27">
        <v>25970</v>
      </c>
      <c r="J27" s="2">
        <v>5440.07</v>
      </c>
      <c r="K27" s="16">
        <f>Table13[[#This Row],[Profit]]/Table13[[#This Row],[Sales]]</f>
        <v>0.20947516365036581</v>
      </c>
      <c r="L27" s="17" t="str">
        <f t="shared" si="0"/>
        <v>High</v>
      </c>
      <c r="M27" s="17" t="str">
        <f t="shared" si="1"/>
        <v>May</v>
      </c>
      <c r="N27" s="18">
        <f>YEAR(Table13[[#This Row],[Order_Date]])</f>
        <v>2023</v>
      </c>
      <c r="O27" s="18">
        <f>Table13[[#This Row],[Price]]*0.7</f>
        <v>2597</v>
      </c>
      <c r="P27" s="18">
        <f t="shared" si="2"/>
        <v>7791</v>
      </c>
      <c r="Q27" s="18">
        <f t="shared" si="3"/>
        <v>0.1</v>
      </c>
      <c r="R27" s="18">
        <f t="shared" si="4"/>
        <v>20529.93</v>
      </c>
      <c r="S27" s="18" t="str">
        <f>IF(Table13[[#This Row],[Quantity]]&lt;=3,"Small",IF(Table13[[#This Row],[Quantity]]&lt;=6,"Medium","Bulk"))</f>
        <v>Bulk</v>
      </c>
      <c r="T27" s="18" t="str">
        <f t="shared" si="5"/>
        <v>High Demand</v>
      </c>
      <c r="U27" s="18" t="str">
        <f t="shared" si="6"/>
        <v>High Value</v>
      </c>
    </row>
    <row r="28" spans="1:21" x14ac:dyDescent="0.3">
      <c r="A28" t="s">
        <v>36</v>
      </c>
      <c r="B28" s="1">
        <v>45070</v>
      </c>
      <c r="C28" t="s">
        <v>1212</v>
      </c>
      <c r="D28" t="s">
        <v>1218</v>
      </c>
      <c r="E28" t="s">
        <v>1221</v>
      </c>
      <c r="F28" t="s">
        <v>1229</v>
      </c>
      <c r="G28" s="6">
        <v>6</v>
      </c>
      <c r="H28">
        <v>2130</v>
      </c>
      <c r="I28">
        <v>12780</v>
      </c>
      <c r="J28" s="2">
        <v>2796.18</v>
      </c>
      <c r="K28" s="16">
        <f>Table13[[#This Row],[Profit]]/Table13[[#This Row],[Sales]]</f>
        <v>0.21879342723004694</v>
      </c>
      <c r="L28" s="17" t="str">
        <f t="shared" si="0"/>
        <v>Medium</v>
      </c>
      <c r="M28" s="17" t="str">
        <f t="shared" si="1"/>
        <v>May</v>
      </c>
      <c r="N28" s="18">
        <f>YEAR(Table13[[#This Row],[Order_Date]])</f>
        <v>2023</v>
      </c>
      <c r="O28" s="18">
        <f>Table13[[#This Row],[Price]]*0.7</f>
        <v>1491</v>
      </c>
      <c r="P28" s="18">
        <f t="shared" si="2"/>
        <v>3834</v>
      </c>
      <c r="Q28" s="18">
        <f t="shared" si="3"/>
        <v>0.1</v>
      </c>
      <c r="R28" s="18">
        <f t="shared" si="4"/>
        <v>9983.82</v>
      </c>
      <c r="S28" s="18" t="str">
        <f>IF(Table13[[#This Row],[Quantity]]&lt;=3,"Small",IF(Table13[[#This Row],[Quantity]]&lt;=6,"Medium","Bulk"))</f>
        <v>Medium</v>
      </c>
      <c r="T28" s="18" t="str">
        <f t="shared" si="5"/>
        <v>High Demand</v>
      </c>
      <c r="U28" s="18" t="str">
        <f t="shared" si="6"/>
        <v>Medium Value</v>
      </c>
    </row>
    <row r="29" spans="1:21" x14ac:dyDescent="0.3">
      <c r="A29" t="s">
        <v>37</v>
      </c>
      <c r="B29" s="1">
        <v>45074</v>
      </c>
      <c r="C29" t="s">
        <v>1213</v>
      </c>
      <c r="D29" t="s">
        <v>1214</v>
      </c>
      <c r="E29" t="s">
        <v>1221</v>
      </c>
      <c r="F29" t="s">
        <v>1235</v>
      </c>
      <c r="G29" s="6">
        <v>6</v>
      </c>
      <c r="H29">
        <v>2711</v>
      </c>
      <c r="I29">
        <v>16266</v>
      </c>
      <c r="J29" s="2">
        <v>1414.03</v>
      </c>
      <c r="K29" s="16">
        <f>Table13[[#This Row],[Profit]]/Table13[[#This Row],[Sales]]</f>
        <v>8.6931636542481247E-2</v>
      </c>
      <c r="L29" s="17" t="str">
        <f t="shared" si="0"/>
        <v>Medium</v>
      </c>
      <c r="M29" s="17" t="str">
        <f t="shared" si="1"/>
        <v>May</v>
      </c>
      <c r="N29" s="18">
        <f>YEAR(Table13[[#This Row],[Order_Date]])</f>
        <v>2023</v>
      </c>
      <c r="O29" s="18">
        <f>Table13[[#This Row],[Price]]*0.7</f>
        <v>1897.6999999999998</v>
      </c>
      <c r="P29" s="18">
        <f t="shared" si="2"/>
        <v>4879.8000000000011</v>
      </c>
      <c r="Q29" s="18">
        <f t="shared" si="3"/>
        <v>0.1</v>
      </c>
      <c r="R29" s="18">
        <f t="shared" si="4"/>
        <v>14851.97</v>
      </c>
      <c r="S29" s="18" t="str">
        <f>IF(Table13[[#This Row],[Quantity]]&lt;=3,"Small",IF(Table13[[#This Row],[Quantity]]&lt;=6,"Medium","Bulk"))</f>
        <v>Medium</v>
      </c>
      <c r="T29" s="18" t="str">
        <f t="shared" si="5"/>
        <v>Normal</v>
      </c>
      <c r="U29" s="18" t="str">
        <f t="shared" si="6"/>
        <v>Medium Value</v>
      </c>
    </row>
    <row r="30" spans="1:21" x14ac:dyDescent="0.3">
      <c r="A30" t="s">
        <v>38</v>
      </c>
      <c r="B30" s="1">
        <v>45125</v>
      </c>
      <c r="C30" t="s">
        <v>1213</v>
      </c>
      <c r="D30" t="s">
        <v>1218</v>
      </c>
      <c r="E30" t="s">
        <v>1221</v>
      </c>
      <c r="F30" t="s">
        <v>1235</v>
      </c>
      <c r="G30" s="6">
        <v>3</v>
      </c>
      <c r="H30">
        <v>346</v>
      </c>
      <c r="I30">
        <v>1038</v>
      </c>
      <c r="J30" s="2">
        <v>144.57</v>
      </c>
      <c r="K30" s="16">
        <f>Table13[[#This Row],[Profit]]/Table13[[#This Row],[Sales]]</f>
        <v>0.13927745664739885</v>
      </c>
      <c r="L30" s="17" t="str">
        <f t="shared" si="0"/>
        <v>Low</v>
      </c>
      <c r="M30" s="17" t="str">
        <f t="shared" si="1"/>
        <v>Jul</v>
      </c>
      <c r="N30" s="18">
        <f>YEAR(Table13[[#This Row],[Order_Date]])</f>
        <v>2023</v>
      </c>
      <c r="O30" s="18">
        <f>Table13[[#This Row],[Price]]*0.7</f>
        <v>242.2</v>
      </c>
      <c r="P30" s="18">
        <f t="shared" si="2"/>
        <v>311.40000000000009</v>
      </c>
      <c r="Q30" s="18">
        <f t="shared" si="3"/>
        <v>0.05</v>
      </c>
      <c r="R30" s="18">
        <f t="shared" si="4"/>
        <v>893.43</v>
      </c>
      <c r="S30" s="18" t="str">
        <f>IF(Table13[[#This Row],[Quantity]]&lt;=3,"Small",IF(Table13[[#This Row],[Quantity]]&lt;=6,"Medium","Bulk"))</f>
        <v>Small</v>
      </c>
      <c r="T30" s="18" t="str">
        <f t="shared" si="5"/>
        <v>Normal</v>
      </c>
      <c r="U30" s="18" t="str">
        <f t="shared" si="6"/>
        <v>low Value</v>
      </c>
    </row>
    <row r="31" spans="1:21" x14ac:dyDescent="0.3">
      <c r="A31" t="s">
        <v>39</v>
      </c>
      <c r="B31" s="1">
        <v>45193</v>
      </c>
      <c r="C31" t="s">
        <v>1213</v>
      </c>
      <c r="D31" t="s">
        <v>1218</v>
      </c>
      <c r="E31" t="s">
        <v>1222</v>
      </c>
      <c r="F31" t="s">
        <v>1236</v>
      </c>
      <c r="G31" s="6">
        <v>7</v>
      </c>
      <c r="H31">
        <v>2585</v>
      </c>
      <c r="I31">
        <v>18095</v>
      </c>
      <c r="J31" s="2">
        <v>4024.52</v>
      </c>
      <c r="K31" s="16">
        <f>Table13[[#This Row],[Profit]]/Table13[[#This Row],[Sales]]</f>
        <v>0.22241061066592982</v>
      </c>
      <c r="L31" s="17" t="str">
        <f t="shared" si="0"/>
        <v>Medium</v>
      </c>
      <c r="M31" s="17" t="str">
        <f t="shared" si="1"/>
        <v>Sep</v>
      </c>
      <c r="N31" s="18">
        <f>YEAR(Table13[[#This Row],[Order_Date]])</f>
        <v>2023</v>
      </c>
      <c r="O31" s="18">
        <f>Table13[[#This Row],[Price]]*0.7</f>
        <v>1809.4999999999998</v>
      </c>
      <c r="P31" s="18">
        <f t="shared" si="2"/>
        <v>5428.5000000000018</v>
      </c>
      <c r="Q31" s="18">
        <f t="shared" si="3"/>
        <v>0.1</v>
      </c>
      <c r="R31" s="18">
        <f t="shared" si="4"/>
        <v>14070.48</v>
      </c>
      <c r="S31" s="18" t="str">
        <f>IF(Table13[[#This Row],[Quantity]]&lt;=3,"Small",IF(Table13[[#This Row],[Quantity]]&lt;=6,"Medium","Bulk"))</f>
        <v>Bulk</v>
      </c>
      <c r="T31" s="18" t="str">
        <f t="shared" si="5"/>
        <v>Normal</v>
      </c>
      <c r="U31" s="18" t="str">
        <f t="shared" si="6"/>
        <v>Medium Value</v>
      </c>
    </row>
    <row r="32" spans="1:21" x14ac:dyDescent="0.3">
      <c r="A32" t="s">
        <v>40</v>
      </c>
      <c r="B32" s="1">
        <v>45189</v>
      </c>
      <c r="C32" t="s">
        <v>1213</v>
      </c>
      <c r="D32" t="s">
        <v>1217</v>
      </c>
      <c r="E32" t="s">
        <v>1222</v>
      </c>
      <c r="F32" t="s">
        <v>1230</v>
      </c>
      <c r="G32" s="6">
        <v>7</v>
      </c>
      <c r="H32">
        <v>4261</v>
      </c>
      <c r="I32">
        <v>29827</v>
      </c>
      <c r="J32" s="2">
        <v>5914.2</v>
      </c>
      <c r="K32" s="16">
        <f>Table13[[#This Row],[Profit]]/Table13[[#This Row],[Sales]]</f>
        <v>0.19828343447212257</v>
      </c>
      <c r="L32" s="17" t="str">
        <f t="shared" si="0"/>
        <v>High</v>
      </c>
      <c r="M32" s="17" t="str">
        <f t="shared" si="1"/>
        <v>Sep</v>
      </c>
      <c r="N32" s="18">
        <f>YEAR(Table13[[#This Row],[Order_Date]])</f>
        <v>2023</v>
      </c>
      <c r="O32" s="18">
        <f>Table13[[#This Row],[Price]]*0.7</f>
        <v>2982.7</v>
      </c>
      <c r="P32" s="18">
        <f t="shared" si="2"/>
        <v>8948.1000000000022</v>
      </c>
      <c r="Q32" s="18">
        <f t="shared" si="3"/>
        <v>0.1</v>
      </c>
      <c r="R32" s="18">
        <f t="shared" si="4"/>
        <v>23912.799999999999</v>
      </c>
      <c r="S32" s="18" t="str">
        <f>IF(Table13[[#This Row],[Quantity]]&lt;=3,"Small",IF(Table13[[#This Row],[Quantity]]&lt;=6,"Medium","Bulk"))</f>
        <v>Bulk</v>
      </c>
      <c r="T32" s="18" t="str">
        <f t="shared" si="5"/>
        <v>Normal</v>
      </c>
      <c r="U32" s="18" t="str">
        <f t="shared" si="6"/>
        <v>High Value</v>
      </c>
    </row>
    <row r="33" spans="1:21" x14ac:dyDescent="0.3">
      <c r="A33" t="s">
        <v>41</v>
      </c>
      <c r="B33" s="1">
        <v>45230</v>
      </c>
      <c r="C33" t="s">
        <v>1211</v>
      </c>
      <c r="D33" t="s">
        <v>1216</v>
      </c>
      <c r="E33" t="s">
        <v>1221</v>
      </c>
      <c r="F33" t="s">
        <v>1231</v>
      </c>
      <c r="G33" s="6">
        <v>4</v>
      </c>
      <c r="H33">
        <v>3843</v>
      </c>
      <c r="I33">
        <v>15372</v>
      </c>
      <c r="J33" s="2">
        <v>1911.37</v>
      </c>
      <c r="K33" s="16">
        <f>Table13[[#This Row],[Profit]]/Table13[[#This Row],[Sales]]</f>
        <v>0.12434100962789486</v>
      </c>
      <c r="L33" s="17" t="str">
        <f t="shared" si="0"/>
        <v>Medium</v>
      </c>
      <c r="M33" s="17" t="str">
        <f t="shared" si="1"/>
        <v>Oct</v>
      </c>
      <c r="N33" s="18">
        <f>YEAR(Table13[[#This Row],[Order_Date]])</f>
        <v>2023</v>
      </c>
      <c r="O33" s="18">
        <f>Table13[[#This Row],[Price]]*0.7</f>
        <v>2690.1</v>
      </c>
      <c r="P33" s="18">
        <f t="shared" si="2"/>
        <v>4611.6000000000004</v>
      </c>
      <c r="Q33" s="18">
        <f t="shared" si="3"/>
        <v>0.05</v>
      </c>
      <c r="R33" s="18">
        <f t="shared" si="4"/>
        <v>13460.630000000001</v>
      </c>
      <c r="S33" s="18" t="str">
        <f>IF(Table13[[#This Row],[Quantity]]&lt;=3,"Small",IF(Table13[[#This Row],[Quantity]]&lt;=6,"Medium","Bulk"))</f>
        <v>Medium</v>
      </c>
      <c r="T33" s="18" t="str">
        <f t="shared" si="5"/>
        <v>Normal</v>
      </c>
      <c r="U33" s="18" t="str">
        <f t="shared" si="6"/>
        <v>Medium Value</v>
      </c>
    </row>
    <row r="34" spans="1:21" x14ac:dyDescent="0.3">
      <c r="A34" t="s">
        <v>42</v>
      </c>
      <c r="B34" s="1">
        <v>45073</v>
      </c>
      <c r="C34" t="s">
        <v>1213</v>
      </c>
      <c r="D34" t="s">
        <v>1214</v>
      </c>
      <c r="E34" t="s">
        <v>1222</v>
      </c>
      <c r="F34" t="s">
        <v>1239</v>
      </c>
      <c r="G34" s="6">
        <v>7</v>
      </c>
      <c r="H34">
        <v>2256</v>
      </c>
      <c r="I34">
        <v>15792</v>
      </c>
      <c r="J34" s="2">
        <v>2012.03</v>
      </c>
      <c r="K34" s="16">
        <f>Table13[[#This Row],[Profit]]/Table13[[#This Row],[Sales]]</f>
        <v>0.12740818135764945</v>
      </c>
      <c r="L34" s="17" t="str">
        <f t="shared" si="0"/>
        <v>Medium</v>
      </c>
      <c r="M34" s="17" t="str">
        <f t="shared" si="1"/>
        <v>May</v>
      </c>
      <c r="N34" s="18">
        <f>YEAR(Table13[[#This Row],[Order_Date]])</f>
        <v>2023</v>
      </c>
      <c r="O34" s="18">
        <f>Table13[[#This Row],[Price]]*0.7</f>
        <v>1579.1999999999998</v>
      </c>
      <c r="P34" s="18">
        <f t="shared" si="2"/>
        <v>4737.6000000000022</v>
      </c>
      <c r="Q34" s="18">
        <f t="shared" si="3"/>
        <v>0.1</v>
      </c>
      <c r="R34" s="18">
        <f t="shared" si="4"/>
        <v>13779.970000000001</v>
      </c>
      <c r="S34" s="18" t="str">
        <f>IF(Table13[[#This Row],[Quantity]]&lt;=3,"Small",IF(Table13[[#This Row],[Quantity]]&lt;=6,"Medium","Bulk"))</f>
        <v>Bulk</v>
      </c>
      <c r="T34" s="18" t="str">
        <f t="shared" si="5"/>
        <v>Normal</v>
      </c>
      <c r="U34" s="18" t="str">
        <f t="shared" si="6"/>
        <v>Medium Value</v>
      </c>
    </row>
    <row r="35" spans="1:21" x14ac:dyDescent="0.3">
      <c r="A35" t="s">
        <v>43</v>
      </c>
      <c r="B35" s="1">
        <v>45042</v>
      </c>
      <c r="C35" t="s">
        <v>1210</v>
      </c>
      <c r="D35" t="s">
        <v>1218</v>
      </c>
      <c r="E35" t="s">
        <v>1221</v>
      </c>
      <c r="F35" t="s">
        <v>1226</v>
      </c>
      <c r="G35" s="6">
        <v>6</v>
      </c>
      <c r="H35">
        <v>3391</v>
      </c>
      <c r="I35">
        <v>20346</v>
      </c>
      <c r="J35" s="2">
        <v>4698.32</v>
      </c>
      <c r="K35" s="16">
        <f>Table13[[#This Row],[Profit]]/Table13[[#This Row],[Sales]]</f>
        <v>0.23092106556571315</v>
      </c>
      <c r="L35" s="17" t="str">
        <f t="shared" si="0"/>
        <v>High</v>
      </c>
      <c r="M35" s="17" t="str">
        <f t="shared" si="1"/>
        <v>Apr</v>
      </c>
      <c r="N35" s="18">
        <f>YEAR(Table13[[#This Row],[Order_Date]])</f>
        <v>2023</v>
      </c>
      <c r="O35" s="18">
        <f>Table13[[#This Row],[Price]]*0.7</f>
        <v>2373.6999999999998</v>
      </c>
      <c r="P35" s="18">
        <f t="shared" si="2"/>
        <v>6103.8000000000011</v>
      </c>
      <c r="Q35" s="18">
        <f t="shared" si="3"/>
        <v>0.1</v>
      </c>
      <c r="R35" s="18">
        <f t="shared" si="4"/>
        <v>15647.68</v>
      </c>
      <c r="S35" s="18" t="str">
        <f>IF(Table13[[#This Row],[Quantity]]&lt;=3,"Small",IF(Table13[[#This Row],[Quantity]]&lt;=6,"Medium","Bulk"))</f>
        <v>Medium</v>
      </c>
      <c r="T35" s="18" t="str">
        <f t="shared" si="5"/>
        <v>Normal</v>
      </c>
      <c r="U35" s="18" t="str">
        <f t="shared" si="6"/>
        <v>High Value</v>
      </c>
    </row>
    <row r="36" spans="1:21" x14ac:dyDescent="0.3">
      <c r="A36" t="s">
        <v>44</v>
      </c>
      <c r="B36" s="1">
        <v>45153</v>
      </c>
      <c r="C36" t="s">
        <v>1213</v>
      </c>
      <c r="D36" t="s">
        <v>1239</v>
      </c>
      <c r="E36" t="s">
        <v>1221</v>
      </c>
      <c r="F36" t="s">
        <v>1226</v>
      </c>
      <c r="G36" s="6">
        <v>6</v>
      </c>
      <c r="H36">
        <v>4399</v>
      </c>
      <c r="I36">
        <v>26394</v>
      </c>
      <c r="J36" s="2">
        <v>4832.5600000000004</v>
      </c>
      <c r="K36" s="16">
        <f>Table13[[#This Row],[Profit]]/Table13[[#This Row],[Sales]]</f>
        <v>0.18309312722588469</v>
      </c>
      <c r="L36" s="17" t="str">
        <f t="shared" si="0"/>
        <v>High</v>
      </c>
      <c r="M36" s="17" t="str">
        <f t="shared" si="1"/>
        <v>Aug</v>
      </c>
      <c r="N36" s="18">
        <f>YEAR(Table13[[#This Row],[Order_Date]])</f>
        <v>2023</v>
      </c>
      <c r="O36" s="18">
        <f>Table13[[#This Row],[Price]]*0.7</f>
        <v>3079.2999999999997</v>
      </c>
      <c r="P36" s="18">
        <f t="shared" si="2"/>
        <v>7918.2000000000007</v>
      </c>
      <c r="Q36" s="18">
        <f t="shared" si="3"/>
        <v>0.1</v>
      </c>
      <c r="R36" s="18">
        <f t="shared" si="4"/>
        <v>21561.439999999999</v>
      </c>
      <c r="S36" s="18" t="str">
        <f>IF(Table13[[#This Row],[Quantity]]&lt;=3,"Small",IF(Table13[[#This Row],[Quantity]]&lt;=6,"Medium","Bulk"))</f>
        <v>Medium</v>
      </c>
      <c r="T36" s="18" t="str">
        <f t="shared" si="5"/>
        <v>Normal</v>
      </c>
      <c r="U36" s="18" t="str">
        <f t="shared" si="6"/>
        <v>High Value</v>
      </c>
    </row>
    <row r="37" spans="1:21" x14ac:dyDescent="0.3">
      <c r="A37" t="s">
        <v>45</v>
      </c>
      <c r="B37" s="1">
        <v>45089</v>
      </c>
      <c r="C37" t="s">
        <v>1213</v>
      </c>
      <c r="D37" t="s">
        <v>1215</v>
      </c>
      <c r="E37" t="s">
        <v>1219</v>
      </c>
      <c r="F37" t="s">
        <v>1232</v>
      </c>
      <c r="G37" s="6">
        <v>2</v>
      </c>
      <c r="H37">
        <v>4633</v>
      </c>
      <c r="I37">
        <v>9266</v>
      </c>
      <c r="J37" s="2">
        <v>1506.23</v>
      </c>
      <c r="K37" s="16">
        <f>Table13[[#This Row],[Profit]]/Table13[[#This Row],[Sales]]</f>
        <v>0.16255450032376431</v>
      </c>
      <c r="L37" s="17" t="str">
        <f t="shared" si="0"/>
        <v>Low</v>
      </c>
      <c r="M37" s="17" t="str">
        <f t="shared" si="1"/>
        <v>Jun</v>
      </c>
      <c r="N37" s="18">
        <f>YEAR(Table13[[#This Row],[Order_Date]])</f>
        <v>2023</v>
      </c>
      <c r="O37" s="18">
        <f>Table13[[#This Row],[Price]]*0.7</f>
        <v>3243.1</v>
      </c>
      <c r="P37" s="18">
        <f t="shared" si="2"/>
        <v>2779.8</v>
      </c>
      <c r="Q37" s="18">
        <f t="shared" si="3"/>
        <v>0.05</v>
      </c>
      <c r="R37" s="18">
        <f t="shared" si="4"/>
        <v>7759.77</v>
      </c>
      <c r="S37" s="18" t="str">
        <f>IF(Table13[[#This Row],[Quantity]]&lt;=3,"Small",IF(Table13[[#This Row],[Quantity]]&lt;=6,"Medium","Bulk"))</f>
        <v>Small</v>
      </c>
      <c r="T37" s="18" t="str">
        <f t="shared" si="5"/>
        <v>Normal</v>
      </c>
      <c r="U37" s="18" t="str">
        <f t="shared" si="6"/>
        <v>low Value</v>
      </c>
    </row>
    <row r="38" spans="1:21" x14ac:dyDescent="0.3">
      <c r="A38" t="s">
        <v>46</v>
      </c>
      <c r="B38" s="1">
        <v>45061</v>
      </c>
      <c r="C38" t="s">
        <v>1210</v>
      </c>
      <c r="D38" t="s">
        <v>1218</v>
      </c>
      <c r="E38" t="s">
        <v>1222</v>
      </c>
      <c r="F38" t="s">
        <v>1236</v>
      </c>
      <c r="G38" s="6">
        <v>1</v>
      </c>
      <c r="H38">
        <v>4693</v>
      </c>
      <c r="I38">
        <v>4693</v>
      </c>
      <c r="J38" s="2">
        <v>635.04999999999995</v>
      </c>
      <c r="K38" s="16">
        <f>Table13[[#This Row],[Profit]]/Table13[[#This Row],[Sales]]</f>
        <v>0.13531855955678671</v>
      </c>
      <c r="L38" s="17" t="str">
        <f t="shared" si="0"/>
        <v>Low</v>
      </c>
      <c r="M38" s="17" t="str">
        <f t="shared" si="1"/>
        <v>May</v>
      </c>
      <c r="N38" s="18">
        <f>YEAR(Table13[[#This Row],[Order_Date]])</f>
        <v>2023</v>
      </c>
      <c r="O38" s="18">
        <f>Table13[[#This Row],[Price]]*0.7</f>
        <v>3285.1</v>
      </c>
      <c r="P38" s="18">
        <f t="shared" si="2"/>
        <v>1407.9</v>
      </c>
      <c r="Q38" s="18">
        <f t="shared" si="3"/>
        <v>0.05</v>
      </c>
      <c r="R38" s="18">
        <f t="shared" si="4"/>
        <v>4057.95</v>
      </c>
      <c r="S38" s="18" t="str">
        <f>IF(Table13[[#This Row],[Quantity]]&lt;=3,"Small",IF(Table13[[#This Row],[Quantity]]&lt;=6,"Medium","Bulk"))</f>
        <v>Small</v>
      </c>
      <c r="T38" s="18" t="str">
        <f t="shared" si="5"/>
        <v>Normal</v>
      </c>
      <c r="U38" s="18" t="str">
        <f t="shared" si="6"/>
        <v>low Value</v>
      </c>
    </row>
    <row r="39" spans="1:21" x14ac:dyDescent="0.3">
      <c r="A39" t="s">
        <v>47</v>
      </c>
      <c r="B39" s="1">
        <v>45164</v>
      </c>
      <c r="C39" t="s">
        <v>1211</v>
      </c>
      <c r="D39" t="s">
        <v>1215</v>
      </c>
      <c r="E39" t="s">
        <v>1221</v>
      </c>
      <c r="F39" t="s">
        <v>1231</v>
      </c>
      <c r="G39" s="6">
        <v>3</v>
      </c>
      <c r="H39">
        <v>4765</v>
      </c>
      <c r="I39">
        <v>14295</v>
      </c>
      <c r="J39" s="2">
        <v>1788.08</v>
      </c>
      <c r="K39" s="16">
        <f>Table13[[#This Row],[Profit]]/Table13[[#This Row],[Sales]]</f>
        <v>0.12508429520811473</v>
      </c>
      <c r="L39" s="17" t="str">
        <f t="shared" si="0"/>
        <v>Medium</v>
      </c>
      <c r="M39" s="17" t="str">
        <f t="shared" si="1"/>
        <v>Aug</v>
      </c>
      <c r="N39" s="18">
        <f>YEAR(Table13[[#This Row],[Order_Date]])</f>
        <v>2023</v>
      </c>
      <c r="O39" s="18">
        <f>Table13[[#This Row],[Price]]*0.7</f>
        <v>3335.5</v>
      </c>
      <c r="P39" s="18">
        <f t="shared" si="2"/>
        <v>4288.5</v>
      </c>
      <c r="Q39" s="18">
        <f t="shared" si="3"/>
        <v>0.05</v>
      </c>
      <c r="R39" s="18">
        <f t="shared" si="4"/>
        <v>12506.92</v>
      </c>
      <c r="S39" s="18" t="str">
        <f>IF(Table13[[#This Row],[Quantity]]&lt;=3,"Small",IF(Table13[[#This Row],[Quantity]]&lt;=6,"Medium","Bulk"))</f>
        <v>Small</v>
      </c>
      <c r="T39" s="18" t="str">
        <f t="shared" si="5"/>
        <v>Normal</v>
      </c>
      <c r="U39" s="18" t="str">
        <f t="shared" si="6"/>
        <v>Medium Value</v>
      </c>
    </row>
    <row r="40" spans="1:21" x14ac:dyDescent="0.3">
      <c r="A40" t="s">
        <v>48</v>
      </c>
      <c r="B40" s="1">
        <v>45203</v>
      </c>
      <c r="C40" t="s">
        <v>1211</v>
      </c>
      <c r="D40" t="s">
        <v>1218</v>
      </c>
      <c r="E40" t="s">
        <v>1219</v>
      </c>
      <c r="F40" t="s">
        <v>1233</v>
      </c>
      <c r="G40" s="6">
        <v>8</v>
      </c>
      <c r="H40">
        <v>3554</v>
      </c>
      <c r="I40">
        <v>28432</v>
      </c>
      <c r="J40" s="2">
        <v>4374.18</v>
      </c>
      <c r="K40" s="16">
        <f>Table13[[#This Row],[Profit]]/Table13[[#This Row],[Sales]]</f>
        <v>0.1538470737197524</v>
      </c>
      <c r="L40" s="17" t="str">
        <f t="shared" si="0"/>
        <v>High</v>
      </c>
      <c r="M40" s="17" t="str">
        <f t="shared" si="1"/>
        <v>Oct</v>
      </c>
      <c r="N40" s="18">
        <f>YEAR(Table13[[#This Row],[Order_Date]])</f>
        <v>2023</v>
      </c>
      <c r="O40" s="18">
        <f>Table13[[#This Row],[Price]]*0.7</f>
        <v>2487.7999999999997</v>
      </c>
      <c r="P40" s="18">
        <f t="shared" si="2"/>
        <v>8529.6000000000022</v>
      </c>
      <c r="Q40" s="18">
        <f t="shared" si="3"/>
        <v>0.1</v>
      </c>
      <c r="R40" s="18">
        <f t="shared" si="4"/>
        <v>24057.82</v>
      </c>
      <c r="S40" s="18" t="str">
        <f>IF(Table13[[#This Row],[Quantity]]&lt;=3,"Small",IF(Table13[[#This Row],[Quantity]]&lt;=6,"Medium","Bulk"))</f>
        <v>Bulk</v>
      </c>
      <c r="T40" s="18" t="str">
        <f t="shared" si="5"/>
        <v>Normal</v>
      </c>
      <c r="U40" s="18" t="str">
        <f t="shared" si="6"/>
        <v>High Value</v>
      </c>
    </row>
    <row r="41" spans="1:21" x14ac:dyDescent="0.3">
      <c r="A41" t="s">
        <v>49</v>
      </c>
      <c r="B41" s="1">
        <v>45230</v>
      </c>
      <c r="C41" t="s">
        <v>1210</v>
      </c>
      <c r="D41" t="s">
        <v>1216</v>
      </c>
      <c r="E41" t="s">
        <v>1221</v>
      </c>
      <c r="F41" t="s">
        <v>1235</v>
      </c>
      <c r="G41" s="6">
        <v>1</v>
      </c>
      <c r="H41">
        <v>4748</v>
      </c>
      <c r="I41">
        <v>4748</v>
      </c>
      <c r="J41" s="2">
        <v>565.64</v>
      </c>
      <c r="K41" s="16">
        <f>Table13[[#This Row],[Profit]]/Table13[[#This Row],[Sales]]</f>
        <v>0.11913226621735468</v>
      </c>
      <c r="L41" s="17" t="str">
        <f t="shared" si="0"/>
        <v>Low</v>
      </c>
      <c r="M41" s="17" t="str">
        <f t="shared" si="1"/>
        <v>Oct</v>
      </c>
      <c r="N41" s="18">
        <f>YEAR(Table13[[#This Row],[Order_Date]])</f>
        <v>2023</v>
      </c>
      <c r="O41" s="18">
        <f>Table13[[#This Row],[Price]]*0.7</f>
        <v>3323.6</v>
      </c>
      <c r="P41" s="18">
        <f t="shared" si="2"/>
        <v>1424.4</v>
      </c>
      <c r="Q41" s="18">
        <f t="shared" si="3"/>
        <v>0.05</v>
      </c>
      <c r="R41" s="18">
        <f t="shared" si="4"/>
        <v>4182.3600000000006</v>
      </c>
      <c r="S41" s="18" t="str">
        <f>IF(Table13[[#This Row],[Quantity]]&lt;=3,"Small",IF(Table13[[#This Row],[Quantity]]&lt;=6,"Medium","Bulk"))</f>
        <v>Small</v>
      </c>
      <c r="T41" s="18" t="str">
        <f t="shared" si="5"/>
        <v>Normal</v>
      </c>
      <c r="U41" s="18" t="str">
        <f t="shared" si="6"/>
        <v>low Value</v>
      </c>
    </row>
    <row r="42" spans="1:21" x14ac:dyDescent="0.3">
      <c r="A42" t="s">
        <v>50</v>
      </c>
      <c r="B42" s="1">
        <v>45084</v>
      </c>
      <c r="C42" t="s">
        <v>1212</v>
      </c>
      <c r="D42" t="s">
        <v>1215</v>
      </c>
      <c r="E42" t="s">
        <v>1219</v>
      </c>
      <c r="F42" t="s">
        <v>1223</v>
      </c>
      <c r="G42" s="6">
        <v>1</v>
      </c>
      <c r="H42">
        <v>216</v>
      </c>
      <c r="I42">
        <v>216</v>
      </c>
      <c r="J42" s="2">
        <v>53.8</v>
      </c>
      <c r="K42" s="16">
        <f>Table13[[#This Row],[Profit]]/Table13[[#This Row],[Sales]]</f>
        <v>0.24907407407407406</v>
      </c>
      <c r="L42" s="17" t="str">
        <f t="shared" si="0"/>
        <v>Low</v>
      </c>
      <c r="M42" s="17" t="str">
        <f t="shared" si="1"/>
        <v>Jun</v>
      </c>
      <c r="N42" s="18">
        <f>YEAR(Table13[[#This Row],[Order_Date]])</f>
        <v>2023</v>
      </c>
      <c r="O42" s="18">
        <f>Table13[[#This Row],[Price]]*0.7</f>
        <v>151.19999999999999</v>
      </c>
      <c r="P42" s="18">
        <f t="shared" si="2"/>
        <v>64.800000000000011</v>
      </c>
      <c r="Q42" s="18">
        <f t="shared" si="3"/>
        <v>0.05</v>
      </c>
      <c r="R42" s="18">
        <f t="shared" si="4"/>
        <v>162.20000000000002</v>
      </c>
      <c r="S42" s="18" t="str">
        <f>IF(Table13[[#This Row],[Quantity]]&lt;=3,"Small",IF(Table13[[#This Row],[Quantity]]&lt;=6,"Medium","Bulk"))</f>
        <v>Small</v>
      </c>
      <c r="T42" s="18" t="str">
        <f t="shared" si="5"/>
        <v>High Demand</v>
      </c>
      <c r="U42" s="18" t="str">
        <f t="shared" si="6"/>
        <v>low Value</v>
      </c>
    </row>
    <row r="43" spans="1:21" x14ac:dyDescent="0.3">
      <c r="A43" t="s">
        <v>51</v>
      </c>
      <c r="B43" s="1">
        <v>45228</v>
      </c>
      <c r="C43" t="s">
        <v>1212</v>
      </c>
      <c r="D43" t="s">
        <v>1214</v>
      </c>
      <c r="E43" t="s">
        <v>1220</v>
      </c>
      <c r="F43" t="s">
        <v>1237</v>
      </c>
      <c r="G43" s="6">
        <v>9</v>
      </c>
      <c r="H43">
        <v>1260</v>
      </c>
      <c r="I43">
        <v>11340</v>
      </c>
      <c r="J43" s="2">
        <v>2696.81</v>
      </c>
      <c r="K43" s="16">
        <f>Table13[[#This Row],[Profit]]/Table13[[#This Row],[Sales]]</f>
        <v>0.23781393298059963</v>
      </c>
      <c r="L43" s="17" t="str">
        <f t="shared" si="0"/>
        <v>Medium</v>
      </c>
      <c r="M43" s="17" t="str">
        <f t="shared" si="1"/>
        <v>Oct</v>
      </c>
      <c r="N43" s="18">
        <f>YEAR(Table13[[#This Row],[Order_Date]])</f>
        <v>2023</v>
      </c>
      <c r="O43" s="18">
        <f>Table13[[#This Row],[Price]]*0.7</f>
        <v>882</v>
      </c>
      <c r="P43" s="18">
        <f t="shared" si="2"/>
        <v>3402</v>
      </c>
      <c r="Q43" s="18">
        <f t="shared" si="3"/>
        <v>0.1</v>
      </c>
      <c r="R43" s="18">
        <f t="shared" si="4"/>
        <v>8643.19</v>
      </c>
      <c r="S43" s="18" t="str">
        <f>IF(Table13[[#This Row],[Quantity]]&lt;=3,"Small",IF(Table13[[#This Row],[Quantity]]&lt;=6,"Medium","Bulk"))</f>
        <v>Bulk</v>
      </c>
      <c r="T43" s="18" t="str">
        <f t="shared" si="5"/>
        <v>High Demand</v>
      </c>
      <c r="U43" s="18" t="str">
        <f t="shared" si="6"/>
        <v>Medium Value</v>
      </c>
    </row>
    <row r="44" spans="1:21" x14ac:dyDescent="0.3">
      <c r="A44" t="s">
        <v>52</v>
      </c>
      <c r="B44" s="1">
        <v>45087</v>
      </c>
      <c r="C44" t="s">
        <v>1213</v>
      </c>
      <c r="D44" t="s">
        <v>1214</v>
      </c>
      <c r="E44" t="s">
        <v>1221</v>
      </c>
      <c r="F44" t="s">
        <v>1231</v>
      </c>
      <c r="G44" s="6">
        <v>4</v>
      </c>
      <c r="H44">
        <v>390</v>
      </c>
      <c r="I44">
        <v>1560</v>
      </c>
      <c r="J44" s="2">
        <v>205.87</v>
      </c>
      <c r="K44" s="16">
        <f>Table13[[#This Row],[Profit]]/Table13[[#This Row],[Sales]]</f>
        <v>0.13196794871794873</v>
      </c>
      <c r="L44" s="17" t="str">
        <f t="shared" si="0"/>
        <v>Low</v>
      </c>
      <c r="M44" s="17" t="str">
        <f t="shared" si="1"/>
        <v>Jun</v>
      </c>
      <c r="N44" s="18">
        <f>YEAR(Table13[[#This Row],[Order_Date]])</f>
        <v>2023</v>
      </c>
      <c r="O44" s="18">
        <f>Table13[[#This Row],[Price]]*0.7</f>
        <v>273</v>
      </c>
      <c r="P44" s="18">
        <f t="shared" si="2"/>
        <v>468</v>
      </c>
      <c r="Q44" s="18">
        <f t="shared" si="3"/>
        <v>0.05</v>
      </c>
      <c r="R44" s="18">
        <f t="shared" si="4"/>
        <v>1354.13</v>
      </c>
      <c r="S44" s="18" t="str">
        <f>IF(Table13[[#This Row],[Quantity]]&lt;=3,"Small",IF(Table13[[#This Row],[Quantity]]&lt;=6,"Medium","Bulk"))</f>
        <v>Medium</v>
      </c>
      <c r="T44" s="18" t="str">
        <f t="shared" si="5"/>
        <v>Normal</v>
      </c>
      <c r="U44" s="18" t="str">
        <f t="shared" si="6"/>
        <v>low Value</v>
      </c>
    </row>
    <row r="45" spans="1:21" x14ac:dyDescent="0.3">
      <c r="A45" t="s">
        <v>53</v>
      </c>
      <c r="B45" s="1">
        <v>45100</v>
      </c>
      <c r="C45" t="s">
        <v>1213</v>
      </c>
      <c r="D45" t="s">
        <v>1217</v>
      </c>
      <c r="E45" t="s">
        <v>1221</v>
      </c>
      <c r="F45" t="s">
        <v>1229</v>
      </c>
      <c r="G45" s="6">
        <v>9</v>
      </c>
      <c r="H45">
        <v>769</v>
      </c>
      <c r="I45">
        <v>6921</v>
      </c>
      <c r="J45" s="2">
        <v>1647.91</v>
      </c>
      <c r="K45" s="16">
        <f>Table13[[#This Row],[Profit]]/Table13[[#This Row],[Sales]]</f>
        <v>0.23810287530703655</v>
      </c>
      <c r="L45" s="17" t="str">
        <f t="shared" si="0"/>
        <v>Low</v>
      </c>
      <c r="M45" s="17" t="str">
        <f t="shared" si="1"/>
        <v>Jun</v>
      </c>
      <c r="N45" s="18">
        <f>YEAR(Table13[[#This Row],[Order_Date]])</f>
        <v>2023</v>
      </c>
      <c r="O45" s="18">
        <f>Table13[[#This Row],[Price]]*0.7</f>
        <v>538.29999999999995</v>
      </c>
      <c r="P45" s="18">
        <f t="shared" si="2"/>
        <v>2076.3000000000002</v>
      </c>
      <c r="Q45" s="18">
        <f t="shared" si="3"/>
        <v>0.1</v>
      </c>
      <c r="R45" s="18">
        <f t="shared" si="4"/>
        <v>5273.09</v>
      </c>
      <c r="S45" s="18" t="str">
        <f>IF(Table13[[#This Row],[Quantity]]&lt;=3,"Small",IF(Table13[[#This Row],[Quantity]]&lt;=6,"Medium","Bulk"))</f>
        <v>Bulk</v>
      </c>
      <c r="T45" s="18" t="str">
        <f t="shared" si="5"/>
        <v>Normal</v>
      </c>
      <c r="U45" s="18" t="str">
        <f t="shared" si="6"/>
        <v>low Value</v>
      </c>
    </row>
    <row r="46" spans="1:21" x14ac:dyDescent="0.3">
      <c r="A46" t="s">
        <v>54</v>
      </c>
      <c r="B46" s="1">
        <v>45081</v>
      </c>
      <c r="C46" t="s">
        <v>1211</v>
      </c>
      <c r="D46" t="s">
        <v>1217</v>
      </c>
      <c r="E46" t="s">
        <v>1221</v>
      </c>
      <c r="F46" t="s">
        <v>1235</v>
      </c>
      <c r="G46" s="6">
        <v>6</v>
      </c>
      <c r="H46">
        <v>1886</v>
      </c>
      <c r="I46">
        <v>11316</v>
      </c>
      <c r="J46" s="2">
        <v>1174.76</v>
      </c>
      <c r="K46" s="16">
        <f>Table13[[#This Row],[Profit]]/Table13[[#This Row],[Sales]]</f>
        <v>0.10381406857546836</v>
      </c>
      <c r="L46" s="17" t="str">
        <f t="shared" si="0"/>
        <v>Medium</v>
      </c>
      <c r="M46" s="17" t="str">
        <f t="shared" si="1"/>
        <v>Jun</v>
      </c>
      <c r="N46" s="18">
        <f>YEAR(Table13[[#This Row],[Order_Date]])</f>
        <v>2023</v>
      </c>
      <c r="O46" s="18">
        <f>Table13[[#This Row],[Price]]*0.7</f>
        <v>1320.1999999999998</v>
      </c>
      <c r="P46" s="18">
        <f t="shared" si="2"/>
        <v>3394.8000000000011</v>
      </c>
      <c r="Q46" s="18">
        <f t="shared" si="3"/>
        <v>0.1</v>
      </c>
      <c r="R46" s="18">
        <f t="shared" si="4"/>
        <v>10141.24</v>
      </c>
      <c r="S46" s="18" t="str">
        <f>IF(Table13[[#This Row],[Quantity]]&lt;=3,"Small",IF(Table13[[#This Row],[Quantity]]&lt;=6,"Medium","Bulk"))</f>
        <v>Medium</v>
      </c>
      <c r="T46" s="18" t="str">
        <f t="shared" si="5"/>
        <v>Normal</v>
      </c>
      <c r="U46" s="18" t="str">
        <f t="shared" si="6"/>
        <v>Medium Value</v>
      </c>
    </row>
    <row r="47" spans="1:21" x14ac:dyDescent="0.3">
      <c r="A47" t="s">
        <v>55</v>
      </c>
      <c r="B47" s="1">
        <v>45096</v>
      </c>
      <c r="C47" t="s">
        <v>1210</v>
      </c>
      <c r="D47" t="s">
        <v>1217</v>
      </c>
      <c r="E47" t="s">
        <v>1220</v>
      </c>
      <c r="F47" t="s">
        <v>1239</v>
      </c>
      <c r="G47" s="6">
        <v>8</v>
      </c>
      <c r="H47">
        <v>4541</v>
      </c>
      <c r="I47">
        <v>36328</v>
      </c>
      <c r="J47" s="2">
        <v>5126.37</v>
      </c>
      <c r="K47" s="16">
        <f>Table13[[#This Row],[Profit]]/Table13[[#This Row],[Sales]]</f>
        <v>0.14111346619687293</v>
      </c>
      <c r="L47" s="17" t="str">
        <f t="shared" si="0"/>
        <v>High</v>
      </c>
      <c r="M47" s="17" t="str">
        <f t="shared" si="1"/>
        <v>Jun</v>
      </c>
      <c r="N47" s="18">
        <f>YEAR(Table13[[#This Row],[Order_Date]])</f>
        <v>2023</v>
      </c>
      <c r="O47" s="18">
        <f>Table13[[#This Row],[Price]]*0.7</f>
        <v>3178.7</v>
      </c>
      <c r="P47" s="18">
        <f t="shared" si="2"/>
        <v>10898.400000000001</v>
      </c>
      <c r="Q47" s="18">
        <f t="shared" si="3"/>
        <v>0.1</v>
      </c>
      <c r="R47" s="18">
        <f t="shared" si="4"/>
        <v>31201.63</v>
      </c>
      <c r="S47" s="18" t="str">
        <f>IF(Table13[[#This Row],[Quantity]]&lt;=3,"Small",IF(Table13[[#This Row],[Quantity]]&lt;=6,"Medium","Bulk"))</f>
        <v>Bulk</v>
      </c>
      <c r="T47" s="18" t="str">
        <f t="shared" si="5"/>
        <v>Normal</v>
      </c>
      <c r="U47" s="18" t="str">
        <f t="shared" si="6"/>
        <v>High Value</v>
      </c>
    </row>
    <row r="48" spans="1:21" x14ac:dyDescent="0.3">
      <c r="A48" t="s">
        <v>56</v>
      </c>
      <c r="B48" s="1">
        <v>45239</v>
      </c>
      <c r="C48" t="s">
        <v>1213</v>
      </c>
      <c r="D48" t="s">
        <v>1215</v>
      </c>
      <c r="E48" t="s">
        <v>1219</v>
      </c>
      <c r="F48" t="s">
        <v>1233</v>
      </c>
      <c r="G48" s="6">
        <v>9</v>
      </c>
      <c r="H48">
        <v>2655</v>
      </c>
      <c r="I48">
        <v>23895</v>
      </c>
      <c r="J48" s="2">
        <v>5621.32</v>
      </c>
      <c r="K48" s="16">
        <f>Table13[[#This Row],[Profit]]/Table13[[#This Row],[Sales]]</f>
        <v>0.23525088930738647</v>
      </c>
      <c r="L48" s="17" t="str">
        <f t="shared" si="0"/>
        <v>High</v>
      </c>
      <c r="M48" s="17" t="str">
        <f t="shared" si="1"/>
        <v>Nov</v>
      </c>
      <c r="N48" s="18">
        <f>YEAR(Table13[[#This Row],[Order_Date]])</f>
        <v>2023</v>
      </c>
      <c r="O48" s="18">
        <f>Table13[[#This Row],[Price]]*0.7</f>
        <v>1858.4999999999998</v>
      </c>
      <c r="P48" s="18">
        <f t="shared" si="2"/>
        <v>7168.5000000000036</v>
      </c>
      <c r="Q48" s="18">
        <f t="shared" si="3"/>
        <v>0.1</v>
      </c>
      <c r="R48" s="18">
        <f t="shared" si="4"/>
        <v>18273.68</v>
      </c>
      <c r="S48" s="18" t="str">
        <f>IF(Table13[[#This Row],[Quantity]]&lt;=3,"Small",IF(Table13[[#This Row],[Quantity]]&lt;=6,"Medium","Bulk"))</f>
        <v>Bulk</v>
      </c>
      <c r="T48" s="18" t="str">
        <f t="shared" si="5"/>
        <v>Normal</v>
      </c>
      <c r="U48" s="18" t="str">
        <f t="shared" si="6"/>
        <v>High Value</v>
      </c>
    </row>
    <row r="49" spans="1:21" x14ac:dyDescent="0.3">
      <c r="A49" t="s">
        <v>57</v>
      </c>
      <c r="B49" s="1">
        <v>45069</v>
      </c>
      <c r="C49" t="s">
        <v>1213</v>
      </c>
      <c r="D49" t="s">
        <v>1217</v>
      </c>
      <c r="E49" t="s">
        <v>1221</v>
      </c>
      <c r="F49" t="s">
        <v>1231</v>
      </c>
      <c r="G49" s="6">
        <v>8</v>
      </c>
      <c r="H49">
        <v>4695</v>
      </c>
      <c r="I49">
        <v>37560</v>
      </c>
      <c r="J49" s="2">
        <v>3328.97</v>
      </c>
      <c r="K49" s="16">
        <f>Table13[[#This Row],[Profit]]/Table13[[#This Row],[Sales]]</f>
        <v>8.8630724174653883E-2</v>
      </c>
      <c r="L49" s="17" t="str">
        <f t="shared" si="0"/>
        <v>High</v>
      </c>
      <c r="M49" s="17" t="str">
        <f t="shared" si="1"/>
        <v>May</v>
      </c>
      <c r="N49" s="18">
        <f>YEAR(Table13[[#This Row],[Order_Date]])</f>
        <v>2023</v>
      </c>
      <c r="O49" s="18">
        <f>Table13[[#This Row],[Price]]*0.7</f>
        <v>3286.5</v>
      </c>
      <c r="P49" s="18">
        <f t="shared" si="2"/>
        <v>11268</v>
      </c>
      <c r="Q49" s="18">
        <f t="shared" si="3"/>
        <v>0.1</v>
      </c>
      <c r="R49" s="18">
        <f t="shared" si="4"/>
        <v>34231.03</v>
      </c>
      <c r="S49" s="18" t="str">
        <f>IF(Table13[[#This Row],[Quantity]]&lt;=3,"Small",IF(Table13[[#This Row],[Quantity]]&lt;=6,"Medium","Bulk"))</f>
        <v>Bulk</v>
      </c>
      <c r="T49" s="18" t="str">
        <f t="shared" si="5"/>
        <v>Normal</v>
      </c>
      <c r="U49" s="18" t="str">
        <f t="shared" si="6"/>
        <v>High Value</v>
      </c>
    </row>
    <row r="50" spans="1:21" x14ac:dyDescent="0.3">
      <c r="A50" t="s">
        <v>58</v>
      </c>
      <c r="B50" s="1">
        <v>45079</v>
      </c>
      <c r="C50" t="s">
        <v>1211</v>
      </c>
      <c r="D50" t="s">
        <v>1215</v>
      </c>
      <c r="E50" t="s">
        <v>1220</v>
      </c>
      <c r="F50" t="s">
        <v>1224</v>
      </c>
      <c r="G50" s="6">
        <v>7</v>
      </c>
      <c r="H50">
        <v>2182</v>
      </c>
      <c r="I50">
        <v>15274</v>
      </c>
      <c r="J50" s="2">
        <v>1315.25</v>
      </c>
      <c r="K50" s="16">
        <f>Table13[[#This Row],[Profit]]/Table13[[#This Row],[Sales]]</f>
        <v>8.6110383658504652E-2</v>
      </c>
      <c r="L50" s="17" t="str">
        <f t="shared" si="0"/>
        <v>Medium</v>
      </c>
      <c r="M50" s="17" t="str">
        <f t="shared" si="1"/>
        <v>Jun</v>
      </c>
      <c r="N50" s="18">
        <f>YEAR(Table13[[#This Row],[Order_Date]])</f>
        <v>2023</v>
      </c>
      <c r="O50" s="18">
        <f>Table13[[#This Row],[Price]]*0.7</f>
        <v>1527.3999999999999</v>
      </c>
      <c r="P50" s="18">
        <f t="shared" si="2"/>
        <v>4582.2000000000007</v>
      </c>
      <c r="Q50" s="18">
        <f t="shared" si="3"/>
        <v>0.1</v>
      </c>
      <c r="R50" s="18">
        <f t="shared" si="4"/>
        <v>13958.75</v>
      </c>
      <c r="S50" s="18" t="str">
        <f>IF(Table13[[#This Row],[Quantity]]&lt;=3,"Small",IF(Table13[[#This Row],[Quantity]]&lt;=6,"Medium","Bulk"))</f>
        <v>Bulk</v>
      </c>
      <c r="T50" s="18" t="str">
        <f t="shared" si="5"/>
        <v>Normal</v>
      </c>
      <c r="U50" s="18" t="str">
        <f t="shared" si="6"/>
        <v>Medium Value</v>
      </c>
    </row>
    <row r="51" spans="1:21" x14ac:dyDescent="0.3">
      <c r="A51" t="s">
        <v>59</v>
      </c>
      <c r="B51" s="1">
        <v>45197</v>
      </c>
      <c r="C51" t="s">
        <v>1211</v>
      </c>
      <c r="D51" t="s">
        <v>1214</v>
      </c>
      <c r="E51" t="s">
        <v>1220</v>
      </c>
      <c r="F51" t="s">
        <v>1225</v>
      </c>
      <c r="G51" s="6">
        <v>6</v>
      </c>
      <c r="H51">
        <v>1915</v>
      </c>
      <c r="I51">
        <v>11490</v>
      </c>
      <c r="J51" s="2">
        <v>995.06</v>
      </c>
      <c r="K51" s="16">
        <f>Table13[[#This Row],[Profit]]/Table13[[#This Row],[Sales]]</f>
        <v>8.6602262837249783E-2</v>
      </c>
      <c r="L51" s="17" t="str">
        <f t="shared" si="0"/>
        <v>Medium</v>
      </c>
      <c r="M51" s="17" t="str">
        <f t="shared" si="1"/>
        <v>Sep</v>
      </c>
      <c r="N51" s="18">
        <f>YEAR(Table13[[#This Row],[Order_Date]])</f>
        <v>2023</v>
      </c>
      <c r="O51" s="18">
        <f>Table13[[#This Row],[Price]]*0.7</f>
        <v>1340.5</v>
      </c>
      <c r="P51" s="18">
        <f t="shared" si="2"/>
        <v>3447</v>
      </c>
      <c r="Q51" s="18">
        <f t="shared" si="3"/>
        <v>0.1</v>
      </c>
      <c r="R51" s="18">
        <f t="shared" si="4"/>
        <v>10494.94</v>
      </c>
      <c r="S51" s="18" t="str">
        <f>IF(Table13[[#This Row],[Quantity]]&lt;=3,"Small",IF(Table13[[#This Row],[Quantity]]&lt;=6,"Medium","Bulk"))</f>
        <v>Medium</v>
      </c>
      <c r="T51" s="18" t="str">
        <f t="shared" si="5"/>
        <v>Normal</v>
      </c>
      <c r="U51" s="18" t="str">
        <f t="shared" si="6"/>
        <v>Medium Value</v>
      </c>
    </row>
    <row r="52" spans="1:21" x14ac:dyDescent="0.3">
      <c r="A52" t="s">
        <v>60</v>
      </c>
      <c r="B52" s="1">
        <v>45034</v>
      </c>
      <c r="C52" t="s">
        <v>1212</v>
      </c>
      <c r="D52" t="s">
        <v>1216</v>
      </c>
      <c r="E52" t="s">
        <v>1221</v>
      </c>
      <c r="F52" t="s">
        <v>1231</v>
      </c>
      <c r="G52" s="6">
        <v>1</v>
      </c>
      <c r="H52">
        <v>3324</v>
      </c>
      <c r="I52">
        <v>3324</v>
      </c>
      <c r="J52" s="2">
        <v>419.36</v>
      </c>
      <c r="K52" s="16">
        <f>Table13[[#This Row],[Profit]]/Table13[[#This Row],[Sales]]</f>
        <v>0.12616125150421179</v>
      </c>
      <c r="L52" s="17" t="str">
        <f t="shared" si="0"/>
        <v>Low</v>
      </c>
      <c r="M52" s="17" t="str">
        <f t="shared" si="1"/>
        <v>Apr</v>
      </c>
      <c r="N52" s="18">
        <f>YEAR(Table13[[#This Row],[Order_Date]])</f>
        <v>2023</v>
      </c>
      <c r="O52" s="18">
        <f>Table13[[#This Row],[Price]]*0.7</f>
        <v>2326.7999999999997</v>
      </c>
      <c r="P52" s="18">
        <f t="shared" si="2"/>
        <v>997.20000000000027</v>
      </c>
      <c r="Q52" s="18">
        <f t="shared" si="3"/>
        <v>0.05</v>
      </c>
      <c r="R52" s="18">
        <f t="shared" si="4"/>
        <v>2904.6400000000003</v>
      </c>
      <c r="S52" s="18" t="str">
        <f>IF(Table13[[#This Row],[Quantity]]&lt;=3,"Small",IF(Table13[[#This Row],[Quantity]]&lt;=6,"Medium","Bulk"))</f>
        <v>Small</v>
      </c>
      <c r="T52" s="18" t="str">
        <f t="shared" si="5"/>
        <v>High Demand</v>
      </c>
      <c r="U52" s="18" t="str">
        <f t="shared" si="6"/>
        <v>low Value</v>
      </c>
    </row>
    <row r="53" spans="1:21" x14ac:dyDescent="0.3">
      <c r="A53" t="s">
        <v>61</v>
      </c>
      <c r="B53" s="1">
        <v>45234</v>
      </c>
      <c r="C53" t="s">
        <v>1213</v>
      </c>
      <c r="D53" t="s">
        <v>1215</v>
      </c>
      <c r="E53" t="s">
        <v>1220</v>
      </c>
      <c r="F53" t="s">
        <v>1228</v>
      </c>
      <c r="G53" s="6">
        <v>4</v>
      </c>
      <c r="H53">
        <v>4342</v>
      </c>
      <c r="I53">
        <v>17368</v>
      </c>
      <c r="J53" s="2">
        <v>3454.79</v>
      </c>
      <c r="K53" s="16">
        <f>Table13[[#This Row],[Profit]]/Table13[[#This Row],[Sales]]</f>
        <v>0.19891697374481807</v>
      </c>
      <c r="L53" s="17" t="str">
        <f t="shared" si="0"/>
        <v>Medium</v>
      </c>
      <c r="M53" s="17" t="str">
        <f t="shared" si="1"/>
        <v>Nov</v>
      </c>
      <c r="N53" s="18">
        <f>YEAR(Table13[[#This Row],[Order_Date]])</f>
        <v>2023</v>
      </c>
      <c r="O53" s="18">
        <f>Table13[[#This Row],[Price]]*0.7</f>
        <v>3039.3999999999996</v>
      </c>
      <c r="P53" s="18">
        <f t="shared" si="2"/>
        <v>5210.4000000000015</v>
      </c>
      <c r="Q53" s="18">
        <f t="shared" si="3"/>
        <v>0.05</v>
      </c>
      <c r="R53" s="18">
        <f t="shared" si="4"/>
        <v>13913.21</v>
      </c>
      <c r="S53" s="18" t="str">
        <f>IF(Table13[[#This Row],[Quantity]]&lt;=3,"Small",IF(Table13[[#This Row],[Quantity]]&lt;=6,"Medium","Bulk"))</f>
        <v>Medium</v>
      </c>
      <c r="T53" s="18" t="str">
        <f t="shared" si="5"/>
        <v>Normal</v>
      </c>
      <c r="U53" s="18" t="str">
        <f t="shared" si="6"/>
        <v>Medium Value</v>
      </c>
    </row>
    <row r="54" spans="1:21" x14ac:dyDescent="0.3">
      <c r="A54" t="s">
        <v>62</v>
      </c>
      <c r="B54" s="1">
        <v>45201</v>
      </c>
      <c r="C54" t="s">
        <v>1213</v>
      </c>
      <c r="D54" t="s">
        <v>1217</v>
      </c>
      <c r="E54" t="s">
        <v>1220</v>
      </c>
      <c r="F54" t="s">
        <v>1224</v>
      </c>
      <c r="G54" s="6">
        <v>3</v>
      </c>
      <c r="H54">
        <v>4952</v>
      </c>
      <c r="I54">
        <v>14856</v>
      </c>
      <c r="J54" s="2">
        <v>2195.71</v>
      </c>
      <c r="K54" s="16">
        <f>Table13[[#This Row],[Profit]]/Table13[[#This Row],[Sales]]</f>
        <v>0.14779954227248251</v>
      </c>
      <c r="L54" s="17" t="str">
        <f t="shared" si="0"/>
        <v>Medium</v>
      </c>
      <c r="M54" s="17" t="str">
        <f t="shared" si="1"/>
        <v>Oct</v>
      </c>
      <c r="N54" s="18">
        <f>YEAR(Table13[[#This Row],[Order_Date]])</f>
        <v>2023</v>
      </c>
      <c r="O54" s="18">
        <f>Table13[[#This Row],[Price]]*0.7</f>
        <v>3466.3999999999996</v>
      </c>
      <c r="P54" s="18">
        <f t="shared" si="2"/>
        <v>4456.8000000000011</v>
      </c>
      <c r="Q54" s="18">
        <f t="shared" si="3"/>
        <v>0.05</v>
      </c>
      <c r="R54" s="18">
        <f t="shared" si="4"/>
        <v>12660.29</v>
      </c>
      <c r="S54" s="18" t="str">
        <f>IF(Table13[[#This Row],[Quantity]]&lt;=3,"Small",IF(Table13[[#This Row],[Quantity]]&lt;=6,"Medium","Bulk"))</f>
        <v>Small</v>
      </c>
      <c r="T54" s="18" t="str">
        <f t="shared" si="5"/>
        <v>Normal</v>
      </c>
      <c r="U54" s="18" t="str">
        <f t="shared" si="6"/>
        <v>Medium Value</v>
      </c>
    </row>
    <row r="55" spans="1:21" x14ac:dyDescent="0.3">
      <c r="A55" t="s">
        <v>63</v>
      </c>
      <c r="B55" s="1">
        <v>45053</v>
      </c>
      <c r="C55" t="s">
        <v>1212</v>
      </c>
      <c r="D55" t="s">
        <v>1216</v>
      </c>
      <c r="E55" t="s">
        <v>1219</v>
      </c>
      <c r="F55" t="s">
        <v>1233</v>
      </c>
      <c r="G55" s="6">
        <v>5</v>
      </c>
      <c r="H55">
        <v>316</v>
      </c>
      <c r="I55">
        <v>1580</v>
      </c>
      <c r="J55" s="2">
        <v>148.12</v>
      </c>
      <c r="K55" s="16">
        <f>Table13[[#This Row],[Profit]]/Table13[[#This Row],[Sales]]</f>
        <v>9.3746835443037982E-2</v>
      </c>
      <c r="L55" s="17" t="str">
        <f t="shared" si="0"/>
        <v>Low</v>
      </c>
      <c r="M55" s="17" t="str">
        <f t="shared" si="1"/>
        <v>May</v>
      </c>
      <c r="N55" s="18">
        <f>YEAR(Table13[[#This Row],[Order_Date]])</f>
        <v>2023</v>
      </c>
      <c r="O55" s="18">
        <f>Table13[[#This Row],[Price]]*0.7</f>
        <v>221.2</v>
      </c>
      <c r="P55" s="18">
        <f t="shared" si="2"/>
        <v>474</v>
      </c>
      <c r="Q55" s="18">
        <f t="shared" si="3"/>
        <v>0.05</v>
      </c>
      <c r="R55" s="18">
        <f t="shared" si="4"/>
        <v>1431.88</v>
      </c>
      <c r="S55" s="18" t="str">
        <f>IF(Table13[[#This Row],[Quantity]]&lt;=3,"Small",IF(Table13[[#This Row],[Quantity]]&lt;=6,"Medium","Bulk"))</f>
        <v>Medium</v>
      </c>
      <c r="T55" s="18" t="str">
        <f t="shared" si="5"/>
        <v>High Demand</v>
      </c>
      <c r="U55" s="18" t="str">
        <f t="shared" si="6"/>
        <v>low Value</v>
      </c>
    </row>
    <row r="56" spans="1:21" x14ac:dyDescent="0.3">
      <c r="A56" t="s">
        <v>64</v>
      </c>
      <c r="B56" s="1">
        <v>45044</v>
      </c>
      <c r="C56" t="s">
        <v>1213</v>
      </c>
      <c r="D56" t="s">
        <v>1218</v>
      </c>
      <c r="E56" t="s">
        <v>1222</v>
      </c>
      <c r="F56" t="s">
        <v>1234</v>
      </c>
      <c r="G56" s="6">
        <v>1</v>
      </c>
      <c r="H56">
        <v>3049</v>
      </c>
      <c r="I56">
        <v>3049</v>
      </c>
      <c r="J56" s="2">
        <v>368.21</v>
      </c>
      <c r="K56" s="16">
        <f>Table13[[#This Row],[Profit]]/Table13[[#This Row],[Sales]]</f>
        <v>0.12076418497868152</v>
      </c>
      <c r="L56" s="17" t="str">
        <f t="shared" si="0"/>
        <v>Low</v>
      </c>
      <c r="M56" s="17" t="str">
        <f t="shared" si="1"/>
        <v>Apr</v>
      </c>
      <c r="N56" s="18">
        <f>YEAR(Table13[[#This Row],[Order_Date]])</f>
        <v>2023</v>
      </c>
      <c r="O56" s="18">
        <f>Table13[[#This Row],[Price]]*0.7</f>
        <v>2134.2999999999997</v>
      </c>
      <c r="P56" s="18">
        <f t="shared" si="2"/>
        <v>914.70000000000027</v>
      </c>
      <c r="Q56" s="18">
        <f t="shared" si="3"/>
        <v>0.05</v>
      </c>
      <c r="R56" s="18">
        <f t="shared" si="4"/>
        <v>2680.79</v>
      </c>
      <c r="S56" s="18" t="str">
        <f>IF(Table13[[#This Row],[Quantity]]&lt;=3,"Small",IF(Table13[[#This Row],[Quantity]]&lt;=6,"Medium","Bulk"))</f>
        <v>Small</v>
      </c>
      <c r="T56" s="18" t="str">
        <f t="shared" si="5"/>
        <v>Normal</v>
      </c>
      <c r="U56" s="18" t="str">
        <f t="shared" si="6"/>
        <v>low Value</v>
      </c>
    </row>
    <row r="57" spans="1:21" x14ac:dyDescent="0.3">
      <c r="A57" t="s">
        <v>65</v>
      </c>
      <c r="B57" s="1">
        <v>45118</v>
      </c>
      <c r="C57" t="s">
        <v>1210</v>
      </c>
      <c r="D57" t="s">
        <v>1215</v>
      </c>
      <c r="E57" t="s">
        <v>1221</v>
      </c>
      <c r="F57" t="s">
        <v>1231</v>
      </c>
      <c r="G57" s="6">
        <v>5</v>
      </c>
      <c r="H57">
        <v>3543</v>
      </c>
      <c r="I57">
        <v>17715</v>
      </c>
      <c r="J57" s="2">
        <v>2973.26</v>
      </c>
      <c r="K57" s="16">
        <f>Table13[[#This Row],[Profit]]/Table13[[#This Row],[Sales]]</f>
        <v>0.16783855489697996</v>
      </c>
      <c r="L57" s="17" t="str">
        <f t="shared" si="0"/>
        <v>Medium</v>
      </c>
      <c r="M57" s="17" t="str">
        <f t="shared" si="1"/>
        <v>Jul</v>
      </c>
      <c r="N57" s="18">
        <f>YEAR(Table13[[#This Row],[Order_Date]])</f>
        <v>2023</v>
      </c>
      <c r="O57" s="18">
        <f>Table13[[#This Row],[Price]]*0.7</f>
        <v>2480.1</v>
      </c>
      <c r="P57" s="18">
        <f t="shared" si="2"/>
        <v>5314.5</v>
      </c>
      <c r="Q57" s="18">
        <f t="shared" si="3"/>
        <v>0.05</v>
      </c>
      <c r="R57" s="18">
        <f t="shared" si="4"/>
        <v>14741.74</v>
      </c>
      <c r="S57" s="18" t="str">
        <f>IF(Table13[[#This Row],[Quantity]]&lt;=3,"Small",IF(Table13[[#This Row],[Quantity]]&lt;=6,"Medium","Bulk"))</f>
        <v>Medium</v>
      </c>
      <c r="T57" s="18" t="str">
        <f t="shared" si="5"/>
        <v>Normal</v>
      </c>
      <c r="U57" s="18" t="str">
        <f t="shared" si="6"/>
        <v>Medium Value</v>
      </c>
    </row>
    <row r="58" spans="1:21" x14ac:dyDescent="0.3">
      <c r="A58" t="s">
        <v>66</v>
      </c>
      <c r="B58" s="1">
        <v>45012</v>
      </c>
      <c r="C58" t="s">
        <v>1212</v>
      </c>
      <c r="D58" t="s">
        <v>1215</v>
      </c>
      <c r="E58" t="s">
        <v>1220</v>
      </c>
      <c r="F58" t="s">
        <v>1228</v>
      </c>
      <c r="G58" s="6">
        <v>7</v>
      </c>
      <c r="H58">
        <v>3347</v>
      </c>
      <c r="I58">
        <v>23429</v>
      </c>
      <c r="J58" s="2">
        <v>4128.8100000000004</v>
      </c>
      <c r="K58" s="16">
        <f>Table13[[#This Row],[Profit]]/Table13[[#This Row],[Sales]]</f>
        <v>0.17622647146698539</v>
      </c>
      <c r="L58" s="17" t="str">
        <f t="shared" si="0"/>
        <v>High</v>
      </c>
      <c r="M58" s="17" t="str">
        <f t="shared" si="1"/>
        <v>Mar</v>
      </c>
      <c r="N58" s="18">
        <f>YEAR(Table13[[#This Row],[Order_Date]])</f>
        <v>2023</v>
      </c>
      <c r="O58" s="18">
        <f>Table13[[#This Row],[Price]]*0.7</f>
        <v>2342.8999999999996</v>
      </c>
      <c r="P58" s="18">
        <f t="shared" si="2"/>
        <v>7028.7000000000044</v>
      </c>
      <c r="Q58" s="18">
        <f t="shared" si="3"/>
        <v>0.1</v>
      </c>
      <c r="R58" s="18">
        <f t="shared" si="4"/>
        <v>19300.189999999999</v>
      </c>
      <c r="S58" s="18" t="str">
        <f>IF(Table13[[#This Row],[Quantity]]&lt;=3,"Small",IF(Table13[[#This Row],[Quantity]]&lt;=6,"Medium","Bulk"))</f>
        <v>Bulk</v>
      </c>
      <c r="T58" s="18" t="str">
        <f t="shared" si="5"/>
        <v>High Demand</v>
      </c>
      <c r="U58" s="18" t="str">
        <f t="shared" si="6"/>
        <v>High Value</v>
      </c>
    </row>
    <row r="59" spans="1:21" x14ac:dyDescent="0.3">
      <c r="A59" t="s">
        <v>67</v>
      </c>
      <c r="B59" s="1">
        <v>45164</v>
      </c>
      <c r="C59" t="s">
        <v>1211</v>
      </c>
      <c r="D59" t="s">
        <v>1216</v>
      </c>
      <c r="E59" t="s">
        <v>1220</v>
      </c>
      <c r="F59" t="s">
        <v>1224</v>
      </c>
      <c r="G59" s="6">
        <v>5</v>
      </c>
      <c r="H59">
        <v>3318</v>
      </c>
      <c r="I59">
        <v>16590</v>
      </c>
      <c r="J59" s="2">
        <v>1442.07</v>
      </c>
      <c r="K59" s="16">
        <f>Table13[[#This Row],[Profit]]/Table13[[#This Row],[Sales]]</f>
        <v>8.6924050632911393E-2</v>
      </c>
      <c r="L59" s="17" t="str">
        <f t="shared" si="0"/>
        <v>Medium</v>
      </c>
      <c r="M59" s="17" t="str">
        <f t="shared" si="1"/>
        <v>Aug</v>
      </c>
      <c r="N59" s="18">
        <f>YEAR(Table13[[#This Row],[Order_Date]])</f>
        <v>2023</v>
      </c>
      <c r="O59" s="18">
        <f>Table13[[#This Row],[Price]]*0.7</f>
        <v>2322.6</v>
      </c>
      <c r="P59" s="18">
        <f t="shared" si="2"/>
        <v>4977</v>
      </c>
      <c r="Q59" s="18">
        <f t="shared" si="3"/>
        <v>0.05</v>
      </c>
      <c r="R59" s="18">
        <f t="shared" si="4"/>
        <v>15147.93</v>
      </c>
      <c r="S59" s="18" t="str">
        <f>IF(Table13[[#This Row],[Quantity]]&lt;=3,"Small",IF(Table13[[#This Row],[Quantity]]&lt;=6,"Medium","Bulk"))</f>
        <v>Medium</v>
      </c>
      <c r="T59" s="18" t="str">
        <f t="shared" si="5"/>
        <v>Normal</v>
      </c>
      <c r="U59" s="18" t="str">
        <f t="shared" si="6"/>
        <v>Medium Value</v>
      </c>
    </row>
    <row r="60" spans="1:21" x14ac:dyDescent="0.3">
      <c r="A60" t="s">
        <v>68</v>
      </c>
      <c r="B60" s="1">
        <v>45180</v>
      </c>
      <c r="C60" t="s">
        <v>1211</v>
      </c>
      <c r="D60" t="s">
        <v>1215</v>
      </c>
      <c r="E60" t="s">
        <v>1222</v>
      </c>
      <c r="F60" t="s">
        <v>1236</v>
      </c>
      <c r="G60" s="6">
        <v>5</v>
      </c>
      <c r="H60">
        <v>4846</v>
      </c>
      <c r="I60">
        <v>24230</v>
      </c>
      <c r="J60" s="2">
        <v>3364.86</v>
      </c>
      <c r="K60" s="16">
        <f>Table13[[#This Row],[Profit]]/Table13[[#This Row],[Sales]]</f>
        <v>0.13887164671894348</v>
      </c>
      <c r="L60" s="17" t="str">
        <f t="shared" si="0"/>
        <v>High</v>
      </c>
      <c r="M60" s="17" t="str">
        <f t="shared" si="1"/>
        <v>Sep</v>
      </c>
      <c r="N60" s="18">
        <f>YEAR(Table13[[#This Row],[Order_Date]])</f>
        <v>2023</v>
      </c>
      <c r="O60" s="18">
        <f>Table13[[#This Row],[Price]]*0.7</f>
        <v>3392.2</v>
      </c>
      <c r="P60" s="18">
        <f t="shared" si="2"/>
        <v>7269</v>
      </c>
      <c r="Q60" s="18">
        <f t="shared" si="3"/>
        <v>0.05</v>
      </c>
      <c r="R60" s="18">
        <f t="shared" si="4"/>
        <v>20865.14</v>
      </c>
      <c r="S60" s="18" t="str">
        <f>IF(Table13[[#This Row],[Quantity]]&lt;=3,"Small",IF(Table13[[#This Row],[Quantity]]&lt;=6,"Medium","Bulk"))</f>
        <v>Medium</v>
      </c>
      <c r="T60" s="18" t="str">
        <f t="shared" si="5"/>
        <v>Normal</v>
      </c>
      <c r="U60" s="18" t="str">
        <f t="shared" si="6"/>
        <v>High Value</v>
      </c>
    </row>
    <row r="61" spans="1:21" x14ac:dyDescent="0.3">
      <c r="A61" t="s">
        <v>69</v>
      </c>
      <c r="B61" s="1">
        <v>45176</v>
      </c>
      <c r="C61" t="s">
        <v>1210</v>
      </c>
      <c r="D61" t="s">
        <v>1217</v>
      </c>
      <c r="E61" t="s">
        <v>1219</v>
      </c>
      <c r="F61" t="s">
        <v>1233</v>
      </c>
      <c r="G61" s="6">
        <v>6</v>
      </c>
      <c r="H61">
        <v>3049</v>
      </c>
      <c r="I61">
        <v>18294</v>
      </c>
      <c r="J61" s="2">
        <v>2274.89</v>
      </c>
      <c r="K61" s="16">
        <f>Table13[[#This Row],[Profit]]/Table13[[#This Row],[Sales]]</f>
        <v>0.12435170001093254</v>
      </c>
      <c r="L61" s="17" t="str">
        <f t="shared" si="0"/>
        <v>Medium</v>
      </c>
      <c r="M61" s="17" t="str">
        <f t="shared" si="1"/>
        <v>Sep</v>
      </c>
      <c r="N61" s="18">
        <f>YEAR(Table13[[#This Row],[Order_Date]])</f>
        <v>2023</v>
      </c>
      <c r="O61" s="18">
        <f>Table13[[#This Row],[Price]]*0.7</f>
        <v>2134.2999999999997</v>
      </c>
      <c r="P61" s="18">
        <f t="shared" si="2"/>
        <v>5488.2000000000007</v>
      </c>
      <c r="Q61" s="18">
        <f t="shared" si="3"/>
        <v>0.1</v>
      </c>
      <c r="R61" s="18">
        <f t="shared" si="4"/>
        <v>16019.11</v>
      </c>
      <c r="S61" s="18" t="str">
        <f>IF(Table13[[#This Row],[Quantity]]&lt;=3,"Small",IF(Table13[[#This Row],[Quantity]]&lt;=6,"Medium","Bulk"))</f>
        <v>Medium</v>
      </c>
      <c r="T61" s="18" t="str">
        <f t="shared" si="5"/>
        <v>Normal</v>
      </c>
      <c r="U61" s="18" t="str">
        <f t="shared" si="6"/>
        <v>Medium Value</v>
      </c>
    </row>
    <row r="62" spans="1:21" x14ac:dyDescent="0.3">
      <c r="A62" t="s">
        <v>70</v>
      </c>
      <c r="B62" s="1">
        <v>44942</v>
      </c>
      <c r="C62" t="s">
        <v>1213</v>
      </c>
      <c r="D62" t="s">
        <v>1217</v>
      </c>
      <c r="E62" t="s">
        <v>1221</v>
      </c>
      <c r="F62" t="s">
        <v>1231</v>
      </c>
      <c r="G62" s="6">
        <v>8</v>
      </c>
      <c r="H62">
        <v>1548</v>
      </c>
      <c r="I62">
        <v>12384</v>
      </c>
      <c r="J62" s="2">
        <v>2430.66</v>
      </c>
      <c r="K62" s="16">
        <f>Table13[[#This Row],[Profit]]/Table13[[#This Row],[Sales]]</f>
        <v>0.19627422480620155</v>
      </c>
      <c r="L62" s="17" t="str">
        <f t="shared" si="0"/>
        <v>Medium</v>
      </c>
      <c r="M62" s="17" t="str">
        <f t="shared" si="1"/>
        <v>Jan</v>
      </c>
      <c r="N62" s="18">
        <f>YEAR(Table13[[#This Row],[Order_Date]])</f>
        <v>2023</v>
      </c>
      <c r="O62" s="18">
        <f>Table13[[#This Row],[Price]]*0.7</f>
        <v>1083.5999999999999</v>
      </c>
      <c r="P62" s="18">
        <f t="shared" si="2"/>
        <v>3715.2000000000007</v>
      </c>
      <c r="Q62" s="18">
        <f t="shared" si="3"/>
        <v>0.1</v>
      </c>
      <c r="R62" s="18">
        <f t="shared" si="4"/>
        <v>9953.34</v>
      </c>
      <c r="S62" s="18" t="str">
        <f>IF(Table13[[#This Row],[Quantity]]&lt;=3,"Small",IF(Table13[[#This Row],[Quantity]]&lt;=6,"Medium","Bulk"))</f>
        <v>Bulk</v>
      </c>
      <c r="T62" s="18" t="str">
        <f t="shared" si="5"/>
        <v>Normal</v>
      </c>
      <c r="U62" s="18" t="str">
        <f t="shared" si="6"/>
        <v>Medium Value</v>
      </c>
    </row>
    <row r="63" spans="1:21" x14ac:dyDescent="0.3">
      <c r="A63" t="s">
        <v>71</v>
      </c>
      <c r="B63" s="1">
        <v>45089</v>
      </c>
      <c r="C63" t="s">
        <v>1213</v>
      </c>
      <c r="D63" t="s">
        <v>1218</v>
      </c>
      <c r="E63" t="s">
        <v>1222</v>
      </c>
      <c r="F63" t="s">
        <v>1236</v>
      </c>
      <c r="G63" s="6">
        <v>4</v>
      </c>
      <c r="H63">
        <v>1887</v>
      </c>
      <c r="I63">
        <v>7548</v>
      </c>
      <c r="J63" s="2">
        <v>1472.76</v>
      </c>
      <c r="K63" s="16">
        <f>Table13[[#This Row],[Profit]]/Table13[[#This Row],[Sales]]</f>
        <v>0.19511923688394275</v>
      </c>
      <c r="L63" s="17" t="str">
        <f t="shared" si="0"/>
        <v>Low</v>
      </c>
      <c r="M63" s="17" t="str">
        <f t="shared" si="1"/>
        <v>Jun</v>
      </c>
      <c r="N63" s="18">
        <f>YEAR(Table13[[#This Row],[Order_Date]])</f>
        <v>2023</v>
      </c>
      <c r="O63" s="18">
        <f>Table13[[#This Row],[Price]]*0.7</f>
        <v>1320.8999999999999</v>
      </c>
      <c r="P63" s="18">
        <f t="shared" si="2"/>
        <v>2264.4000000000005</v>
      </c>
      <c r="Q63" s="18">
        <f t="shared" si="3"/>
        <v>0.05</v>
      </c>
      <c r="R63" s="18">
        <f t="shared" si="4"/>
        <v>6075.2400000000007</v>
      </c>
      <c r="S63" s="18" t="str">
        <f>IF(Table13[[#This Row],[Quantity]]&lt;=3,"Small",IF(Table13[[#This Row],[Quantity]]&lt;=6,"Medium","Bulk"))</f>
        <v>Medium</v>
      </c>
      <c r="T63" s="18" t="str">
        <f t="shared" si="5"/>
        <v>Normal</v>
      </c>
      <c r="U63" s="18" t="str">
        <f t="shared" si="6"/>
        <v>low Value</v>
      </c>
    </row>
    <row r="64" spans="1:21" x14ac:dyDescent="0.3">
      <c r="A64" t="s">
        <v>72</v>
      </c>
      <c r="B64" s="1">
        <v>45249</v>
      </c>
      <c r="C64" t="s">
        <v>1212</v>
      </c>
      <c r="D64" t="s">
        <v>1218</v>
      </c>
      <c r="E64" t="s">
        <v>1222</v>
      </c>
      <c r="F64" t="s">
        <v>1234</v>
      </c>
      <c r="G64" s="6">
        <v>3</v>
      </c>
      <c r="H64">
        <v>3698</v>
      </c>
      <c r="I64">
        <v>11094</v>
      </c>
      <c r="J64" s="2">
        <v>2663.1</v>
      </c>
      <c r="K64" s="16">
        <f>Table13[[#This Row],[Profit]]/Table13[[#This Row],[Sales]]</f>
        <v>0.24004867495943752</v>
      </c>
      <c r="L64" s="17" t="str">
        <f t="shared" si="0"/>
        <v>Medium</v>
      </c>
      <c r="M64" s="17" t="str">
        <f t="shared" si="1"/>
        <v>Nov</v>
      </c>
      <c r="N64" s="18">
        <f>YEAR(Table13[[#This Row],[Order_Date]])</f>
        <v>2023</v>
      </c>
      <c r="O64" s="18">
        <f>Table13[[#This Row],[Price]]*0.7</f>
        <v>2588.6</v>
      </c>
      <c r="P64" s="18">
        <f t="shared" si="2"/>
        <v>3328.2000000000007</v>
      </c>
      <c r="Q64" s="18">
        <f t="shared" si="3"/>
        <v>0.05</v>
      </c>
      <c r="R64" s="18">
        <f t="shared" si="4"/>
        <v>8430.9</v>
      </c>
      <c r="S64" s="18" t="str">
        <f>IF(Table13[[#This Row],[Quantity]]&lt;=3,"Small",IF(Table13[[#This Row],[Quantity]]&lt;=6,"Medium","Bulk"))</f>
        <v>Small</v>
      </c>
      <c r="T64" s="18" t="str">
        <f t="shared" si="5"/>
        <v>High Demand</v>
      </c>
      <c r="U64" s="18" t="str">
        <f t="shared" si="6"/>
        <v>Medium Value</v>
      </c>
    </row>
    <row r="65" spans="1:21" x14ac:dyDescent="0.3">
      <c r="A65" t="s">
        <v>73</v>
      </c>
      <c r="B65" s="1">
        <v>45141</v>
      </c>
      <c r="C65" t="s">
        <v>1212</v>
      </c>
      <c r="D65" t="s">
        <v>1217</v>
      </c>
      <c r="E65" t="s">
        <v>1221</v>
      </c>
      <c r="F65" t="s">
        <v>1229</v>
      </c>
      <c r="G65" s="6">
        <v>2</v>
      </c>
      <c r="H65">
        <v>2746</v>
      </c>
      <c r="I65">
        <v>5492</v>
      </c>
      <c r="J65" s="2">
        <v>1016.59</v>
      </c>
      <c r="K65" s="16">
        <f>Table13[[#This Row],[Profit]]/Table13[[#This Row],[Sales]]</f>
        <v>0.18510378732702112</v>
      </c>
      <c r="L65" s="17" t="str">
        <f t="shared" si="0"/>
        <v>Low</v>
      </c>
      <c r="M65" s="17" t="str">
        <f t="shared" si="1"/>
        <v>Aug</v>
      </c>
      <c r="N65" s="18">
        <f>YEAR(Table13[[#This Row],[Order_Date]])</f>
        <v>2023</v>
      </c>
      <c r="O65" s="18">
        <f>Table13[[#This Row],[Price]]*0.7</f>
        <v>1922.1999999999998</v>
      </c>
      <c r="P65" s="18">
        <f t="shared" si="2"/>
        <v>1647.6000000000004</v>
      </c>
      <c r="Q65" s="18">
        <f t="shared" si="3"/>
        <v>0.05</v>
      </c>
      <c r="R65" s="18">
        <f t="shared" si="4"/>
        <v>4475.41</v>
      </c>
      <c r="S65" s="18" t="str">
        <f>IF(Table13[[#This Row],[Quantity]]&lt;=3,"Small",IF(Table13[[#This Row],[Quantity]]&lt;=6,"Medium","Bulk"))</f>
        <v>Small</v>
      </c>
      <c r="T65" s="18" t="str">
        <f t="shared" si="5"/>
        <v>High Demand</v>
      </c>
      <c r="U65" s="18" t="str">
        <f t="shared" si="6"/>
        <v>low Value</v>
      </c>
    </row>
    <row r="66" spans="1:21" x14ac:dyDescent="0.3">
      <c r="A66" t="s">
        <v>74</v>
      </c>
      <c r="B66" s="1">
        <v>45122</v>
      </c>
      <c r="C66" t="s">
        <v>1211</v>
      </c>
      <c r="D66" t="s">
        <v>1215</v>
      </c>
      <c r="E66" t="s">
        <v>1221</v>
      </c>
      <c r="F66" t="s">
        <v>1231</v>
      </c>
      <c r="G66" s="6">
        <v>2</v>
      </c>
      <c r="H66">
        <v>314</v>
      </c>
      <c r="I66">
        <v>628</v>
      </c>
      <c r="J66" s="2">
        <v>80.33</v>
      </c>
      <c r="K66" s="16">
        <f>Table13[[#This Row],[Profit]]/Table13[[#This Row],[Sales]]</f>
        <v>0.1279140127388535</v>
      </c>
      <c r="L66" s="17" t="str">
        <f t="shared" ref="L66:L129" si="7">IF(I66&gt;20000,"High",IF(I66&gt;10000,"Medium","Low"))</f>
        <v>Low</v>
      </c>
      <c r="M66" s="17" t="str">
        <f t="shared" ref="M66:M129" si="8">TEXT(B66,"mmm")</f>
        <v>Jul</v>
      </c>
      <c r="N66" s="18">
        <f>YEAR(Table13[[#This Row],[Order_Date]])</f>
        <v>2023</v>
      </c>
      <c r="O66" s="18">
        <f>Table13[[#This Row],[Price]]*0.7</f>
        <v>219.79999999999998</v>
      </c>
      <c r="P66" s="18">
        <f t="shared" ref="P66:P129" si="9">I66 - (G66 *O66)</f>
        <v>188.40000000000003</v>
      </c>
      <c r="Q66" s="18">
        <f t="shared" ref="Q66:Q129" si="10">IF(G66&gt;5,0.1,0.05)</f>
        <v>0.05</v>
      </c>
      <c r="R66" s="18">
        <f t="shared" ref="R66:R129" si="11">I66*(1-K66)</f>
        <v>547.66999999999996</v>
      </c>
      <c r="S66" s="18" t="str">
        <f>IF(Table13[[#This Row],[Quantity]]&lt;=3,"Small",IF(Table13[[#This Row],[Quantity]]&lt;=6,"Medium","Bulk"))</f>
        <v>Small</v>
      </c>
      <c r="T66" s="18" t="str">
        <f t="shared" ref="T66:T129" si="12">IF(C66="North","High Demand","Normal")</f>
        <v>Normal</v>
      </c>
      <c r="U66" s="18" t="str">
        <f t="shared" ref="U66:U129" si="13">IF(I66&gt;20000,"High Value",IF(I66&gt;10000,"Medium Value","low Value"))</f>
        <v>low Value</v>
      </c>
    </row>
    <row r="67" spans="1:21" x14ac:dyDescent="0.3">
      <c r="A67" t="s">
        <v>75</v>
      </c>
      <c r="B67" s="1">
        <v>45175</v>
      </c>
      <c r="C67" t="s">
        <v>1213</v>
      </c>
      <c r="D67" t="s">
        <v>1217</v>
      </c>
      <c r="E67" t="s">
        <v>1220</v>
      </c>
      <c r="F67" t="s">
        <v>1228</v>
      </c>
      <c r="G67" s="6">
        <v>8</v>
      </c>
      <c r="H67">
        <v>928</v>
      </c>
      <c r="I67">
        <v>7424</v>
      </c>
      <c r="J67" s="2">
        <v>1607.98</v>
      </c>
      <c r="K67" s="16">
        <f>Table13[[#This Row],[Profit]]/Table13[[#This Row],[Sales]]</f>
        <v>0.21659213362068966</v>
      </c>
      <c r="L67" s="17" t="str">
        <f t="shared" si="7"/>
        <v>Low</v>
      </c>
      <c r="M67" s="17" t="str">
        <f t="shared" si="8"/>
        <v>Sep</v>
      </c>
      <c r="N67" s="18">
        <f>YEAR(Table13[[#This Row],[Order_Date]])</f>
        <v>2023</v>
      </c>
      <c r="O67" s="18">
        <f>Table13[[#This Row],[Price]]*0.7</f>
        <v>649.59999999999991</v>
      </c>
      <c r="P67" s="18">
        <f t="shared" si="9"/>
        <v>2227.2000000000007</v>
      </c>
      <c r="Q67" s="18">
        <f t="shared" si="10"/>
        <v>0.1</v>
      </c>
      <c r="R67" s="18">
        <f t="shared" si="11"/>
        <v>5816.02</v>
      </c>
      <c r="S67" s="18" t="str">
        <f>IF(Table13[[#This Row],[Quantity]]&lt;=3,"Small",IF(Table13[[#This Row],[Quantity]]&lt;=6,"Medium","Bulk"))</f>
        <v>Bulk</v>
      </c>
      <c r="T67" s="18" t="str">
        <f t="shared" si="12"/>
        <v>Normal</v>
      </c>
      <c r="U67" s="18" t="str">
        <f t="shared" si="13"/>
        <v>low Value</v>
      </c>
    </row>
    <row r="68" spans="1:21" x14ac:dyDescent="0.3">
      <c r="A68" t="s">
        <v>76</v>
      </c>
      <c r="B68" s="1">
        <v>44962</v>
      </c>
      <c r="C68" t="s">
        <v>1211</v>
      </c>
      <c r="D68" t="s">
        <v>1218</v>
      </c>
      <c r="E68" t="s">
        <v>1222</v>
      </c>
      <c r="F68" t="s">
        <v>1234</v>
      </c>
      <c r="G68" s="6">
        <v>8</v>
      </c>
      <c r="H68">
        <v>2986</v>
      </c>
      <c r="I68">
        <v>23888</v>
      </c>
      <c r="J68" s="2">
        <v>5933.44</v>
      </c>
      <c r="K68" s="16">
        <f>Table13[[#This Row],[Profit]]/Table13[[#This Row],[Sales]]</f>
        <v>0.24838580040187541</v>
      </c>
      <c r="L68" s="17" t="str">
        <f t="shared" si="7"/>
        <v>High</v>
      </c>
      <c r="M68" s="17" t="str">
        <f t="shared" si="8"/>
        <v>Feb</v>
      </c>
      <c r="N68" s="18">
        <f>YEAR(Table13[[#This Row],[Order_Date]])</f>
        <v>2023</v>
      </c>
      <c r="O68" s="18">
        <f>Table13[[#This Row],[Price]]*0.7</f>
        <v>2090.1999999999998</v>
      </c>
      <c r="P68" s="18">
        <f t="shared" si="9"/>
        <v>7166.4000000000015</v>
      </c>
      <c r="Q68" s="18">
        <f t="shared" si="10"/>
        <v>0.1</v>
      </c>
      <c r="R68" s="18">
        <f t="shared" si="11"/>
        <v>17954.560000000001</v>
      </c>
      <c r="S68" s="18" t="str">
        <f>IF(Table13[[#This Row],[Quantity]]&lt;=3,"Small",IF(Table13[[#This Row],[Quantity]]&lt;=6,"Medium","Bulk"))</f>
        <v>Bulk</v>
      </c>
      <c r="T68" s="18" t="str">
        <f t="shared" si="12"/>
        <v>Normal</v>
      </c>
      <c r="U68" s="18" t="str">
        <f t="shared" si="13"/>
        <v>High Value</v>
      </c>
    </row>
    <row r="69" spans="1:21" x14ac:dyDescent="0.3">
      <c r="A69" t="s">
        <v>77</v>
      </c>
      <c r="B69" s="1">
        <v>45109</v>
      </c>
      <c r="C69" t="s">
        <v>1212</v>
      </c>
      <c r="D69" t="s">
        <v>1218</v>
      </c>
      <c r="E69" t="s">
        <v>1219</v>
      </c>
      <c r="F69" t="s">
        <v>1223</v>
      </c>
      <c r="G69" s="6">
        <v>8</v>
      </c>
      <c r="H69">
        <v>4332</v>
      </c>
      <c r="I69">
        <v>34656</v>
      </c>
      <c r="J69" s="2">
        <v>4178.18</v>
      </c>
      <c r="K69" s="16">
        <f>Table13[[#This Row],[Profit]]/Table13[[#This Row],[Sales]]</f>
        <v>0.12056151892890121</v>
      </c>
      <c r="L69" s="17" t="str">
        <f t="shared" si="7"/>
        <v>High</v>
      </c>
      <c r="M69" s="17" t="str">
        <f t="shared" si="8"/>
        <v>Jul</v>
      </c>
      <c r="N69" s="18">
        <f>YEAR(Table13[[#This Row],[Order_Date]])</f>
        <v>2023</v>
      </c>
      <c r="O69" s="18">
        <f>Table13[[#This Row],[Price]]*0.7</f>
        <v>3032.3999999999996</v>
      </c>
      <c r="P69" s="18">
        <f t="shared" si="9"/>
        <v>10396.800000000003</v>
      </c>
      <c r="Q69" s="18">
        <f t="shared" si="10"/>
        <v>0.1</v>
      </c>
      <c r="R69" s="18">
        <f t="shared" si="11"/>
        <v>30477.82</v>
      </c>
      <c r="S69" s="18" t="str">
        <f>IF(Table13[[#This Row],[Quantity]]&lt;=3,"Small",IF(Table13[[#This Row],[Quantity]]&lt;=6,"Medium","Bulk"))</f>
        <v>Bulk</v>
      </c>
      <c r="T69" s="18" t="str">
        <f t="shared" si="12"/>
        <v>High Demand</v>
      </c>
      <c r="U69" s="18" t="str">
        <f t="shared" si="13"/>
        <v>High Value</v>
      </c>
    </row>
    <row r="70" spans="1:21" x14ac:dyDescent="0.3">
      <c r="A70" t="s">
        <v>78</v>
      </c>
      <c r="B70" s="1">
        <v>45143</v>
      </c>
      <c r="C70" t="s">
        <v>1211</v>
      </c>
      <c r="D70" t="s">
        <v>1215</v>
      </c>
      <c r="E70" t="s">
        <v>1219</v>
      </c>
      <c r="F70" t="s">
        <v>1232</v>
      </c>
      <c r="G70" s="6">
        <v>1</v>
      </c>
      <c r="H70">
        <v>4152</v>
      </c>
      <c r="I70">
        <v>4152</v>
      </c>
      <c r="J70" s="2">
        <v>688.79</v>
      </c>
      <c r="K70" s="16">
        <f>Table13[[#This Row],[Profit]]/Table13[[#This Row],[Sales]]</f>
        <v>0.16589354527938341</v>
      </c>
      <c r="L70" s="17" t="str">
        <f t="shared" si="7"/>
        <v>Low</v>
      </c>
      <c r="M70" s="17" t="str">
        <f t="shared" si="8"/>
        <v>Aug</v>
      </c>
      <c r="N70" s="18">
        <f>YEAR(Table13[[#This Row],[Order_Date]])</f>
        <v>2023</v>
      </c>
      <c r="O70" s="18">
        <f>Table13[[#This Row],[Price]]*0.7</f>
        <v>2906.3999999999996</v>
      </c>
      <c r="P70" s="18">
        <f t="shared" si="9"/>
        <v>1245.6000000000004</v>
      </c>
      <c r="Q70" s="18">
        <f t="shared" si="10"/>
        <v>0.05</v>
      </c>
      <c r="R70" s="18">
        <f t="shared" si="11"/>
        <v>3463.21</v>
      </c>
      <c r="S70" s="18" t="str">
        <f>IF(Table13[[#This Row],[Quantity]]&lt;=3,"Small",IF(Table13[[#This Row],[Quantity]]&lt;=6,"Medium","Bulk"))</f>
        <v>Small</v>
      </c>
      <c r="T70" s="18" t="str">
        <f t="shared" si="12"/>
        <v>Normal</v>
      </c>
      <c r="U70" s="18" t="str">
        <f t="shared" si="13"/>
        <v>low Value</v>
      </c>
    </row>
    <row r="71" spans="1:21" x14ac:dyDescent="0.3">
      <c r="A71" t="s">
        <v>79</v>
      </c>
      <c r="B71" s="1">
        <v>45002</v>
      </c>
      <c r="C71" t="s">
        <v>1212</v>
      </c>
      <c r="D71" t="s">
        <v>1216</v>
      </c>
      <c r="E71" t="s">
        <v>1219</v>
      </c>
      <c r="F71" t="s">
        <v>1238</v>
      </c>
      <c r="G71" s="6">
        <v>1</v>
      </c>
      <c r="H71">
        <v>595</v>
      </c>
      <c r="I71">
        <v>595</v>
      </c>
      <c r="J71" s="2">
        <v>144.56</v>
      </c>
      <c r="K71" s="16">
        <f>Table13[[#This Row],[Profit]]/Table13[[#This Row],[Sales]]</f>
        <v>0.24295798319327733</v>
      </c>
      <c r="L71" s="17" t="str">
        <f t="shared" si="7"/>
        <v>Low</v>
      </c>
      <c r="M71" s="17" t="str">
        <f t="shared" si="8"/>
        <v>Mar</v>
      </c>
      <c r="N71" s="18">
        <f>YEAR(Table13[[#This Row],[Order_Date]])</f>
        <v>2023</v>
      </c>
      <c r="O71" s="18">
        <f>Table13[[#This Row],[Price]]*0.7</f>
        <v>416.5</v>
      </c>
      <c r="P71" s="18">
        <f t="shared" si="9"/>
        <v>178.5</v>
      </c>
      <c r="Q71" s="18">
        <f t="shared" si="10"/>
        <v>0.05</v>
      </c>
      <c r="R71" s="18">
        <f t="shared" si="11"/>
        <v>450.44</v>
      </c>
      <c r="S71" s="18" t="str">
        <f>IF(Table13[[#This Row],[Quantity]]&lt;=3,"Small",IF(Table13[[#This Row],[Quantity]]&lt;=6,"Medium","Bulk"))</f>
        <v>Small</v>
      </c>
      <c r="T71" s="18" t="str">
        <f t="shared" si="12"/>
        <v>High Demand</v>
      </c>
      <c r="U71" s="18" t="str">
        <f t="shared" si="13"/>
        <v>low Value</v>
      </c>
    </row>
    <row r="72" spans="1:21" x14ac:dyDescent="0.3">
      <c r="A72" t="s">
        <v>80</v>
      </c>
      <c r="B72" s="1">
        <v>44995</v>
      </c>
      <c r="C72" t="s">
        <v>1210</v>
      </c>
      <c r="D72" t="s">
        <v>1216</v>
      </c>
      <c r="E72" t="s">
        <v>1220</v>
      </c>
      <c r="F72" t="s">
        <v>1237</v>
      </c>
      <c r="G72" s="6">
        <v>4</v>
      </c>
      <c r="H72">
        <v>3777</v>
      </c>
      <c r="I72">
        <v>15108</v>
      </c>
      <c r="J72" s="2">
        <v>2831.43</v>
      </c>
      <c r="K72" s="16">
        <f>Table13[[#This Row],[Profit]]/Table13[[#This Row],[Sales]]</f>
        <v>0.18741262907069101</v>
      </c>
      <c r="L72" s="17" t="str">
        <f t="shared" si="7"/>
        <v>Medium</v>
      </c>
      <c r="M72" s="17" t="str">
        <f t="shared" si="8"/>
        <v>Mar</v>
      </c>
      <c r="N72" s="18">
        <f>YEAR(Table13[[#This Row],[Order_Date]])</f>
        <v>2023</v>
      </c>
      <c r="O72" s="18">
        <f>Table13[[#This Row],[Price]]*0.7</f>
        <v>2643.8999999999996</v>
      </c>
      <c r="P72" s="18">
        <f t="shared" si="9"/>
        <v>4532.4000000000015</v>
      </c>
      <c r="Q72" s="18">
        <f t="shared" si="10"/>
        <v>0.05</v>
      </c>
      <c r="R72" s="18">
        <f t="shared" si="11"/>
        <v>12276.57</v>
      </c>
      <c r="S72" s="18" t="str">
        <f>IF(Table13[[#This Row],[Quantity]]&lt;=3,"Small",IF(Table13[[#This Row],[Quantity]]&lt;=6,"Medium","Bulk"))</f>
        <v>Medium</v>
      </c>
      <c r="T72" s="18" t="str">
        <f t="shared" si="12"/>
        <v>Normal</v>
      </c>
      <c r="U72" s="18" t="str">
        <f t="shared" si="13"/>
        <v>Medium Value</v>
      </c>
    </row>
    <row r="73" spans="1:21" x14ac:dyDescent="0.3">
      <c r="A73" t="s">
        <v>81</v>
      </c>
      <c r="B73" s="1">
        <v>44983</v>
      </c>
      <c r="C73" t="s">
        <v>1210</v>
      </c>
      <c r="D73" t="s">
        <v>1215</v>
      </c>
      <c r="E73" t="s">
        <v>1222</v>
      </c>
      <c r="F73" t="s">
        <v>1236</v>
      </c>
      <c r="G73" s="6">
        <v>5</v>
      </c>
      <c r="H73">
        <v>3836</v>
      </c>
      <c r="I73">
        <v>19180</v>
      </c>
      <c r="J73" s="2">
        <v>4115.42</v>
      </c>
      <c r="K73" s="16">
        <f>Table13[[#This Row],[Profit]]/Table13[[#This Row],[Sales]]</f>
        <v>0.21456830031282587</v>
      </c>
      <c r="L73" s="17" t="str">
        <f t="shared" si="7"/>
        <v>Medium</v>
      </c>
      <c r="M73" s="17" t="str">
        <f t="shared" si="8"/>
        <v>Feb</v>
      </c>
      <c r="N73" s="18">
        <f>YEAR(Table13[[#This Row],[Order_Date]])</f>
        <v>2023</v>
      </c>
      <c r="O73" s="18">
        <f>Table13[[#This Row],[Price]]*0.7</f>
        <v>2685.2</v>
      </c>
      <c r="P73" s="18">
        <f t="shared" si="9"/>
        <v>5754</v>
      </c>
      <c r="Q73" s="18">
        <f t="shared" si="10"/>
        <v>0.05</v>
      </c>
      <c r="R73" s="18">
        <f t="shared" si="11"/>
        <v>15064.580000000002</v>
      </c>
      <c r="S73" s="18" t="str">
        <f>IF(Table13[[#This Row],[Quantity]]&lt;=3,"Small",IF(Table13[[#This Row],[Quantity]]&lt;=6,"Medium","Bulk"))</f>
        <v>Medium</v>
      </c>
      <c r="T73" s="18" t="str">
        <f t="shared" si="12"/>
        <v>Normal</v>
      </c>
      <c r="U73" s="18" t="str">
        <f t="shared" si="13"/>
        <v>Medium Value</v>
      </c>
    </row>
    <row r="74" spans="1:21" x14ac:dyDescent="0.3">
      <c r="A74" t="s">
        <v>82</v>
      </c>
      <c r="B74" s="1">
        <v>45089</v>
      </c>
      <c r="C74" t="s">
        <v>1210</v>
      </c>
      <c r="D74" t="s">
        <v>1215</v>
      </c>
      <c r="E74" t="s">
        <v>1222</v>
      </c>
      <c r="F74" t="s">
        <v>1230</v>
      </c>
      <c r="G74" s="6">
        <v>7</v>
      </c>
      <c r="H74">
        <v>3494</v>
      </c>
      <c r="I74">
        <v>24458</v>
      </c>
      <c r="J74" s="2">
        <v>2188.94</v>
      </c>
      <c r="K74" s="16">
        <f>Table13[[#This Row],[Profit]]/Table13[[#This Row],[Sales]]</f>
        <v>8.9497914792705871E-2</v>
      </c>
      <c r="L74" s="17" t="str">
        <f t="shared" si="7"/>
        <v>High</v>
      </c>
      <c r="M74" s="17" t="str">
        <f t="shared" si="8"/>
        <v>Jun</v>
      </c>
      <c r="N74" s="18">
        <f>YEAR(Table13[[#This Row],[Order_Date]])</f>
        <v>2023</v>
      </c>
      <c r="O74" s="18">
        <f>Table13[[#This Row],[Price]]*0.7</f>
        <v>2445.7999999999997</v>
      </c>
      <c r="P74" s="18">
        <f t="shared" si="9"/>
        <v>7337.4000000000015</v>
      </c>
      <c r="Q74" s="18">
        <f t="shared" si="10"/>
        <v>0.1</v>
      </c>
      <c r="R74" s="18">
        <f t="shared" si="11"/>
        <v>22269.06</v>
      </c>
      <c r="S74" s="18" t="str">
        <f>IF(Table13[[#This Row],[Quantity]]&lt;=3,"Small",IF(Table13[[#This Row],[Quantity]]&lt;=6,"Medium","Bulk"))</f>
        <v>Bulk</v>
      </c>
      <c r="T74" s="18" t="str">
        <f t="shared" si="12"/>
        <v>Normal</v>
      </c>
      <c r="U74" s="18" t="str">
        <f t="shared" si="13"/>
        <v>High Value</v>
      </c>
    </row>
    <row r="75" spans="1:21" x14ac:dyDescent="0.3">
      <c r="A75" t="s">
        <v>83</v>
      </c>
      <c r="B75" s="1">
        <v>45179</v>
      </c>
      <c r="C75" t="s">
        <v>1211</v>
      </c>
      <c r="D75" t="s">
        <v>1215</v>
      </c>
      <c r="E75" t="s">
        <v>1219</v>
      </c>
      <c r="F75" t="s">
        <v>1238</v>
      </c>
      <c r="G75" s="6">
        <v>2</v>
      </c>
      <c r="H75">
        <v>1153</v>
      </c>
      <c r="I75">
        <v>2306</v>
      </c>
      <c r="J75" s="2">
        <v>426.83</v>
      </c>
      <c r="K75" s="16">
        <f>Table13[[#This Row],[Profit]]/Table13[[#This Row],[Sales]]</f>
        <v>0.18509540329575022</v>
      </c>
      <c r="L75" s="17" t="str">
        <f t="shared" si="7"/>
        <v>Low</v>
      </c>
      <c r="M75" s="17" t="str">
        <f t="shared" si="8"/>
        <v>Sep</v>
      </c>
      <c r="N75" s="18">
        <f>YEAR(Table13[[#This Row],[Order_Date]])</f>
        <v>2023</v>
      </c>
      <c r="O75" s="18">
        <f>Table13[[#This Row],[Price]]*0.7</f>
        <v>807.09999999999991</v>
      </c>
      <c r="P75" s="18">
        <f t="shared" si="9"/>
        <v>691.80000000000018</v>
      </c>
      <c r="Q75" s="18">
        <f t="shared" si="10"/>
        <v>0.05</v>
      </c>
      <c r="R75" s="18">
        <f t="shared" si="11"/>
        <v>1879.1699999999998</v>
      </c>
      <c r="S75" s="18" t="str">
        <f>IF(Table13[[#This Row],[Quantity]]&lt;=3,"Small",IF(Table13[[#This Row],[Quantity]]&lt;=6,"Medium","Bulk"))</f>
        <v>Small</v>
      </c>
      <c r="T75" s="18" t="str">
        <f t="shared" si="12"/>
        <v>Normal</v>
      </c>
      <c r="U75" s="18" t="str">
        <f t="shared" si="13"/>
        <v>low Value</v>
      </c>
    </row>
    <row r="76" spans="1:21" x14ac:dyDescent="0.3">
      <c r="A76" t="s">
        <v>84</v>
      </c>
      <c r="B76" s="1">
        <v>45120</v>
      </c>
      <c r="C76" t="s">
        <v>1212</v>
      </c>
      <c r="D76" t="s">
        <v>1215</v>
      </c>
      <c r="E76" t="s">
        <v>1221</v>
      </c>
      <c r="F76" t="s">
        <v>1229</v>
      </c>
      <c r="G76" s="6">
        <v>9</v>
      </c>
      <c r="H76">
        <v>3193</v>
      </c>
      <c r="I76">
        <v>28737</v>
      </c>
      <c r="J76" s="2">
        <v>6656.14</v>
      </c>
      <c r="K76" s="16">
        <f>Table13[[#This Row],[Profit]]/Table13[[#This Row],[Sales]]</f>
        <v>0.23162264676201413</v>
      </c>
      <c r="L76" s="17" t="str">
        <f t="shared" si="7"/>
        <v>High</v>
      </c>
      <c r="M76" s="17" t="str">
        <f t="shared" si="8"/>
        <v>Jul</v>
      </c>
      <c r="N76" s="18">
        <f>YEAR(Table13[[#This Row],[Order_Date]])</f>
        <v>2023</v>
      </c>
      <c r="O76" s="18">
        <f>Table13[[#This Row],[Price]]*0.7</f>
        <v>2235.1</v>
      </c>
      <c r="P76" s="18">
        <f t="shared" si="9"/>
        <v>8621.1000000000022</v>
      </c>
      <c r="Q76" s="18">
        <f t="shared" si="10"/>
        <v>0.1</v>
      </c>
      <c r="R76" s="18">
        <f t="shared" si="11"/>
        <v>22080.86</v>
      </c>
      <c r="S76" s="18" t="str">
        <f>IF(Table13[[#This Row],[Quantity]]&lt;=3,"Small",IF(Table13[[#This Row],[Quantity]]&lt;=6,"Medium","Bulk"))</f>
        <v>Bulk</v>
      </c>
      <c r="T76" s="18" t="str">
        <f t="shared" si="12"/>
        <v>High Demand</v>
      </c>
      <c r="U76" s="18" t="str">
        <f t="shared" si="13"/>
        <v>High Value</v>
      </c>
    </row>
    <row r="77" spans="1:21" x14ac:dyDescent="0.3">
      <c r="A77" t="s">
        <v>85</v>
      </c>
      <c r="B77" s="1">
        <v>45247</v>
      </c>
      <c r="C77" t="s">
        <v>1211</v>
      </c>
      <c r="D77" t="s">
        <v>1216</v>
      </c>
      <c r="E77" t="s">
        <v>1222</v>
      </c>
      <c r="F77" t="s">
        <v>1230</v>
      </c>
      <c r="G77" s="6">
        <v>3</v>
      </c>
      <c r="H77">
        <v>3919</v>
      </c>
      <c r="I77">
        <v>11757</v>
      </c>
      <c r="J77" s="2">
        <v>1688.61</v>
      </c>
      <c r="K77" s="16">
        <f>Table13[[#This Row],[Profit]]/Table13[[#This Row],[Sales]]</f>
        <v>0.14362592498086246</v>
      </c>
      <c r="L77" s="17" t="str">
        <f t="shared" si="7"/>
        <v>Medium</v>
      </c>
      <c r="M77" s="17" t="str">
        <f t="shared" si="8"/>
        <v>Nov</v>
      </c>
      <c r="N77" s="18">
        <f>YEAR(Table13[[#This Row],[Order_Date]])</f>
        <v>2023</v>
      </c>
      <c r="O77" s="18">
        <f>Table13[[#This Row],[Price]]*0.7</f>
        <v>2743.2999999999997</v>
      </c>
      <c r="P77" s="18">
        <f t="shared" si="9"/>
        <v>3527.1000000000004</v>
      </c>
      <c r="Q77" s="18">
        <f t="shared" si="10"/>
        <v>0.05</v>
      </c>
      <c r="R77" s="18">
        <f t="shared" si="11"/>
        <v>10068.39</v>
      </c>
      <c r="S77" s="18" t="str">
        <f>IF(Table13[[#This Row],[Quantity]]&lt;=3,"Small",IF(Table13[[#This Row],[Quantity]]&lt;=6,"Medium","Bulk"))</f>
        <v>Small</v>
      </c>
      <c r="T77" s="18" t="str">
        <f t="shared" si="12"/>
        <v>Normal</v>
      </c>
      <c r="U77" s="18" t="str">
        <f t="shared" si="13"/>
        <v>Medium Value</v>
      </c>
    </row>
    <row r="78" spans="1:21" x14ac:dyDescent="0.3">
      <c r="A78" t="s">
        <v>86</v>
      </c>
      <c r="B78" s="1">
        <v>45218</v>
      </c>
      <c r="C78" t="s">
        <v>1211</v>
      </c>
      <c r="D78" t="s">
        <v>1216</v>
      </c>
      <c r="E78" t="s">
        <v>1222</v>
      </c>
      <c r="F78" t="s">
        <v>1227</v>
      </c>
      <c r="G78" s="6">
        <v>7</v>
      </c>
      <c r="H78">
        <v>4512</v>
      </c>
      <c r="I78">
        <v>31584</v>
      </c>
      <c r="J78" s="2">
        <v>5704.74</v>
      </c>
      <c r="K78" s="16">
        <f>Table13[[#This Row],[Profit]]/Table13[[#This Row],[Sales]]</f>
        <v>0.18062120060790274</v>
      </c>
      <c r="L78" s="17" t="str">
        <f t="shared" si="7"/>
        <v>High</v>
      </c>
      <c r="M78" s="17" t="str">
        <f t="shared" si="8"/>
        <v>Oct</v>
      </c>
      <c r="N78" s="18">
        <f>YEAR(Table13[[#This Row],[Order_Date]])</f>
        <v>2023</v>
      </c>
      <c r="O78" s="18">
        <f>Table13[[#This Row],[Price]]*0.7</f>
        <v>3158.3999999999996</v>
      </c>
      <c r="P78" s="18">
        <f t="shared" si="9"/>
        <v>9475.2000000000044</v>
      </c>
      <c r="Q78" s="18">
        <f t="shared" si="10"/>
        <v>0.1</v>
      </c>
      <c r="R78" s="18">
        <f t="shared" si="11"/>
        <v>25879.26</v>
      </c>
      <c r="S78" s="18" t="str">
        <f>IF(Table13[[#This Row],[Quantity]]&lt;=3,"Small",IF(Table13[[#This Row],[Quantity]]&lt;=6,"Medium","Bulk"))</f>
        <v>Bulk</v>
      </c>
      <c r="T78" s="18" t="str">
        <f t="shared" si="12"/>
        <v>Normal</v>
      </c>
      <c r="U78" s="18" t="str">
        <f t="shared" si="13"/>
        <v>High Value</v>
      </c>
    </row>
    <row r="79" spans="1:21" x14ac:dyDescent="0.3">
      <c r="A79" t="s">
        <v>87</v>
      </c>
      <c r="B79" s="1">
        <v>45272</v>
      </c>
      <c r="C79" t="s">
        <v>1210</v>
      </c>
      <c r="D79" t="s">
        <v>1214</v>
      </c>
      <c r="E79" t="s">
        <v>1219</v>
      </c>
      <c r="F79" t="s">
        <v>1239</v>
      </c>
      <c r="G79" s="6">
        <v>6</v>
      </c>
      <c r="H79">
        <v>2414</v>
      </c>
      <c r="I79">
        <v>14484</v>
      </c>
      <c r="J79" s="2">
        <v>2203.27</v>
      </c>
      <c r="K79" s="16">
        <f>Table13[[#This Row],[Profit]]/Table13[[#This Row],[Sales]]</f>
        <v>0.15211750897542115</v>
      </c>
      <c r="L79" s="17" t="str">
        <f t="shared" si="7"/>
        <v>Medium</v>
      </c>
      <c r="M79" s="17" t="str">
        <f t="shared" si="8"/>
        <v>Dec</v>
      </c>
      <c r="N79" s="18">
        <f>YEAR(Table13[[#This Row],[Order_Date]])</f>
        <v>2023</v>
      </c>
      <c r="O79" s="18">
        <f>Table13[[#This Row],[Price]]*0.7</f>
        <v>1689.8</v>
      </c>
      <c r="P79" s="18">
        <f t="shared" si="9"/>
        <v>4345.2000000000007</v>
      </c>
      <c r="Q79" s="18">
        <f t="shared" si="10"/>
        <v>0.1</v>
      </c>
      <c r="R79" s="18">
        <f t="shared" si="11"/>
        <v>12280.73</v>
      </c>
      <c r="S79" s="18" t="str">
        <f>IF(Table13[[#This Row],[Quantity]]&lt;=3,"Small",IF(Table13[[#This Row],[Quantity]]&lt;=6,"Medium","Bulk"))</f>
        <v>Medium</v>
      </c>
      <c r="T79" s="18" t="str">
        <f t="shared" si="12"/>
        <v>Normal</v>
      </c>
      <c r="U79" s="18" t="str">
        <f t="shared" si="13"/>
        <v>Medium Value</v>
      </c>
    </row>
    <row r="80" spans="1:21" x14ac:dyDescent="0.3">
      <c r="A80" t="s">
        <v>88</v>
      </c>
      <c r="B80" s="1">
        <v>45074</v>
      </c>
      <c r="C80" t="s">
        <v>1213</v>
      </c>
      <c r="D80" t="s">
        <v>1215</v>
      </c>
      <c r="E80" t="s">
        <v>1222</v>
      </c>
      <c r="F80" t="s">
        <v>1234</v>
      </c>
      <c r="G80" s="6">
        <v>2</v>
      </c>
      <c r="H80">
        <v>1443</v>
      </c>
      <c r="I80">
        <v>2886</v>
      </c>
      <c r="J80" s="2">
        <v>511.26</v>
      </c>
      <c r="K80" s="16">
        <f>Table13[[#This Row],[Profit]]/Table13[[#This Row],[Sales]]</f>
        <v>0.17715176715176714</v>
      </c>
      <c r="L80" s="17" t="str">
        <f t="shared" si="7"/>
        <v>Low</v>
      </c>
      <c r="M80" s="17" t="str">
        <f t="shared" si="8"/>
        <v>May</v>
      </c>
      <c r="N80" s="18">
        <f>YEAR(Table13[[#This Row],[Order_Date]])</f>
        <v>2023</v>
      </c>
      <c r="O80" s="18">
        <f>Table13[[#This Row],[Price]]*0.7</f>
        <v>1010.0999999999999</v>
      </c>
      <c r="P80" s="18">
        <f t="shared" si="9"/>
        <v>865.80000000000018</v>
      </c>
      <c r="Q80" s="18">
        <f t="shared" si="10"/>
        <v>0.05</v>
      </c>
      <c r="R80" s="18">
        <f t="shared" si="11"/>
        <v>2374.7399999999998</v>
      </c>
      <c r="S80" s="18" t="str">
        <f>IF(Table13[[#This Row],[Quantity]]&lt;=3,"Small",IF(Table13[[#This Row],[Quantity]]&lt;=6,"Medium","Bulk"))</f>
        <v>Small</v>
      </c>
      <c r="T80" s="18" t="str">
        <f t="shared" si="12"/>
        <v>Normal</v>
      </c>
      <c r="U80" s="18" t="str">
        <f t="shared" si="13"/>
        <v>low Value</v>
      </c>
    </row>
    <row r="81" spans="1:21" x14ac:dyDescent="0.3">
      <c r="A81" t="s">
        <v>89</v>
      </c>
      <c r="B81" s="1">
        <v>45274</v>
      </c>
      <c r="C81" t="s">
        <v>1211</v>
      </c>
      <c r="D81" t="s">
        <v>1218</v>
      </c>
      <c r="E81" t="s">
        <v>1219</v>
      </c>
      <c r="F81" t="s">
        <v>1232</v>
      </c>
      <c r="G81" s="6">
        <v>7</v>
      </c>
      <c r="H81">
        <v>3272</v>
      </c>
      <c r="I81">
        <v>22904</v>
      </c>
      <c r="J81" s="2">
        <v>4484.07</v>
      </c>
      <c r="K81" s="16">
        <f>Table13[[#This Row],[Profit]]/Table13[[#This Row],[Sales]]</f>
        <v>0.19577672022354173</v>
      </c>
      <c r="L81" s="17" t="str">
        <f t="shared" si="7"/>
        <v>High</v>
      </c>
      <c r="M81" s="17" t="str">
        <f t="shared" si="8"/>
        <v>Dec</v>
      </c>
      <c r="N81" s="18">
        <f>YEAR(Table13[[#This Row],[Order_Date]])</f>
        <v>2023</v>
      </c>
      <c r="O81" s="18">
        <f>Table13[[#This Row],[Price]]*0.7</f>
        <v>2290.3999999999996</v>
      </c>
      <c r="P81" s="18">
        <f t="shared" si="9"/>
        <v>6871.2000000000025</v>
      </c>
      <c r="Q81" s="18">
        <f t="shared" si="10"/>
        <v>0.1</v>
      </c>
      <c r="R81" s="18">
        <f t="shared" si="11"/>
        <v>18419.93</v>
      </c>
      <c r="S81" s="18" t="str">
        <f>IF(Table13[[#This Row],[Quantity]]&lt;=3,"Small",IF(Table13[[#This Row],[Quantity]]&lt;=6,"Medium","Bulk"))</f>
        <v>Bulk</v>
      </c>
      <c r="T81" s="18" t="str">
        <f t="shared" si="12"/>
        <v>Normal</v>
      </c>
      <c r="U81" s="18" t="str">
        <f t="shared" si="13"/>
        <v>High Value</v>
      </c>
    </row>
    <row r="82" spans="1:21" x14ac:dyDescent="0.3">
      <c r="A82" t="s">
        <v>90</v>
      </c>
      <c r="B82" s="1">
        <v>45043</v>
      </c>
      <c r="C82" t="s">
        <v>1211</v>
      </c>
      <c r="D82" t="s">
        <v>1217</v>
      </c>
      <c r="E82" t="s">
        <v>1219</v>
      </c>
      <c r="F82" t="s">
        <v>1223</v>
      </c>
      <c r="G82" s="6">
        <v>1</v>
      </c>
      <c r="H82">
        <v>1023</v>
      </c>
      <c r="I82">
        <v>1023</v>
      </c>
      <c r="J82" s="2">
        <v>173.73</v>
      </c>
      <c r="K82" s="16">
        <f>Table13[[#This Row],[Profit]]/Table13[[#This Row],[Sales]]</f>
        <v>0.16982404692082109</v>
      </c>
      <c r="L82" s="17" t="str">
        <f t="shared" si="7"/>
        <v>Low</v>
      </c>
      <c r="M82" s="17" t="str">
        <f t="shared" si="8"/>
        <v>Apr</v>
      </c>
      <c r="N82" s="18">
        <f>YEAR(Table13[[#This Row],[Order_Date]])</f>
        <v>2023</v>
      </c>
      <c r="O82" s="18">
        <f>Table13[[#This Row],[Price]]*0.7</f>
        <v>716.09999999999991</v>
      </c>
      <c r="P82" s="18">
        <f t="shared" si="9"/>
        <v>306.90000000000009</v>
      </c>
      <c r="Q82" s="18">
        <f t="shared" si="10"/>
        <v>0.05</v>
      </c>
      <c r="R82" s="18">
        <f t="shared" si="11"/>
        <v>849.27</v>
      </c>
      <c r="S82" s="18" t="str">
        <f>IF(Table13[[#This Row],[Quantity]]&lt;=3,"Small",IF(Table13[[#This Row],[Quantity]]&lt;=6,"Medium","Bulk"))</f>
        <v>Small</v>
      </c>
      <c r="T82" s="18" t="str">
        <f t="shared" si="12"/>
        <v>Normal</v>
      </c>
      <c r="U82" s="18" t="str">
        <f t="shared" si="13"/>
        <v>low Value</v>
      </c>
    </row>
    <row r="83" spans="1:21" x14ac:dyDescent="0.3">
      <c r="A83" t="s">
        <v>91</v>
      </c>
      <c r="B83" s="1">
        <v>45129</v>
      </c>
      <c r="C83" t="s">
        <v>1213</v>
      </c>
      <c r="D83" t="s">
        <v>1215</v>
      </c>
      <c r="E83" t="s">
        <v>1221</v>
      </c>
      <c r="F83" t="s">
        <v>1231</v>
      </c>
      <c r="G83" s="6">
        <v>5</v>
      </c>
      <c r="H83">
        <v>4375</v>
      </c>
      <c r="I83">
        <v>21875</v>
      </c>
      <c r="J83" s="2">
        <v>3712.39</v>
      </c>
      <c r="K83" s="16">
        <f>Table13[[#This Row],[Profit]]/Table13[[#This Row],[Sales]]</f>
        <v>0.16970925714285715</v>
      </c>
      <c r="L83" s="17" t="str">
        <f t="shared" si="7"/>
        <v>High</v>
      </c>
      <c r="M83" s="17" t="str">
        <f t="shared" si="8"/>
        <v>Jul</v>
      </c>
      <c r="N83" s="18">
        <f>YEAR(Table13[[#This Row],[Order_Date]])</f>
        <v>2023</v>
      </c>
      <c r="O83" s="18">
        <f>Table13[[#This Row],[Price]]*0.7</f>
        <v>3062.5</v>
      </c>
      <c r="P83" s="18">
        <f t="shared" si="9"/>
        <v>6562.5</v>
      </c>
      <c r="Q83" s="18">
        <f t="shared" si="10"/>
        <v>0.05</v>
      </c>
      <c r="R83" s="18">
        <f t="shared" si="11"/>
        <v>18162.61</v>
      </c>
      <c r="S83" s="18" t="str">
        <f>IF(Table13[[#This Row],[Quantity]]&lt;=3,"Small",IF(Table13[[#This Row],[Quantity]]&lt;=6,"Medium","Bulk"))</f>
        <v>Medium</v>
      </c>
      <c r="T83" s="18" t="str">
        <f t="shared" si="12"/>
        <v>Normal</v>
      </c>
      <c r="U83" s="18" t="str">
        <f t="shared" si="13"/>
        <v>High Value</v>
      </c>
    </row>
    <row r="84" spans="1:21" x14ac:dyDescent="0.3">
      <c r="A84" t="s">
        <v>92</v>
      </c>
      <c r="B84" s="1">
        <v>45159</v>
      </c>
      <c r="C84" t="s">
        <v>1212</v>
      </c>
      <c r="D84" t="s">
        <v>1218</v>
      </c>
      <c r="E84" t="s">
        <v>1221</v>
      </c>
      <c r="F84" t="s">
        <v>1235</v>
      </c>
      <c r="G84" s="6">
        <v>3</v>
      </c>
      <c r="H84">
        <v>3712</v>
      </c>
      <c r="I84">
        <v>11136</v>
      </c>
      <c r="J84" s="2">
        <v>1881.17</v>
      </c>
      <c r="K84" s="16">
        <f>Table13[[#This Row],[Profit]]/Table13[[#This Row],[Sales]]</f>
        <v>0.16892690373563218</v>
      </c>
      <c r="L84" s="17" t="str">
        <f t="shared" si="7"/>
        <v>Medium</v>
      </c>
      <c r="M84" s="17" t="str">
        <f t="shared" si="8"/>
        <v>Aug</v>
      </c>
      <c r="N84" s="18">
        <f>YEAR(Table13[[#This Row],[Order_Date]])</f>
        <v>2023</v>
      </c>
      <c r="O84" s="18">
        <f>Table13[[#This Row],[Price]]*0.7</f>
        <v>2598.3999999999996</v>
      </c>
      <c r="P84" s="18">
        <f t="shared" si="9"/>
        <v>3340.8000000000011</v>
      </c>
      <c r="Q84" s="18">
        <f t="shared" si="10"/>
        <v>0.05</v>
      </c>
      <c r="R84" s="18">
        <f t="shared" si="11"/>
        <v>9254.83</v>
      </c>
      <c r="S84" s="18" t="str">
        <f>IF(Table13[[#This Row],[Quantity]]&lt;=3,"Small",IF(Table13[[#This Row],[Quantity]]&lt;=6,"Medium","Bulk"))</f>
        <v>Small</v>
      </c>
      <c r="T84" s="18" t="str">
        <f t="shared" si="12"/>
        <v>High Demand</v>
      </c>
      <c r="U84" s="18" t="str">
        <f t="shared" si="13"/>
        <v>Medium Value</v>
      </c>
    </row>
    <row r="85" spans="1:21" x14ac:dyDescent="0.3">
      <c r="A85" t="s">
        <v>93</v>
      </c>
      <c r="B85" s="1">
        <v>44938</v>
      </c>
      <c r="C85" t="s">
        <v>1211</v>
      </c>
      <c r="D85" t="s">
        <v>1216</v>
      </c>
      <c r="E85" t="s">
        <v>1222</v>
      </c>
      <c r="F85" t="s">
        <v>1230</v>
      </c>
      <c r="G85" s="6">
        <v>6</v>
      </c>
      <c r="H85">
        <v>3530</v>
      </c>
      <c r="I85">
        <v>21180</v>
      </c>
      <c r="J85" s="2">
        <v>4939.1099999999997</v>
      </c>
      <c r="K85" s="16">
        <f>Table13[[#This Row],[Profit]]/Table13[[#This Row],[Sales]]</f>
        <v>0.23319688385269119</v>
      </c>
      <c r="L85" s="17" t="str">
        <f t="shared" si="7"/>
        <v>High</v>
      </c>
      <c r="M85" s="17" t="str">
        <f t="shared" si="8"/>
        <v>Jan</v>
      </c>
      <c r="N85" s="18">
        <f>YEAR(Table13[[#This Row],[Order_Date]])</f>
        <v>2023</v>
      </c>
      <c r="O85" s="18">
        <f>Table13[[#This Row],[Price]]*0.7</f>
        <v>2471</v>
      </c>
      <c r="P85" s="18">
        <f t="shared" si="9"/>
        <v>6354</v>
      </c>
      <c r="Q85" s="18">
        <f t="shared" si="10"/>
        <v>0.1</v>
      </c>
      <c r="R85" s="18">
        <f t="shared" si="11"/>
        <v>16240.89</v>
      </c>
      <c r="S85" s="18" t="str">
        <f>IF(Table13[[#This Row],[Quantity]]&lt;=3,"Small",IF(Table13[[#This Row],[Quantity]]&lt;=6,"Medium","Bulk"))</f>
        <v>Medium</v>
      </c>
      <c r="T85" s="18" t="str">
        <f t="shared" si="12"/>
        <v>Normal</v>
      </c>
      <c r="U85" s="18" t="str">
        <f t="shared" si="13"/>
        <v>High Value</v>
      </c>
    </row>
    <row r="86" spans="1:21" x14ac:dyDescent="0.3">
      <c r="A86" t="s">
        <v>94</v>
      </c>
      <c r="B86" s="1">
        <v>45016</v>
      </c>
      <c r="C86" t="s">
        <v>1213</v>
      </c>
      <c r="D86" t="s">
        <v>1217</v>
      </c>
      <c r="E86" t="s">
        <v>1221</v>
      </c>
      <c r="F86" t="s">
        <v>1226</v>
      </c>
      <c r="G86" s="6">
        <v>5</v>
      </c>
      <c r="H86">
        <v>1345</v>
      </c>
      <c r="I86">
        <v>6725</v>
      </c>
      <c r="J86" s="2">
        <v>753.07</v>
      </c>
      <c r="K86" s="16">
        <f>Table13[[#This Row],[Profit]]/Table13[[#This Row],[Sales]]</f>
        <v>0.11198066914498142</v>
      </c>
      <c r="L86" s="17" t="str">
        <f t="shared" si="7"/>
        <v>Low</v>
      </c>
      <c r="M86" s="17" t="str">
        <f t="shared" si="8"/>
        <v>Mar</v>
      </c>
      <c r="N86" s="18">
        <f>YEAR(Table13[[#This Row],[Order_Date]])</f>
        <v>2023</v>
      </c>
      <c r="O86" s="18">
        <f>Table13[[#This Row],[Price]]*0.7</f>
        <v>941.49999999999989</v>
      </c>
      <c r="P86" s="18">
        <f t="shared" si="9"/>
        <v>2017.5000000000009</v>
      </c>
      <c r="Q86" s="18">
        <f t="shared" si="10"/>
        <v>0.05</v>
      </c>
      <c r="R86" s="18">
        <f t="shared" si="11"/>
        <v>5971.93</v>
      </c>
      <c r="S86" s="18" t="str">
        <f>IF(Table13[[#This Row],[Quantity]]&lt;=3,"Small",IF(Table13[[#This Row],[Quantity]]&lt;=6,"Medium","Bulk"))</f>
        <v>Medium</v>
      </c>
      <c r="T86" s="18" t="str">
        <f t="shared" si="12"/>
        <v>Normal</v>
      </c>
      <c r="U86" s="18" t="str">
        <f t="shared" si="13"/>
        <v>low Value</v>
      </c>
    </row>
    <row r="87" spans="1:21" x14ac:dyDescent="0.3">
      <c r="A87" t="s">
        <v>95</v>
      </c>
      <c r="B87" s="1">
        <v>45071</v>
      </c>
      <c r="C87" t="s">
        <v>1212</v>
      </c>
      <c r="D87" t="s">
        <v>1218</v>
      </c>
      <c r="E87" t="s">
        <v>1221</v>
      </c>
      <c r="F87" t="s">
        <v>1229</v>
      </c>
      <c r="G87" s="6">
        <v>5</v>
      </c>
      <c r="H87">
        <v>4336</v>
      </c>
      <c r="I87">
        <v>21680</v>
      </c>
      <c r="J87" s="2">
        <v>2692.47</v>
      </c>
      <c r="K87" s="16">
        <f>Table13[[#This Row],[Profit]]/Table13[[#This Row],[Sales]]</f>
        <v>0.12419142066420663</v>
      </c>
      <c r="L87" s="17" t="str">
        <f t="shared" si="7"/>
        <v>High</v>
      </c>
      <c r="M87" s="17" t="str">
        <f t="shared" si="8"/>
        <v>May</v>
      </c>
      <c r="N87" s="18">
        <f>YEAR(Table13[[#This Row],[Order_Date]])</f>
        <v>2023</v>
      </c>
      <c r="O87" s="18">
        <f>Table13[[#This Row],[Price]]*0.7</f>
        <v>3035.2</v>
      </c>
      <c r="P87" s="18">
        <f t="shared" si="9"/>
        <v>6504</v>
      </c>
      <c r="Q87" s="18">
        <f t="shared" si="10"/>
        <v>0.05</v>
      </c>
      <c r="R87" s="18">
        <f t="shared" si="11"/>
        <v>18987.53</v>
      </c>
      <c r="S87" s="18" t="str">
        <f>IF(Table13[[#This Row],[Quantity]]&lt;=3,"Small",IF(Table13[[#This Row],[Quantity]]&lt;=6,"Medium","Bulk"))</f>
        <v>Medium</v>
      </c>
      <c r="T87" s="18" t="str">
        <f t="shared" si="12"/>
        <v>High Demand</v>
      </c>
      <c r="U87" s="18" t="str">
        <f t="shared" si="13"/>
        <v>High Value</v>
      </c>
    </row>
    <row r="88" spans="1:21" x14ac:dyDescent="0.3">
      <c r="A88" t="s">
        <v>96</v>
      </c>
      <c r="B88" s="1">
        <v>45182</v>
      </c>
      <c r="C88" t="s">
        <v>1212</v>
      </c>
      <c r="D88" t="s">
        <v>1218</v>
      </c>
      <c r="E88" t="s">
        <v>1222</v>
      </c>
      <c r="F88" t="s">
        <v>1236</v>
      </c>
      <c r="G88" s="6">
        <v>3</v>
      </c>
      <c r="H88">
        <v>3524</v>
      </c>
      <c r="I88">
        <v>10572</v>
      </c>
      <c r="J88" s="2">
        <v>2536.12</v>
      </c>
      <c r="K88" s="16">
        <f>Table13[[#This Row],[Profit]]/Table13[[#This Row],[Sales]]</f>
        <v>0.23989027620128642</v>
      </c>
      <c r="L88" s="17" t="str">
        <f t="shared" si="7"/>
        <v>Medium</v>
      </c>
      <c r="M88" s="17" t="str">
        <f t="shared" si="8"/>
        <v>Sep</v>
      </c>
      <c r="N88" s="18">
        <f>YEAR(Table13[[#This Row],[Order_Date]])</f>
        <v>2023</v>
      </c>
      <c r="O88" s="18">
        <f>Table13[[#This Row],[Price]]*0.7</f>
        <v>2466.7999999999997</v>
      </c>
      <c r="P88" s="18">
        <f t="shared" si="9"/>
        <v>3171.6000000000004</v>
      </c>
      <c r="Q88" s="18">
        <f t="shared" si="10"/>
        <v>0.05</v>
      </c>
      <c r="R88" s="18">
        <f t="shared" si="11"/>
        <v>8035.88</v>
      </c>
      <c r="S88" s="18" t="str">
        <f>IF(Table13[[#This Row],[Quantity]]&lt;=3,"Small",IF(Table13[[#This Row],[Quantity]]&lt;=6,"Medium","Bulk"))</f>
        <v>Small</v>
      </c>
      <c r="T88" s="18" t="str">
        <f t="shared" si="12"/>
        <v>High Demand</v>
      </c>
      <c r="U88" s="18" t="str">
        <f t="shared" si="13"/>
        <v>Medium Value</v>
      </c>
    </row>
    <row r="89" spans="1:21" x14ac:dyDescent="0.3">
      <c r="A89" t="s">
        <v>97</v>
      </c>
      <c r="B89" s="1">
        <v>45291</v>
      </c>
      <c r="C89" t="s">
        <v>1212</v>
      </c>
      <c r="D89" t="s">
        <v>1218</v>
      </c>
      <c r="E89" t="s">
        <v>1220</v>
      </c>
      <c r="F89" t="s">
        <v>1225</v>
      </c>
      <c r="G89" s="6">
        <v>8</v>
      </c>
      <c r="H89">
        <v>997</v>
      </c>
      <c r="I89">
        <v>7976</v>
      </c>
      <c r="J89" s="2">
        <v>1812.39</v>
      </c>
      <c r="K89" s="16">
        <f>Table13[[#This Row],[Profit]]/Table13[[#This Row],[Sales]]</f>
        <v>0.22723044132397194</v>
      </c>
      <c r="L89" s="17" t="str">
        <f t="shared" si="7"/>
        <v>Low</v>
      </c>
      <c r="M89" s="17" t="str">
        <f t="shared" si="8"/>
        <v>Dec</v>
      </c>
      <c r="N89" s="18">
        <f>YEAR(Table13[[#This Row],[Order_Date]])</f>
        <v>2023</v>
      </c>
      <c r="O89" s="18">
        <f>Table13[[#This Row],[Price]]*0.7</f>
        <v>697.9</v>
      </c>
      <c r="P89" s="18">
        <f t="shared" si="9"/>
        <v>2392.8000000000002</v>
      </c>
      <c r="Q89" s="18">
        <f t="shared" si="10"/>
        <v>0.1</v>
      </c>
      <c r="R89" s="18">
        <f t="shared" si="11"/>
        <v>6163.61</v>
      </c>
      <c r="S89" s="18" t="str">
        <f>IF(Table13[[#This Row],[Quantity]]&lt;=3,"Small",IF(Table13[[#This Row],[Quantity]]&lt;=6,"Medium","Bulk"))</f>
        <v>Bulk</v>
      </c>
      <c r="T89" s="18" t="str">
        <f t="shared" si="12"/>
        <v>High Demand</v>
      </c>
      <c r="U89" s="18" t="str">
        <f t="shared" si="13"/>
        <v>low Value</v>
      </c>
    </row>
    <row r="90" spans="1:21" x14ac:dyDescent="0.3">
      <c r="A90" t="s">
        <v>98</v>
      </c>
      <c r="B90" s="1">
        <v>45193</v>
      </c>
      <c r="C90" t="s">
        <v>1212</v>
      </c>
      <c r="D90" t="s">
        <v>1217</v>
      </c>
      <c r="E90" t="s">
        <v>1220</v>
      </c>
      <c r="F90" t="s">
        <v>1228</v>
      </c>
      <c r="G90" s="6">
        <v>2</v>
      </c>
      <c r="H90">
        <v>423</v>
      </c>
      <c r="I90">
        <v>846</v>
      </c>
      <c r="J90" s="2">
        <v>209.38</v>
      </c>
      <c r="K90" s="16">
        <f>Table13[[#This Row],[Profit]]/Table13[[#This Row],[Sales]]</f>
        <v>0.24749408983451537</v>
      </c>
      <c r="L90" s="17" t="str">
        <f t="shared" si="7"/>
        <v>Low</v>
      </c>
      <c r="M90" s="17" t="str">
        <f t="shared" si="8"/>
        <v>Sep</v>
      </c>
      <c r="N90" s="18">
        <f>YEAR(Table13[[#This Row],[Order_Date]])</f>
        <v>2023</v>
      </c>
      <c r="O90" s="18">
        <f>Table13[[#This Row],[Price]]*0.7</f>
        <v>296.09999999999997</v>
      </c>
      <c r="P90" s="18">
        <f t="shared" si="9"/>
        <v>253.80000000000007</v>
      </c>
      <c r="Q90" s="18">
        <f t="shared" si="10"/>
        <v>0.05</v>
      </c>
      <c r="R90" s="18">
        <f t="shared" si="11"/>
        <v>636.62</v>
      </c>
      <c r="S90" s="18" t="str">
        <f>IF(Table13[[#This Row],[Quantity]]&lt;=3,"Small",IF(Table13[[#This Row],[Quantity]]&lt;=6,"Medium","Bulk"))</f>
        <v>Small</v>
      </c>
      <c r="T90" s="18" t="str">
        <f t="shared" si="12"/>
        <v>High Demand</v>
      </c>
      <c r="U90" s="18" t="str">
        <f t="shared" si="13"/>
        <v>low Value</v>
      </c>
    </row>
    <row r="91" spans="1:21" x14ac:dyDescent="0.3">
      <c r="A91" t="s">
        <v>99</v>
      </c>
      <c r="B91" s="1">
        <v>45024</v>
      </c>
      <c r="C91" t="s">
        <v>1212</v>
      </c>
      <c r="D91" t="s">
        <v>1214</v>
      </c>
      <c r="E91" t="s">
        <v>1219</v>
      </c>
      <c r="F91" t="s">
        <v>1232</v>
      </c>
      <c r="G91" s="6">
        <v>6</v>
      </c>
      <c r="H91">
        <v>4984</v>
      </c>
      <c r="I91">
        <v>29904</v>
      </c>
      <c r="J91" s="2">
        <v>6654.11</v>
      </c>
      <c r="K91" s="16">
        <f>Table13[[#This Row],[Profit]]/Table13[[#This Row],[Sales]]</f>
        <v>0.22251571696094166</v>
      </c>
      <c r="L91" s="17" t="str">
        <f t="shared" si="7"/>
        <v>High</v>
      </c>
      <c r="M91" s="17" t="str">
        <f t="shared" si="8"/>
        <v>Apr</v>
      </c>
      <c r="N91" s="18">
        <f>YEAR(Table13[[#This Row],[Order_Date]])</f>
        <v>2023</v>
      </c>
      <c r="O91" s="18">
        <f>Table13[[#This Row],[Price]]*0.7</f>
        <v>3488.7999999999997</v>
      </c>
      <c r="P91" s="18">
        <f t="shared" si="9"/>
        <v>8971.2000000000007</v>
      </c>
      <c r="Q91" s="18">
        <f t="shared" si="10"/>
        <v>0.1</v>
      </c>
      <c r="R91" s="18">
        <f t="shared" si="11"/>
        <v>23249.890000000003</v>
      </c>
      <c r="S91" s="18" t="str">
        <f>IF(Table13[[#This Row],[Quantity]]&lt;=3,"Small",IF(Table13[[#This Row],[Quantity]]&lt;=6,"Medium","Bulk"))</f>
        <v>Medium</v>
      </c>
      <c r="T91" s="18" t="str">
        <f t="shared" si="12"/>
        <v>High Demand</v>
      </c>
      <c r="U91" s="18" t="str">
        <f t="shared" si="13"/>
        <v>High Value</v>
      </c>
    </row>
    <row r="92" spans="1:21" x14ac:dyDescent="0.3">
      <c r="A92" t="s">
        <v>100</v>
      </c>
      <c r="B92" s="1">
        <v>45123</v>
      </c>
      <c r="C92" t="s">
        <v>1210</v>
      </c>
      <c r="D92" t="s">
        <v>1215</v>
      </c>
      <c r="E92" t="s">
        <v>1219</v>
      </c>
      <c r="F92" t="s">
        <v>1232</v>
      </c>
      <c r="G92" s="6">
        <v>5</v>
      </c>
      <c r="H92">
        <v>4813</v>
      </c>
      <c r="I92">
        <v>24065</v>
      </c>
      <c r="J92" s="2">
        <v>4755.04</v>
      </c>
      <c r="K92" s="16">
        <f>Table13[[#This Row],[Profit]]/Table13[[#This Row],[Sales]]</f>
        <v>0.19759152295865365</v>
      </c>
      <c r="L92" s="17" t="str">
        <f t="shared" si="7"/>
        <v>High</v>
      </c>
      <c r="M92" s="17" t="str">
        <f t="shared" si="8"/>
        <v>Jul</v>
      </c>
      <c r="N92" s="18">
        <f>YEAR(Table13[[#This Row],[Order_Date]])</f>
        <v>2023</v>
      </c>
      <c r="O92" s="18">
        <f>Table13[[#This Row],[Price]]*0.7</f>
        <v>3369.1</v>
      </c>
      <c r="P92" s="18">
        <f t="shared" si="9"/>
        <v>7219.5</v>
      </c>
      <c r="Q92" s="18">
        <f t="shared" si="10"/>
        <v>0.05</v>
      </c>
      <c r="R92" s="18">
        <f t="shared" si="11"/>
        <v>19309.96</v>
      </c>
      <c r="S92" s="18" t="str">
        <f>IF(Table13[[#This Row],[Quantity]]&lt;=3,"Small",IF(Table13[[#This Row],[Quantity]]&lt;=6,"Medium","Bulk"))</f>
        <v>Medium</v>
      </c>
      <c r="T92" s="18" t="str">
        <f t="shared" si="12"/>
        <v>Normal</v>
      </c>
      <c r="U92" s="18" t="str">
        <f t="shared" si="13"/>
        <v>High Value</v>
      </c>
    </row>
    <row r="93" spans="1:21" x14ac:dyDescent="0.3">
      <c r="A93" t="s">
        <v>101</v>
      </c>
      <c r="B93" s="1">
        <v>45009</v>
      </c>
      <c r="C93" t="s">
        <v>1212</v>
      </c>
      <c r="D93" t="s">
        <v>1215</v>
      </c>
      <c r="E93" t="s">
        <v>1220</v>
      </c>
      <c r="F93" t="s">
        <v>1237</v>
      </c>
      <c r="G93" s="6">
        <v>5</v>
      </c>
      <c r="H93">
        <v>3836</v>
      </c>
      <c r="I93">
        <v>19180</v>
      </c>
      <c r="J93" s="2">
        <v>4614.8999999999996</v>
      </c>
      <c r="K93" s="16">
        <f>Table13[[#This Row],[Profit]]/Table13[[#This Row],[Sales]]</f>
        <v>0.24061001042752866</v>
      </c>
      <c r="L93" s="17" t="str">
        <f t="shared" si="7"/>
        <v>Medium</v>
      </c>
      <c r="M93" s="17" t="str">
        <f t="shared" si="8"/>
        <v>Mar</v>
      </c>
      <c r="N93" s="18">
        <f>YEAR(Table13[[#This Row],[Order_Date]])</f>
        <v>2023</v>
      </c>
      <c r="O93" s="18">
        <f>Table13[[#This Row],[Price]]*0.7</f>
        <v>2685.2</v>
      </c>
      <c r="P93" s="18">
        <f t="shared" si="9"/>
        <v>5754</v>
      </c>
      <c r="Q93" s="18">
        <f t="shared" si="10"/>
        <v>0.05</v>
      </c>
      <c r="R93" s="18">
        <f t="shared" si="11"/>
        <v>14565.100000000002</v>
      </c>
      <c r="S93" s="18" t="str">
        <f>IF(Table13[[#This Row],[Quantity]]&lt;=3,"Small",IF(Table13[[#This Row],[Quantity]]&lt;=6,"Medium","Bulk"))</f>
        <v>Medium</v>
      </c>
      <c r="T93" s="18" t="str">
        <f t="shared" si="12"/>
        <v>High Demand</v>
      </c>
      <c r="U93" s="18" t="str">
        <f t="shared" si="13"/>
        <v>Medium Value</v>
      </c>
    </row>
    <row r="94" spans="1:21" x14ac:dyDescent="0.3">
      <c r="A94" t="s">
        <v>102</v>
      </c>
      <c r="B94" s="1">
        <v>45186</v>
      </c>
      <c r="C94" t="s">
        <v>1211</v>
      </c>
      <c r="D94" t="s">
        <v>1218</v>
      </c>
      <c r="E94" t="s">
        <v>1220</v>
      </c>
      <c r="F94" t="s">
        <v>1228</v>
      </c>
      <c r="G94" s="6">
        <v>1</v>
      </c>
      <c r="H94">
        <v>4346</v>
      </c>
      <c r="I94">
        <v>4346</v>
      </c>
      <c r="J94" s="2">
        <v>550.66</v>
      </c>
      <c r="K94" s="16">
        <f>Table13[[#This Row],[Profit]]/Table13[[#This Row],[Sales]]</f>
        <v>0.12670501610676482</v>
      </c>
      <c r="L94" s="17" t="str">
        <f t="shared" si="7"/>
        <v>Low</v>
      </c>
      <c r="M94" s="17" t="str">
        <f t="shared" si="8"/>
        <v>Sep</v>
      </c>
      <c r="N94" s="18">
        <f>YEAR(Table13[[#This Row],[Order_Date]])</f>
        <v>2023</v>
      </c>
      <c r="O94" s="18">
        <f>Table13[[#This Row],[Price]]*0.7</f>
        <v>3042.2</v>
      </c>
      <c r="P94" s="18">
        <f t="shared" si="9"/>
        <v>1303.8000000000002</v>
      </c>
      <c r="Q94" s="18">
        <f t="shared" si="10"/>
        <v>0.05</v>
      </c>
      <c r="R94" s="18">
        <f t="shared" si="11"/>
        <v>3795.3399999999997</v>
      </c>
      <c r="S94" s="18" t="str">
        <f>IF(Table13[[#This Row],[Quantity]]&lt;=3,"Small",IF(Table13[[#This Row],[Quantity]]&lt;=6,"Medium","Bulk"))</f>
        <v>Small</v>
      </c>
      <c r="T94" s="18" t="str">
        <f t="shared" si="12"/>
        <v>Normal</v>
      </c>
      <c r="U94" s="18" t="str">
        <f t="shared" si="13"/>
        <v>low Value</v>
      </c>
    </row>
    <row r="95" spans="1:21" x14ac:dyDescent="0.3">
      <c r="A95" t="s">
        <v>103</v>
      </c>
      <c r="B95" s="1">
        <v>44965</v>
      </c>
      <c r="C95" t="s">
        <v>1211</v>
      </c>
      <c r="D95" t="s">
        <v>1217</v>
      </c>
      <c r="E95" t="s">
        <v>1222</v>
      </c>
      <c r="F95" t="s">
        <v>1236</v>
      </c>
      <c r="G95" s="6">
        <v>2</v>
      </c>
      <c r="H95">
        <v>3619</v>
      </c>
      <c r="I95">
        <v>7238</v>
      </c>
      <c r="J95" s="2">
        <v>909.63</v>
      </c>
      <c r="K95" s="16">
        <f>Table13[[#This Row],[Profit]]/Table13[[#This Row],[Sales]]</f>
        <v>0.12567421939762366</v>
      </c>
      <c r="L95" s="17" t="str">
        <f t="shared" si="7"/>
        <v>Low</v>
      </c>
      <c r="M95" s="17" t="str">
        <f t="shared" si="8"/>
        <v>Feb</v>
      </c>
      <c r="N95" s="18">
        <f>YEAR(Table13[[#This Row],[Order_Date]])</f>
        <v>2023</v>
      </c>
      <c r="O95" s="18">
        <f>Table13[[#This Row],[Price]]*0.7</f>
        <v>2533.2999999999997</v>
      </c>
      <c r="P95" s="18">
        <f t="shared" si="9"/>
        <v>2171.4000000000005</v>
      </c>
      <c r="Q95" s="18">
        <f t="shared" si="10"/>
        <v>0.05</v>
      </c>
      <c r="R95" s="18">
        <f t="shared" si="11"/>
        <v>6328.37</v>
      </c>
      <c r="S95" s="18" t="str">
        <f>IF(Table13[[#This Row],[Quantity]]&lt;=3,"Small",IF(Table13[[#This Row],[Quantity]]&lt;=6,"Medium","Bulk"))</f>
        <v>Small</v>
      </c>
      <c r="T95" s="18" t="str">
        <f t="shared" si="12"/>
        <v>Normal</v>
      </c>
      <c r="U95" s="18" t="str">
        <f t="shared" si="13"/>
        <v>low Value</v>
      </c>
    </row>
    <row r="96" spans="1:21" x14ac:dyDescent="0.3">
      <c r="A96" t="s">
        <v>104</v>
      </c>
      <c r="B96" s="1">
        <v>45194</v>
      </c>
      <c r="C96" t="s">
        <v>1212</v>
      </c>
      <c r="D96" t="s">
        <v>1216</v>
      </c>
      <c r="E96" t="s">
        <v>1220</v>
      </c>
      <c r="F96" t="s">
        <v>1225</v>
      </c>
      <c r="G96" s="6">
        <v>6</v>
      </c>
      <c r="H96">
        <v>970</v>
      </c>
      <c r="I96">
        <v>5820</v>
      </c>
      <c r="J96" s="2">
        <v>980.25</v>
      </c>
      <c r="K96" s="16">
        <f>Table13[[#This Row],[Profit]]/Table13[[#This Row],[Sales]]</f>
        <v>0.1684278350515464</v>
      </c>
      <c r="L96" s="17" t="str">
        <f t="shared" si="7"/>
        <v>Low</v>
      </c>
      <c r="M96" s="17" t="str">
        <f t="shared" si="8"/>
        <v>Sep</v>
      </c>
      <c r="N96" s="18">
        <f>YEAR(Table13[[#This Row],[Order_Date]])</f>
        <v>2023</v>
      </c>
      <c r="O96" s="18">
        <f>Table13[[#This Row],[Price]]*0.7</f>
        <v>679</v>
      </c>
      <c r="P96" s="18">
        <f t="shared" si="9"/>
        <v>1746</v>
      </c>
      <c r="Q96" s="18">
        <f t="shared" si="10"/>
        <v>0.1</v>
      </c>
      <c r="R96" s="18">
        <f t="shared" si="11"/>
        <v>4839.75</v>
      </c>
      <c r="S96" s="18" t="str">
        <f>IF(Table13[[#This Row],[Quantity]]&lt;=3,"Small",IF(Table13[[#This Row],[Quantity]]&lt;=6,"Medium","Bulk"))</f>
        <v>Medium</v>
      </c>
      <c r="T96" s="18" t="str">
        <f t="shared" si="12"/>
        <v>High Demand</v>
      </c>
      <c r="U96" s="18" t="str">
        <f t="shared" si="13"/>
        <v>low Value</v>
      </c>
    </row>
    <row r="97" spans="1:21" x14ac:dyDescent="0.3">
      <c r="A97" t="s">
        <v>105</v>
      </c>
      <c r="B97" s="1">
        <v>45133</v>
      </c>
      <c r="C97" t="s">
        <v>1212</v>
      </c>
      <c r="D97" t="s">
        <v>1215</v>
      </c>
      <c r="E97" t="s">
        <v>1222</v>
      </c>
      <c r="F97" t="s">
        <v>1230</v>
      </c>
      <c r="G97" s="6">
        <v>9</v>
      </c>
      <c r="H97">
        <v>4919</v>
      </c>
      <c r="I97">
        <v>44271</v>
      </c>
      <c r="J97" s="2">
        <v>7154.54</v>
      </c>
      <c r="K97" s="16">
        <f>Table13[[#This Row],[Profit]]/Table13[[#This Row],[Sales]]</f>
        <v>0.1616078245352488</v>
      </c>
      <c r="L97" s="17" t="str">
        <f t="shared" si="7"/>
        <v>High</v>
      </c>
      <c r="M97" s="17" t="str">
        <f t="shared" si="8"/>
        <v>Jul</v>
      </c>
      <c r="N97" s="18">
        <f>YEAR(Table13[[#This Row],[Order_Date]])</f>
        <v>2023</v>
      </c>
      <c r="O97" s="18">
        <f>Table13[[#This Row],[Price]]*0.7</f>
        <v>3443.2999999999997</v>
      </c>
      <c r="P97" s="18">
        <f t="shared" si="9"/>
        <v>13281.300000000003</v>
      </c>
      <c r="Q97" s="18">
        <f t="shared" si="10"/>
        <v>0.1</v>
      </c>
      <c r="R97" s="18">
        <f t="shared" si="11"/>
        <v>37116.46</v>
      </c>
      <c r="S97" s="18" t="str">
        <f>IF(Table13[[#This Row],[Quantity]]&lt;=3,"Small",IF(Table13[[#This Row],[Quantity]]&lt;=6,"Medium","Bulk"))</f>
        <v>Bulk</v>
      </c>
      <c r="T97" s="18" t="str">
        <f t="shared" si="12"/>
        <v>High Demand</v>
      </c>
      <c r="U97" s="18" t="str">
        <f t="shared" si="13"/>
        <v>High Value</v>
      </c>
    </row>
    <row r="98" spans="1:21" x14ac:dyDescent="0.3">
      <c r="A98" t="s">
        <v>106</v>
      </c>
      <c r="B98" s="1">
        <v>45178</v>
      </c>
      <c r="C98" t="s">
        <v>1211</v>
      </c>
      <c r="D98" t="s">
        <v>1217</v>
      </c>
      <c r="E98" t="s">
        <v>1220</v>
      </c>
      <c r="F98" t="s">
        <v>1225</v>
      </c>
      <c r="G98" s="6">
        <v>3</v>
      </c>
      <c r="H98">
        <v>2350</v>
      </c>
      <c r="I98">
        <v>7050</v>
      </c>
      <c r="J98" s="2">
        <v>727.44</v>
      </c>
      <c r="K98" s="16">
        <f>Table13[[#This Row],[Profit]]/Table13[[#This Row],[Sales]]</f>
        <v>0.10318297872340426</v>
      </c>
      <c r="L98" s="17" t="str">
        <f t="shared" si="7"/>
        <v>Low</v>
      </c>
      <c r="M98" s="17" t="str">
        <f t="shared" si="8"/>
        <v>Sep</v>
      </c>
      <c r="N98" s="18">
        <f>YEAR(Table13[[#This Row],[Order_Date]])</f>
        <v>2023</v>
      </c>
      <c r="O98" s="18">
        <f>Table13[[#This Row],[Price]]*0.7</f>
        <v>1645</v>
      </c>
      <c r="P98" s="18">
        <f t="shared" si="9"/>
        <v>2115</v>
      </c>
      <c r="Q98" s="18">
        <f t="shared" si="10"/>
        <v>0.05</v>
      </c>
      <c r="R98" s="18">
        <f t="shared" si="11"/>
        <v>6322.56</v>
      </c>
      <c r="S98" s="18" t="str">
        <f>IF(Table13[[#This Row],[Quantity]]&lt;=3,"Small",IF(Table13[[#This Row],[Quantity]]&lt;=6,"Medium","Bulk"))</f>
        <v>Small</v>
      </c>
      <c r="T98" s="18" t="str">
        <f t="shared" si="12"/>
        <v>Normal</v>
      </c>
      <c r="U98" s="18" t="str">
        <f t="shared" si="13"/>
        <v>low Value</v>
      </c>
    </row>
    <row r="99" spans="1:21" x14ac:dyDescent="0.3">
      <c r="A99" t="s">
        <v>107</v>
      </c>
      <c r="B99" s="1">
        <v>45175</v>
      </c>
      <c r="C99" t="s">
        <v>1211</v>
      </c>
      <c r="D99" t="s">
        <v>1218</v>
      </c>
      <c r="E99" t="s">
        <v>1220</v>
      </c>
      <c r="F99" t="s">
        <v>1225</v>
      </c>
      <c r="G99" s="6">
        <v>3</v>
      </c>
      <c r="H99">
        <v>4742</v>
      </c>
      <c r="I99">
        <v>14226</v>
      </c>
      <c r="J99" s="2">
        <v>2894.81</v>
      </c>
      <c r="K99" s="16">
        <f>Table13[[#This Row],[Profit]]/Table13[[#This Row],[Sales]]</f>
        <v>0.20348727681709544</v>
      </c>
      <c r="L99" s="17" t="str">
        <f t="shared" si="7"/>
        <v>Medium</v>
      </c>
      <c r="M99" s="17" t="str">
        <f t="shared" si="8"/>
        <v>Sep</v>
      </c>
      <c r="N99" s="18">
        <f>YEAR(Table13[[#This Row],[Order_Date]])</f>
        <v>2023</v>
      </c>
      <c r="O99" s="18">
        <f>Table13[[#This Row],[Price]]*0.7</f>
        <v>3319.3999999999996</v>
      </c>
      <c r="P99" s="18">
        <f t="shared" si="9"/>
        <v>4267.8000000000011</v>
      </c>
      <c r="Q99" s="18">
        <f t="shared" si="10"/>
        <v>0.05</v>
      </c>
      <c r="R99" s="18">
        <f t="shared" si="11"/>
        <v>11331.19</v>
      </c>
      <c r="S99" s="18" t="str">
        <f>IF(Table13[[#This Row],[Quantity]]&lt;=3,"Small",IF(Table13[[#This Row],[Quantity]]&lt;=6,"Medium","Bulk"))</f>
        <v>Small</v>
      </c>
      <c r="T99" s="18" t="str">
        <f t="shared" si="12"/>
        <v>Normal</v>
      </c>
      <c r="U99" s="18" t="str">
        <f t="shared" si="13"/>
        <v>Medium Value</v>
      </c>
    </row>
    <row r="100" spans="1:21" x14ac:dyDescent="0.3">
      <c r="A100" t="s">
        <v>108</v>
      </c>
      <c r="B100" s="1">
        <v>45059</v>
      </c>
      <c r="C100" t="s">
        <v>1212</v>
      </c>
      <c r="D100" t="s">
        <v>1216</v>
      </c>
      <c r="E100" t="s">
        <v>1221</v>
      </c>
      <c r="F100" t="s">
        <v>1235</v>
      </c>
      <c r="G100" s="6">
        <v>7</v>
      </c>
      <c r="H100">
        <v>3377</v>
      </c>
      <c r="I100">
        <v>23639</v>
      </c>
      <c r="J100" s="2">
        <v>5356.64</v>
      </c>
      <c r="K100" s="16">
        <f>Table13[[#This Row],[Profit]]/Table13[[#This Row],[Sales]]</f>
        <v>0.22660180210668812</v>
      </c>
      <c r="L100" s="17" t="str">
        <f t="shared" si="7"/>
        <v>High</v>
      </c>
      <c r="M100" s="17" t="str">
        <f t="shared" si="8"/>
        <v>May</v>
      </c>
      <c r="N100" s="18">
        <f>YEAR(Table13[[#This Row],[Order_Date]])</f>
        <v>2023</v>
      </c>
      <c r="O100" s="18">
        <f>Table13[[#This Row],[Price]]*0.7</f>
        <v>2363.8999999999996</v>
      </c>
      <c r="P100" s="18">
        <f t="shared" si="9"/>
        <v>7091.7000000000044</v>
      </c>
      <c r="Q100" s="18">
        <f t="shared" si="10"/>
        <v>0.1</v>
      </c>
      <c r="R100" s="18">
        <f t="shared" si="11"/>
        <v>18282.36</v>
      </c>
      <c r="S100" s="18" t="str">
        <f>IF(Table13[[#This Row],[Quantity]]&lt;=3,"Small",IF(Table13[[#This Row],[Quantity]]&lt;=6,"Medium","Bulk"))</f>
        <v>Bulk</v>
      </c>
      <c r="T100" s="18" t="str">
        <f t="shared" si="12"/>
        <v>High Demand</v>
      </c>
      <c r="U100" s="18" t="str">
        <f t="shared" si="13"/>
        <v>High Value</v>
      </c>
    </row>
    <row r="101" spans="1:21" x14ac:dyDescent="0.3">
      <c r="A101" t="s">
        <v>109</v>
      </c>
      <c r="B101" s="1">
        <v>44995</v>
      </c>
      <c r="C101" t="s">
        <v>1211</v>
      </c>
      <c r="D101" t="s">
        <v>1215</v>
      </c>
      <c r="E101" t="s">
        <v>1220</v>
      </c>
      <c r="F101" t="s">
        <v>1224</v>
      </c>
      <c r="G101" s="6">
        <v>1</v>
      </c>
      <c r="H101">
        <v>3032</v>
      </c>
      <c r="I101">
        <v>3032</v>
      </c>
      <c r="J101" s="2">
        <v>375.67</v>
      </c>
      <c r="K101" s="16">
        <f>Table13[[#This Row],[Profit]]/Table13[[#This Row],[Sales]]</f>
        <v>0.12390171503957784</v>
      </c>
      <c r="L101" s="17" t="str">
        <f t="shared" si="7"/>
        <v>Low</v>
      </c>
      <c r="M101" s="17" t="str">
        <f t="shared" si="8"/>
        <v>Mar</v>
      </c>
      <c r="N101" s="18">
        <f>YEAR(Table13[[#This Row],[Order_Date]])</f>
        <v>2023</v>
      </c>
      <c r="O101" s="18">
        <f>Table13[[#This Row],[Price]]*0.7</f>
        <v>2122.4</v>
      </c>
      <c r="P101" s="18">
        <f t="shared" si="9"/>
        <v>909.59999999999991</v>
      </c>
      <c r="Q101" s="18">
        <f t="shared" si="10"/>
        <v>0.05</v>
      </c>
      <c r="R101" s="18">
        <f t="shared" si="11"/>
        <v>2656.33</v>
      </c>
      <c r="S101" s="18" t="str">
        <f>IF(Table13[[#This Row],[Quantity]]&lt;=3,"Small",IF(Table13[[#This Row],[Quantity]]&lt;=6,"Medium","Bulk"))</f>
        <v>Small</v>
      </c>
      <c r="T101" s="18" t="str">
        <f t="shared" si="12"/>
        <v>Normal</v>
      </c>
      <c r="U101" s="18" t="str">
        <f t="shared" si="13"/>
        <v>low Value</v>
      </c>
    </row>
    <row r="102" spans="1:21" x14ac:dyDescent="0.3">
      <c r="A102" t="s">
        <v>110</v>
      </c>
      <c r="B102" s="1">
        <v>45262</v>
      </c>
      <c r="C102" t="s">
        <v>1210</v>
      </c>
      <c r="D102" t="s">
        <v>1214</v>
      </c>
      <c r="E102" t="s">
        <v>1220</v>
      </c>
      <c r="F102" t="s">
        <v>1228</v>
      </c>
      <c r="G102" s="6">
        <v>3</v>
      </c>
      <c r="H102">
        <v>960</v>
      </c>
      <c r="I102">
        <v>2880</v>
      </c>
      <c r="J102" s="2">
        <v>455.67</v>
      </c>
      <c r="K102" s="16">
        <f>Table13[[#This Row],[Profit]]/Table13[[#This Row],[Sales]]</f>
        <v>0.15821875000000002</v>
      </c>
      <c r="L102" s="17" t="str">
        <f t="shared" si="7"/>
        <v>Low</v>
      </c>
      <c r="M102" s="17" t="str">
        <f t="shared" si="8"/>
        <v>Dec</v>
      </c>
      <c r="N102" s="18">
        <f>YEAR(Table13[[#This Row],[Order_Date]])</f>
        <v>2023</v>
      </c>
      <c r="O102" s="18">
        <f>Table13[[#This Row],[Price]]*0.7</f>
        <v>672</v>
      </c>
      <c r="P102" s="18">
        <f t="shared" si="9"/>
        <v>864</v>
      </c>
      <c r="Q102" s="18">
        <f t="shared" si="10"/>
        <v>0.05</v>
      </c>
      <c r="R102" s="18">
        <f t="shared" si="11"/>
        <v>2424.33</v>
      </c>
      <c r="S102" s="18" t="str">
        <f>IF(Table13[[#This Row],[Quantity]]&lt;=3,"Small",IF(Table13[[#This Row],[Quantity]]&lt;=6,"Medium","Bulk"))</f>
        <v>Small</v>
      </c>
      <c r="T102" s="18" t="str">
        <f t="shared" si="12"/>
        <v>Normal</v>
      </c>
      <c r="U102" s="18" t="str">
        <f t="shared" si="13"/>
        <v>low Value</v>
      </c>
    </row>
    <row r="103" spans="1:21" x14ac:dyDescent="0.3">
      <c r="A103" t="s">
        <v>111</v>
      </c>
      <c r="B103" s="1">
        <v>45110</v>
      </c>
      <c r="C103" t="s">
        <v>1212</v>
      </c>
      <c r="D103" t="s">
        <v>1214</v>
      </c>
      <c r="E103" t="s">
        <v>1220</v>
      </c>
      <c r="F103" t="s">
        <v>1224</v>
      </c>
      <c r="G103" s="6">
        <v>8</v>
      </c>
      <c r="H103">
        <v>1099</v>
      </c>
      <c r="I103">
        <v>8792</v>
      </c>
      <c r="J103" s="2">
        <v>975.21</v>
      </c>
      <c r="K103" s="16">
        <f>Table13[[#This Row],[Profit]]/Table13[[#This Row],[Sales]]</f>
        <v>0.11092015468607826</v>
      </c>
      <c r="L103" s="17" t="str">
        <f t="shared" si="7"/>
        <v>Low</v>
      </c>
      <c r="M103" s="17" t="str">
        <f t="shared" si="8"/>
        <v>Jul</v>
      </c>
      <c r="N103" s="18">
        <f>YEAR(Table13[[#This Row],[Order_Date]])</f>
        <v>2023</v>
      </c>
      <c r="O103" s="18">
        <f>Table13[[#This Row],[Price]]*0.7</f>
        <v>769.3</v>
      </c>
      <c r="P103" s="18">
        <f t="shared" si="9"/>
        <v>2637.6000000000004</v>
      </c>
      <c r="Q103" s="18">
        <f t="shared" si="10"/>
        <v>0.1</v>
      </c>
      <c r="R103" s="18">
        <f t="shared" si="11"/>
        <v>7816.79</v>
      </c>
      <c r="S103" s="18" t="str">
        <f>IF(Table13[[#This Row],[Quantity]]&lt;=3,"Small",IF(Table13[[#This Row],[Quantity]]&lt;=6,"Medium","Bulk"))</f>
        <v>Bulk</v>
      </c>
      <c r="T103" s="18" t="str">
        <f t="shared" si="12"/>
        <v>High Demand</v>
      </c>
      <c r="U103" s="18" t="str">
        <f t="shared" si="13"/>
        <v>low Value</v>
      </c>
    </row>
    <row r="104" spans="1:21" x14ac:dyDescent="0.3">
      <c r="A104" t="s">
        <v>112</v>
      </c>
      <c r="B104" s="1">
        <v>45203</v>
      </c>
      <c r="C104" t="s">
        <v>1212</v>
      </c>
      <c r="D104" t="s">
        <v>1217</v>
      </c>
      <c r="E104" t="s">
        <v>1221</v>
      </c>
      <c r="F104" t="s">
        <v>1235</v>
      </c>
      <c r="G104" s="6">
        <v>2</v>
      </c>
      <c r="H104">
        <v>4356</v>
      </c>
      <c r="I104">
        <v>8712</v>
      </c>
      <c r="J104" s="2">
        <v>981.75</v>
      </c>
      <c r="K104" s="16">
        <f>Table13[[#This Row],[Profit]]/Table13[[#This Row],[Sales]]</f>
        <v>0.11268939393939394</v>
      </c>
      <c r="L104" s="17" t="str">
        <f t="shared" si="7"/>
        <v>Low</v>
      </c>
      <c r="M104" s="17" t="str">
        <f t="shared" si="8"/>
        <v>Oct</v>
      </c>
      <c r="N104" s="18">
        <f>YEAR(Table13[[#This Row],[Order_Date]])</f>
        <v>2023</v>
      </c>
      <c r="O104" s="18">
        <f>Table13[[#This Row],[Price]]*0.7</f>
        <v>3049.2</v>
      </c>
      <c r="P104" s="18">
        <f t="shared" si="9"/>
        <v>2613.6000000000004</v>
      </c>
      <c r="Q104" s="18">
        <f t="shared" si="10"/>
        <v>0.05</v>
      </c>
      <c r="R104" s="18">
        <f t="shared" si="11"/>
        <v>7730.25</v>
      </c>
      <c r="S104" s="18" t="str">
        <f>IF(Table13[[#This Row],[Quantity]]&lt;=3,"Small",IF(Table13[[#This Row],[Quantity]]&lt;=6,"Medium","Bulk"))</f>
        <v>Small</v>
      </c>
      <c r="T104" s="18" t="str">
        <f t="shared" si="12"/>
        <v>High Demand</v>
      </c>
      <c r="U104" s="18" t="str">
        <f t="shared" si="13"/>
        <v>low Value</v>
      </c>
    </row>
    <row r="105" spans="1:21" x14ac:dyDescent="0.3">
      <c r="A105" t="s">
        <v>113</v>
      </c>
      <c r="B105" s="1">
        <v>44960</v>
      </c>
      <c r="C105" t="s">
        <v>1212</v>
      </c>
      <c r="D105" t="s">
        <v>1217</v>
      </c>
      <c r="E105" t="s">
        <v>1221</v>
      </c>
      <c r="F105" t="s">
        <v>1229</v>
      </c>
      <c r="G105" s="6">
        <v>6</v>
      </c>
      <c r="H105">
        <v>723</v>
      </c>
      <c r="I105">
        <v>4338</v>
      </c>
      <c r="J105" s="2">
        <v>499.2</v>
      </c>
      <c r="K105" s="16">
        <f>Table13[[#This Row],[Profit]]/Table13[[#This Row],[Sales]]</f>
        <v>0.11507607192254495</v>
      </c>
      <c r="L105" s="17" t="str">
        <f t="shared" si="7"/>
        <v>Low</v>
      </c>
      <c r="M105" s="17" t="str">
        <f t="shared" si="8"/>
        <v>Feb</v>
      </c>
      <c r="N105" s="18">
        <f>YEAR(Table13[[#This Row],[Order_Date]])</f>
        <v>2023</v>
      </c>
      <c r="O105" s="18">
        <f>Table13[[#This Row],[Price]]*0.7</f>
        <v>506.09999999999997</v>
      </c>
      <c r="P105" s="18">
        <f t="shared" si="9"/>
        <v>1301.4000000000001</v>
      </c>
      <c r="Q105" s="18">
        <f t="shared" si="10"/>
        <v>0.1</v>
      </c>
      <c r="R105" s="18">
        <f t="shared" si="11"/>
        <v>3838.7999999999997</v>
      </c>
      <c r="S105" s="18" t="str">
        <f>IF(Table13[[#This Row],[Quantity]]&lt;=3,"Small",IF(Table13[[#This Row],[Quantity]]&lt;=6,"Medium","Bulk"))</f>
        <v>Medium</v>
      </c>
      <c r="T105" s="18" t="str">
        <f t="shared" si="12"/>
        <v>High Demand</v>
      </c>
      <c r="U105" s="18" t="str">
        <f t="shared" si="13"/>
        <v>low Value</v>
      </c>
    </row>
    <row r="106" spans="1:21" x14ac:dyDescent="0.3">
      <c r="A106" t="s">
        <v>114</v>
      </c>
      <c r="B106" s="1">
        <v>45140</v>
      </c>
      <c r="C106" t="s">
        <v>1210</v>
      </c>
      <c r="D106" t="s">
        <v>1214</v>
      </c>
      <c r="E106" t="s">
        <v>1222</v>
      </c>
      <c r="F106" t="s">
        <v>1227</v>
      </c>
      <c r="G106" s="6">
        <v>9</v>
      </c>
      <c r="H106">
        <v>2496</v>
      </c>
      <c r="I106">
        <v>22464</v>
      </c>
      <c r="J106" s="2">
        <v>3634.56</v>
      </c>
      <c r="K106" s="16">
        <f>Table13[[#This Row],[Profit]]/Table13[[#This Row],[Sales]]</f>
        <v>0.16179487179487179</v>
      </c>
      <c r="L106" s="17" t="str">
        <f t="shared" si="7"/>
        <v>High</v>
      </c>
      <c r="M106" s="17" t="str">
        <f t="shared" si="8"/>
        <v>Aug</v>
      </c>
      <c r="N106" s="18">
        <f>YEAR(Table13[[#This Row],[Order_Date]])</f>
        <v>2023</v>
      </c>
      <c r="O106" s="18">
        <f>Table13[[#This Row],[Price]]*0.7</f>
        <v>1747.1999999999998</v>
      </c>
      <c r="P106" s="18">
        <f t="shared" si="9"/>
        <v>6739.2000000000007</v>
      </c>
      <c r="Q106" s="18">
        <f t="shared" si="10"/>
        <v>0.1</v>
      </c>
      <c r="R106" s="18">
        <f t="shared" si="11"/>
        <v>18829.439999999999</v>
      </c>
      <c r="S106" s="18" t="str">
        <f>IF(Table13[[#This Row],[Quantity]]&lt;=3,"Small",IF(Table13[[#This Row],[Quantity]]&lt;=6,"Medium","Bulk"))</f>
        <v>Bulk</v>
      </c>
      <c r="T106" s="18" t="str">
        <f t="shared" si="12"/>
        <v>Normal</v>
      </c>
      <c r="U106" s="18" t="str">
        <f t="shared" si="13"/>
        <v>High Value</v>
      </c>
    </row>
    <row r="107" spans="1:21" x14ac:dyDescent="0.3">
      <c r="A107" t="s">
        <v>115</v>
      </c>
      <c r="B107" s="1">
        <v>45179</v>
      </c>
      <c r="C107" t="s">
        <v>1213</v>
      </c>
      <c r="D107" t="s">
        <v>1217</v>
      </c>
      <c r="E107" t="s">
        <v>1219</v>
      </c>
      <c r="F107" t="s">
        <v>1223</v>
      </c>
      <c r="G107" s="6">
        <v>1</v>
      </c>
      <c r="H107">
        <v>2255</v>
      </c>
      <c r="I107">
        <v>2255</v>
      </c>
      <c r="J107" s="2">
        <v>467.25</v>
      </c>
      <c r="K107" s="16">
        <f>Table13[[#This Row],[Profit]]/Table13[[#This Row],[Sales]]</f>
        <v>0.20720620842572063</v>
      </c>
      <c r="L107" s="17" t="str">
        <f t="shared" si="7"/>
        <v>Low</v>
      </c>
      <c r="M107" s="17" t="str">
        <f t="shared" si="8"/>
        <v>Sep</v>
      </c>
      <c r="N107" s="18">
        <f>YEAR(Table13[[#This Row],[Order_Date]])</f>
        <v>2023</v>
      </c>
      <c r="O107" s="18">
        <f>Table13[[#This Row],[Price]]*0.7</f>
        <v>1578.5</v>
      </c>
      <c r="P107" s="18">
        <f t="shared" si="9"/>
        <v>676.5</v>
      </c>
      <c r="Q107" s="18">
        <f t="shared" si="10"/>
        <v>0.05</v>
      </c>
      <c r="R107" s="18">
        <f t="shared" si="11"/>
        <v>1787.7499999999998</v>
      </c>
      <c r="S107" s="18" t="str">
        <f>IF(Table13[[#This Row],[Quantity]]&lt;=3,"Small",IF(Table13[[#This Row],[Quantity]]&lt;=6,"Medium","Bulk"))</f>
        <v>Small</v>
      </c>
      <c r="T107" s="18" t="str">
        <f t="shared" si="12"/>
        <v>Normal</v>
      </c>
      <c r="U107" s="18" t="str">
        <f t="shared" si="13"/>
        <v>low Value</v>
      </c>
    </row>
    <row r="108" spans="1:21" x14ac:dyDescent="0.3">
      <c r="A108" t="s">
        <v>116</v>
      </c>
      <c r="B108" s="1">
        <v>45113</v>
      </c>
      <c r="C108" t="s">
        <v>1213</v>
      </c>
      <c r="D108" t="s">
        <v>1214</v>
      </c>
      <c r="E108" t="s">
        <v>1221</v>
      </c>
      <c r="F108" t="s">
        <v>1235</v>
      </c>
      <c r="G108" s="6">
        <v>8</v>
      </c>
      <c r="H108">
        <v>564</v>
      </c>
      <c r="I108">
        <v>4512</v>
      </c>
      <c r="J108" s="2">
        <v>408.78</v>
      </c>
      <c r="K108" s="16">
        <f>Table13[[#This Row],[Profit]]/Table13[[#This Row],[Sales]]</f>
        <v>9.0598404255319148E-2</v>
      </c>
      <c r="L108" s="17" t="str">
        <f t="shared" si="7"/>
        <v>Low</v>
      </c>
      <c r="M108" s="17" t="str">
        <f t="shared" si="8"/>
        <v>Jul</v>
      </c>
      <c r="N108" s="18">
        <f>YEAR(Table13[[#This Row],[Order_Date]])</f>
        <v>2023</v>
      </c>
      <c r="O108" s="18">
        <f>Table13[[#This Row],[Price]]*0.7</f>
        <v>394.79999999999995</v>
      </c>
      <c r="P108" s="18">
        <f t="shared" si="9"/>
        <v>1353.6000000000004</v>
      </c>
      <c r="Q108" s="18">
        <f t="shared" si="10"/>
        <v>0.1</v>
      </c>
      <c r="R108" s="18">
        <f t="shared" si="11"/>
        <v>4103.22</v>
      </c>
      <c r="S108" s="18" t="str">
        <f>IF(Table13[[#This Row],[Quantity]]&lt;=3,"Small",IF(Table13[[#This Row],[Quantity]]&lt;=6,"Medium","Bulk"))</f>
        <v>Bulk</v>
      </c>
      <c r="T108" s="18" t="str">
        <f t="shared" si="12"/>
        <v>Normal</v>
      </c>
      <c r="U108" s="18" t="str">
        <f t="shared" si="13"/>
        <v>low Value</v>
      </c>
    </row>
    <row r="109" spans="1:21" x14ac:dyDescent="0.3">
      <c r="A109" t="s">
        <v>117</v>
      </c>
      <c r="B109" s="1">
        <v>45200</v>
      </c>
      <c r="C109" t="s">
        <v>1211</v>
      </c>
      <c r="D109" t="s">
        <v>1214</v>
      </c>
      <c r="E109" t="s">
        <v>1219</v>
      </c>
      <c r="F109" t="s">
        <v>1238</v>
      </c>
      <c r="G109" s="6">
        <v>7</v>
      </c>
      <c r="H109">
        <v>2997</v>
      </c>
      <c r="I109">
        <v>20979</v>
      </c>
      <c r="J109" s="2">
        <v>4351.7700000000004</v>
      </c>
      <c r="K109" s="16">
        <f>Table13[[#This Row],[Profit]]/Table13[[#This Row],[Sales]]</f>
        <v>0.20743457743457747</v>
      </c>
      <c r="L109" s="17" t="str">
        <f t="shared" si="7"/>
        <v>High</v>
      </c>
      <c r="M109" s="17" t="str">
        <f t="shared" si="8"/>
        <v>Oct</v>
      </c>
      <c r="N109" s="18">
        <f>YEAR(Table13[[#This Row],[Order_Date]])</f>
        <v>2023</v>
      </c>
      <c r="O109" s="18">
        <f>Table13[[#This Row],[Price]]*0.7</f>
        <v>2097.9</v>
      </c>
      <c r="P109" s="18">
        <f t="shared" si="9"/>
        <v>6293.6999999999989</v>
      </c>
      <c r="Q109" s="18">
        <f t="shared" si="10"/>
        <v>0.1</v>
      </c>
      <c r="R109" s="18">
        <f t="shared" si="11"/>
        <v>16627.23</v>
      </c>
      <c r="S109" s="18" t="str">
        <f>IF(Table13[[#This Row],[Quantity]]&lt;=3,"Small",IF(Table13[[#This Row],[Quantity]]&lt;=6,"Medium","Bulk"))</f>
        <v>Bulk</v>
      </c>
      <c r="T109" s="18" t="str">
        <f t="shared" si="12"/>
        <v>Normal</v>
      </c>
      <c r="U109" s="18" t="str">
        <f t="shared" si="13"/>
        <v>High Value</v>
      </c>
    </row>
    <row r="110" spans="1:21" x14ac:dyDescent="0.3">
      <c r="A110" t="s">
        <v>118</v>
      </c>
      <c r="B110" s="1">
        <v>44965</v>
      </c>
      <c r="C110" t="s">
        <v>1212</v>
      </c>
      <c r="D110" t="s">
        <v>1218</v>
      </c>
      <c r="E110" t="s">
        <v>1219</v>
      </c>
      <c r="F110" t="s">
        <v>1238</v>
      </c>
      <c r="G110" s="6">
        <v>9</v>
      </c>
      <c r="H110">
        <v>4780</v>
      </c>
      <c r="I110">
        <v>43020</v>
      </c>
      <c r="J110" s="2">
        <v>4774.71</v>
      </c>
      <c r="K110" s="16">
        <f>Table13[[#This Row],[Profit]]/Table13[[#This Row],[Sales]]</f>
        <v>0.1109881450488145</v>
      </c>
      <c r="L110" s="17" t="str">
        <f t="shared" si="7"/>
        <v>High</v>
      </c>
      <c r="M110" s="17" t="str">
        <f t="shared" si="8"/>
        <v>Feb</v>
      </c>
      <c r="N110" s="18">
        <f>YEAR(Table13[[#This Row],[Order_Date]])</f>
        <v>2023</v>
      </c>
      <c r="O110" s="18">
        <f>Table13[[#This Row],[Price]]*0.7</f>
        <v>3346</v>
      </c>
      <c r="P110" s="18">
        <f t="shared" si="9"/>
        <v>12906</v>
      </c>
      <c r="Q110" s="18">
        <f t="shared" si="10"/>
        <v>0.1</v>
      </c>
      <c r="R110" s="18">
        <f t="shared" si="11"/>
        <v>38245.29</v>
      </c>
      <c r="S110" s="18" t="str">
        <f>IF(Table13[[#This Row],[Quantity]]&lt;=3,"Small",IF(Table13[[#This Row],[Quantity]]&lt;=6,"Medium","Bulk"))</f>
        <v>Bulk</v>
      </c>
      <c r="T110" s="18" t="str">
        <f t="shared" si="12"/>
        <v>High Demand</v>
      </c>
      <c r="U110" s="18" t="str">
        <f t="shared" si="13"/>
        <v>High Value</v>
      </c>
    </row>
    <row r="111" spans="1:21" x14ac:dyDescent="0.3">
      <c r="A111" t="s">
        <v>119</v>
      </c>
      <c r="B111" s="1">
        <v>44994</v>
      </c>
      <c r="C111" t="s">
        <v>1211</v>
      </c>
      <c r="D111" t="s">
        <v>1214</v>
      </c>
      <c r="E111" t="s">
        <v>1219</v>
      </c>
      <c r="F111" t="s">
        <v>1233</v>
      </c>
      <c r="G111" s="6">
        <v>9</v>
      </c>
      <c r="H111">
        <v>3796</v>
      </c>
      <c r="I111">
        <v>34164</v>
      </c>
      <c r="J111" s="2">
        <v>6180.63</v>
      </c>
      <c r="K111" s="16">
        <f>Table13[[#This Row],[Profit]]/Table13[[#This Row],[Sales]]</f>
        <v>0.180910607657183</v>
      </c>
      <c r="L111" s="17" t="str">
        <f t="shared" si="7"/>
        <v>High</v>
      </c>
      <c r="M111" s="17" t="str">
        <f t="shared" si="8"/>
        <v>Mar</v>
      </c>
      <c r="N111" s="18">
        <f>YEAR(Table13[[#This Row],[Order_Date]])</f>
        <v>2023</v>
      </c>
      <c r="O111" s="18">
        <f>Table13[[#This Row],[Price]]*0.7</f>
        <v>2657.2</v>
      </c>
      <c r="P111" s="18">
        <f t="shared" si="9"/>
        <v>10249.200000000001</v>
      </c>
      <c r="Q111" s="18">
        <f t="shared" si="10"/>
        <v>0.1</v>
      </c>
      <c r="R111" s="18">
        <f t="shared" si="11"/>
        <v>27983.37</v>
      </c>
      <c r="S111" s="18" t="str">
        <f>IF(Table13[[#This Row],[Quantity]]&lt;=3,"Small",IF(Table13[[#This Row],[Quantity]]&lt;=6,"Medium","Bulk"))</f>
        <v>Bulk</v>
      </c>
      <c r="T111" s="18" t="str">
        <f t="shared" si="12"/>
        <v>Normal</v>
      </c>
      <c r="U111" s="18" t="str">
        <f t="shared" si="13"/>
        <v>High Value</v>
      </c>
    </row>
    <row r="112" spans="1:21" x14ac:dyDescent="0.3">
      <c r="A112" t="s">
        <v>120</v>
      </c>
      <c r="B112" s="1">
        <v>44960</v>
      </c>
      <c r="C112" t="s">
        <v>1210</v>
      </c>
      <c r="D112" t="s">
        <v>1218</v>
      </c>
      <c r="E112" t="s">
        <v>1222</v>
      </c>
      <c r="F112" t="s">
        <v>1234</v>
      </c>
      <c r="G112" s="6">
        <v>2</v>
      </c>
      <c r="H112">
        <v>2358</v>
      </c>
      <c r="I112">
        <v>4716</v>
      </c>
      <c r="J112" s="2">
        <v>845.64</v>
      </c>
      <c r="K112" s="16">
        <f>Table13[[#This Row],[Profit]]/Table13[[#This Row],[Sales]]</f>
        <v>0.17931297709923663</v>
      </c>
      <c r="L112" s="17" t="str">
        <f t="shared" si="7"/>
        <v>Low</v>
      </c>
      <c r="M112" s="17" t="str">
        <f t="shared" si="8"/>
        <v>Feb</v>
      </c>
      <c r="N112" s="18">
        <f>YEAR(Table13[[#This Row],[Order_Date]])</f>
        <v>2023</v>
      </c>
      <c r="O112" s="18">
        <f>Table13[[#This Row],[Price]]*0.7</f>
        <v>1650.6</v>
      </c>
      <c r="P112" s="18">
        <f t="shared" si="9"/>
        <v>1414.8000000000002</v>
      </c>
      <c r="Q112" s="18">
        <f t="shared" si="10"/>
        <v>0.05</v>
      </c>
      <c r="R112" s="18">
        <f t="shared" si="11"/>
        <v>3870.36</v>
      </c>
      <c r="S112" s="18" t="str">
        <f>IF(Table13[[#This Row],[Quantity]]&lt;=3,"Small",IF(Table13[[#This Row],[Quantity]]&lt;=6,"Medium","Bulk"))</f>
        <v>Small</v>
      </c>
      <c r="T112" s="18" t="str">
        <f t="shared" si="12"/>
        <v>Normal</v>
      </c>
      <c r="U112" s="18" t="str">
        <f t="shared" si="13"/>
        <v>low Value</v>
      </c>
    </row>
    <row r="113" spans="1:21" x14ac:dyDescent="0.3">
      <c r="A113" t="s">
        <v>121</v>
      </c>
      <c r="B113" s="1">
        <v>45208</v>
      </c>
      <c r="C113" t="s">
        <v>1213</v>
      </c>
      <c r="D113" t="s">
        <v>1217</v>
      </c>
      <c r="E113" t="s">
        <v>1221</v>
      </c>
      <c r="F113" t="s">
        <v>1235</v>
      </c>
      <c r="G113" s="6">
        <v>9</v>
      </c>
      <c r="H113">
        <v>2860</v>
      </c>
      <c r="I113">
        <v>25740</v>
      </c>
      <c r="J113" s="2">
        <v>3647.98</v>
      </c>
      <c r="K113" s="16">
        <f>Table13[[#This Row],[Profit]]/Table13[[#This Row],[Sales]]</f>
        <v>0.14172416472416471</v>
      </c>
      <c r="L113" s="17" t="str">
        <f t="shared" si="7"/>
        <v>High</v>
      </c>
      <c r="M113" s="17" t="str">
        <f t="shared" si="8"/>
        <v>Oct</v>
      </c>
      <c r="N113" s="18">
        <f>YEAR(Table13[[#This Row],[Order_Date]])</f>
        <v>2023</v>
      </c>
      <c r="O113" s="18">
        <f>Table13[[#This Row],[Price]]*0.7</f>
        <v>2001.9999999999998</v>
      </c>
      <c r="P113" s="18">
        <f t="shared" si="9"/>
        <v>7722.0000000000036</v>
      </c>
      <c r="Q113" s="18">
        <f t="shared" si="10"/>
        <v>0.1</v>
      </c>
      <c r="R113" s="18">
        <f t="shared" si="11"/>
        <v>22092.02</v>
      </c>
      <c r="S113" s="18" t="str">
        <f>IF(Table13[[#This Row],[Quantity]]&lt;=3,"Small",IF(Table13[[#This Row],[Quantity]]&lt;=6,"Medium","Bulk"))</f>
        <v>Bulk</v>
      </c>
      <c r="T113" s="18" t="str">
        <f t="shared" si="12"/>
        <v>Normal</v>
      </c>
      <c r="U113" s="18" t="str">
        <f t="shared" si="13"/>
        <v>High Value</v>
      </c>
    </row>
    <row r="114" spans="1:21" x14ac:dyDescent="0.3">
      <c r="A114" t="s">
        <v>122</v>
      </c>
      <c r="B114" s="1">
        <v>45076</v>
      </c>
      <c r="C114" t="s">
        <v>1212</v>
      </c>
      <c r="D114" t="s">
        <v>1216</v>
      </c>
      <c r="E114" t="s">
        <v>1219</v>
      </c>
      <c r="F114" t="s">
        <v>1223</v>
      </c>
      <c r="G114" s="6">
        <v>6</v>
      </c>
      <c r="H114">
        <v>4012</v>
      </c>
      <c r="I114">
        <v>24072</v>
      </c>
      <c r="J114" s="2">
        <v>5746.65</v>
      </c>
      <c r="K114" s="16">
        <f>Table13[[#This Row],[Profit]]/Table13[[#This Row],[Sales]]</f>
        <v>0.23872756729810568</v>
      </c>
      <c r="L114" s="17" t="str">
        <f t="shared" si="7"/>
        <v>High</v>
      </c>
      <c r="M114" s="17" t="str">
        <f t="shared" si="8"/>
        <v>May</v>
      </c>
      <c r="N114" s="18">
        <f>YEAR(Table13[[#This Row],[Order_Date]])</f>
        <v>2023</v>
      </c>
      <c r="O114" s="18">
        <f>Table13[[#This Row],[Price]]*0.7</f>
        <v>2808.3999999999996</v>
      </c>
      <c r="P114" s="18">
        <f t="shared" si="9"/>
        <v>7221.6000000000022</v>
      </c>
      <c r="Q114" s="18">
        <f t="shared" si="10"/>
        <v>0.1</v>
      </c>
      <c r="R114" s="18">
        <f t="shared" si="11"/>
        <v>18325.349999999999</v>
      </c>
      <c r="S114" s="18" t="str">
        <f>IF(Table13[[#This Row],[Quantity]]&lt;=3,"Small",IF(Table13[[#This Row],[Quantity]]&lt;=6,"Medium","Bulk"))</f>
        <v>Medium</v>
      </c>
      <c r="T114" s="18" t="str">
        <f t="shared" si="12"/>
        <v>High Demand</v>
      </c>
      <c r="U114" s="18" t="str">
        <f t="shared" si="13"/>
        <v>High Value</v>
      </c>
    </row>
    <row r="115" spans="1:21" x14ac:dyDescent="0.3">
      <c r="A115" t="s">
        <v>123</v>
      </c>
      <c r="B115" s="1">
        <v>45169</v>
      </c>
      <c r="C115" t="s">
        <v>1210</v>
      </c>
      <c r="D115" t="s">
        <v>1215</v>
      </c>
      <c r="E115" t="s">
        <v>1220</v>
      </c>
      <c r="F115" t="s">
        <v>1237</v>
      </c>
      <c r="G115" s="6">
        <v>8</v>
      </c>
      <c r="H115">
        <v>3070</v>
      </c>
      <c r="I115">
        <v>24560</v>
      </c>
      <c r="J115" s="2">
        <v>5481.63</v>
      </c>
      <c r="K115" s="16">
        <f>Table13[[#This Row],[Profit]]/Table13[[#This Row],[Sales]]</f>
        <v>0.2231934039087948</v>
      </c>
      <c r="L115" s="17" t="str">
        <f t="shared" si="7"/>
        <v>High</v>
      </c>
      <c r="M115" s="17" t="str">
        <f t="shared" si="8"/>
        <v>Aug</v>
      </c>
      <c r="N115" s="18">
        <f>YEAR(Table13[[#This Row],[Order_Date]])</f>
        <v>2023</v>
      </c>
      <c r="O115" s="18">
        <f>Table13[[#This Row],[Price]]*0.7</f>
        <v>2149</v>
      </c>
      <c r="P115" s="18">
        <f t="shared" si="9"/>
        <v>7368</v>
      </c>
      <c r="Q115" s="18">
        <f t="shared" si="10"/>
        <v>0.1</v>
      </c>
      <c r="R115" s="18">
        <f t="shared" si="11"/>
        <v>19078.37</v>
      </c>
      <c r="S115" s="18" t="str">
        <f>IF(Table13[[#This Row],[Quantity]]&lt;=3,"Small",IF(Table13[[#This Row],[Quantity]]&lt;=6,"Medium","Bulk"))</f>
        <v>Bulk</v>
      </c>
      <c r="T115" s="18" t="str">
        <f t="shared" si="12"/>
        <v>Normal</v>
      </c>
      <c r="U115" s="18" t="str">
        <f t="shared" si="13"/>
        <v>High Value</v>
      </c>
    </row>
    <row r="116" spans="1:21" x14ac:dyDescent="0.3">
      <c r="A116" t="s">
        <v>124</v>
      </c>
      <c r="B116" s="1">
        <v>44930</v>
      </c>
      <c r="C116" t="s">
        <v>1210</v>
      </c>
      <c r="D116" t="s">
        <v>1218</v>
      </c>
      <c r="E116" t="s">
        <v>1221</v>
      </c>
      <c r="F116" t="s">
        <v>1226</v>
      </c>
      <c r="G116" s="6">
        <v>6</v>
      </c>
      <c r="H116">
        <v>667</v>
      </c>
      <c r="I116">
        <v>4002</v>
      </c>
      <c r="J116" s="2">
        <v>979.73</v>
      </c>
      <c r="K116" s="16">
        <f>Table13[[#This Row],[Profit]]/Table13[[#This Row],[Sales]]</f>
        <v>0.24481009495252373</v>
      </c>
      <c r="L116" s="17" t="str">
        <f t="shared" si="7"/>
        <v>Low</v>
      </c>
      <c r="M116" s="17" t="str">
        <f t="shared" si="8"/>
        <v>Jan</v>
      </c>
      <c r="N116" s="18">
        <f>YEAR(Table13[[#This Row],[Order_Date]])</f>
        <v>2023</v>
      </c>
      <c r="O116" s="18">
        <f>Table13[[#This Row],[Price]]*0.7</f>
        <v>466.9</v>
      </c>
      <c r="P116" s="18">
        <f t="shared" si="9"/>
        <v>1200.6000000000004</v>
      </c>
      <c r="Q116" s="18">
        <f t="shared" si="10"/>
        <v>0.1</v>
      </c>
      <c r="R116" s="18">
        <f t="shared" si="11"/>
        <v>3022.27</v>
      </c>
      <c r="S116" s="18" t="str">
        <f>IF(Table13[[#This Row],[Quantity]]&lt;=3,"Small",IF(Table13[[#This Row],[Quantity]]&lt;=6,"Medium","Bulk"))</f>
        <v>Medium</v>
      </c>
      <c r="T116" s="18" t="str">
        <f t="shared" si="12"/>
        <v>Normal</v>
      </c>
      <c r="U116" s="18" t="str">
        <f t="shared" si="13"/>
        <v>low Value</v>
      </c>
    </row>
    <row r="117" spans="1:21" x14ac:dyDescent="0.3">
      <c r="A117" t="s">
        <v>125</v>
      </c>
      <c r="B117" s="1">
        <v>44952</v>
      </c>
      <c r="C117" t="s">
        <v>1210</v>
      </c>
      <c r="D117" t="s">
        <v>1215</v>
      </c>
      <c r="E117" t="s">
        <v>1220</v>
      </c>
      <c r="F117" t="s">
        <v>1224</v>
      </c>
      <c r="G117" s="6">
        <v>6</v>
      </c>
      <c r="H117">
        <v>4489</v>
      </c>
      <c r="I117">
        <v>26934</v>
      </c>
      <c r="J117" s="2">
        <v>4704.01</v>
      </c>
      <c r="K117" s="16">
        <f>Table13[[#This Row],[Profit]]/Table13[[#This Row],[Sales]]</f>
        <v>0.17464951362590037</v>
      </c>
      <c r="L117" s="17" t="str">
        <f t="shared" si="7"/>
        <v>High</v>
      </c>
      <c r="M117" s="17" t="str">
        <f t="shared" si="8"/>
        <v>Jan</v>
      </c>
      <c r="N117" s="18">
        <f>YEAR(Table13[[#This Row],[Order_Date]])</f>
        <v>2023</v>
      </c>
      <c r="O117" s="18">
        <f>Table13[[#This Row],[Price]]*0.7</f>
        <v>3142.2999999999997</v>
      </c>
      <c r="P117" s="18">
        <f t="shared" si="9"/>
        <v>8080.2000000000007</v>
      </c>
      <c r="Q117" s="18">
        <f t="shared" si="10"/>
        <v>0.1</v>
      </c>
      <c r="R117" s="18">
        <f t="shared" si="11"/>
        <v>22229.99</v>
      </c>
      <c r="S117" s="18" t="str">
        <f>IF(Table13[[#This Row],[Quantity]]&lt;=3,"Small",IF(Table13[[#This Row],[Quantity]]&lt;=6,"Medium","Bulk"))</f>
        <v>Medium</v>
      </c>
      <c r="T117" s="18" t="str">
        <f t="shared" si="12"/>
        <v>Normal</v>
      </c>
      <c r="U117" s="18" t="str">
        <f t="shared" si="13"/>
        <v>High Value</v>
      </c>
    </row>
    <row r="118" spans="1:21" x14ac:dyDescent="0.3">
      <c r="A118" t="s">
        <v>126</v>
      </c>
      <c r="B118" s="1">
        <v>45138</v>
      </c>
      <c r="C118" t="s">
        <v>1212</v>
      </c>
      <c r="D118" t="s">
        <v>1216</v>
      </c>
      <c r="E118" t="s">
        <v>1221</v>
      </c>
      <c r="F118" t="s">
        <v>1231</v>
      </c>
      <c r="G118" s="6">
        <v>6</v>
      </c>
      <c r="H118">
        <v>1341</v>
      </c>
      <c r="I118">
        <v>8046</v>
      </c>
      <c r="J118" s="2">
        <v>1616.14</v>
      </c>
      <c r="K118" s="16">
        <f>Table13[[#This Row],[Profit]]/Table13[[#This Row],[Sales]]</f>
        <v>0.20086254039274173</v>
      </c>
      <c r="L118" s="17" t="str">
        <f t="shared" si="7"/>
        <v>Low</v>
      </c>
      <c r="M118" s="17" t="str">
        <f t="shared" si="8"/>
        <v>Jul</v>
      </c>
      <c r="N118" s="18">
        <f>YEAR(Table13[[#This Row],[Order_Date]])</f>
        <v>2023</v>
      </c>
      <c r="O118" s="18">
        <f>Table13[[#This Row],[Price]]*0.7</f>
        <v>938.69999999999993</v>
      </c>
      <c r="P118" s="18">
        <f t="shared" si="9"/>
        <v>2413.8000000000002</v>
      </c>
      <c r="Q118" s="18">
        <f t="shared" si="10"/>
        <v>0.1</v>
      </c>
      <c r="R118" s="18">
        <f t="shared" si="11"/>
        <v>6429.86</v>
      </c>
      <c r="S118" s="18" t="str">
        <f>IF(Table13[[#This Row],[Quantity]]&lt;=3,"Small",IF(Table13[[#This Row],[Quantity]]&lt;=6,"Medium","Bulk"))</f>
        <v>Medium</v>
      </c>
      <c r="T118" s="18" t="str">
        <f t="shared" si="12"/>
        <v>High Demand</v>
      </c>
      <c r="U118" s="18" t="str">
        <f t="shared" si="13"/>
        <v>low Value</v>
      </c>
    </row>
    <row r="119" spans="1:21" x14ac:dyDescent="0.3">
      <c r="A119" t="s">
        <v>127</v>
      </c>
      <c r="B119" s="1">
        <v>45219</v>
      </c>
      <c r="C119" t="s">
        <v>1211</v>
      </c>
      <c r="D119" t="s">
        <v>1214</v>
      </c>
      <c r="E119" t="s">
        <v>1222</v>
      </c>
      <c r="F119" t="s">
        <v>1236</v>
      </c>
      <c r="G119" s="6">
        <v>1</v>
      </c>
      <c r="H119">
        <v>4949</v>
      </c>
      <c r="I119">
        <v>4949</v>
      </c>
      <c r="J119" s="2">
        <v>638.75</v>
      </c>
      <c r="K119" s="16">
        <f>Table13[[#This Row],[Profit]]/Table13[[#This Row],[Sales]]</f>
        <v>0.12906647807637905</v>
      </c>
      <c r="L119" s="17" t="str">
        <f t="shared" si="7"/>
        <v>Low</v>
      </c>
      <c r="M119" s="17" t="str">
        <f t="shared" si="8"/>
        <v>Oct</v>
      </c>
      <c r="N119" s="18">
        <f>YEAR(Table13[[#This Row],[Order_Date]])</f>
        <v>2023</v>
      </c>
      <c r="O119" s="18">
        <f>Table13[[#This Row],[Price]]*0.7</f>
        <v>3464.2999999999997</v>
      </c>
      <c r="P119" s="18">
        <f t="shared" si="9"/>
        <v>1484.7000000000003</v>
      </c>
      <c r="Q119" s="18">
        <f t="shared" si="10"/>
        <v>0.05</v>
      </c>
      <c r="R119" s="18">
        <f t="shared" si="11"/>
        <v>4310.25</v>
      </c>
      <c r="S119" s="18" t="str">
        <f>IF(Table13[[#This Row],[Quantity]]&lt;=3,"Small",IF(Table13[[#This Row],[Quantity]]&lt;=6,"Medium","Bulk"))</f>
        <v>Small</v>
      </c>
      <c r="T119" s="18" t="str">
        <f t="shared" si="12"/>
        <v>Normal</v>
      </c>
      <c r="U119" s="18" t="str">
        <f t="shared" si="13"/>
        <v>low Value</v>
      </c>
    </row>
    <row r="120" spans="1:21" x14ac:dyDescent="0.3">
      <c r="A120" t="s">
        <v>128</v>
      </c>
      <c r="B120" s="1">
        <v>44936</v>
      </c>
      <c r="C120" t="s">
        <v>1212</v>
      </c>
      <c r="D120" t="s">
        <v>1217</v>
      </c>
      <c r="E120" t="s">
        <v>1219</v>
      </c>
      <c r="F120" t="s">
        <v>1223</v>
      </c>
      <c r="G120" s="6">
        <v>3</v>
      </c>
      <c r="H120">
        <v>3944</v>
      </c>
      <c r="I120">
        <v>11832</v>
      </c>
      <c r="J120" s="2">
        <v>1689.24</v>
      </c>
      <c r="K120" s="16">
        <f>Table13[[#This Row],[Profit]]/Table13[[#This Row],[Sales]]</f>
        <v>0.14276876267748478</v>
      </c>
      <c r="L120" s="17" t="str">
        <f t="shared" si="7"/>
        <v>Medium</v>
      </c>
      <c r="M120" s="17" t="str">
        <f t="shared" si="8"/>
        <v>Jan</v>
      </c>
      <c r="N120" s="18">
        <f>YEAR(Table13[[#This Row],[Order_Date]])</f>
        <v>2023</v>
      </c>
      <c r="O120" s="18">
        <f>Table13[[#This Row],[Price]]*0.7</f>
        <v>2760.7999999999997</v>
      </c>
      <c r="P120" s="18">
        <f t="shared" si="9"/>
        <v>3549.6000000000004</v>
      </c>
      <c r="Q120" s="18">
        <f t="shared" si="10"/>
        <v>0.05</v>
      </c>
      <c r="R120" s="18">
        <f t="shared" si="11"/>
        <v>10142.76</v>
      </c>
      <c r="S120" s="18" t="str">
        <f>IF(Table13[[#This Row],[Quantity]]&lt;=3,"Small",IF(Table13[[#This Row],[Quantity]]&lt;=6,"Medium","Bulk"))</f>
        <v>Small</v>
      </c>
      <c r="T120" s="18" t="str">
        <f t="shared" si="12"/>
        <v>High Demand</v>
      </c>
      <c r="U120" s="18" t="str">
        <f t="shared" si="13"/>
        <v>Medium Value</v>
      </c>
    </row>
    <row r="121" spans="1:21" x14ac:dyDescent="0.3">
      <c r="A121" t="s">
        <v>129</v>
      </c>
      <c r="B121" s="1">
        <v>45245</v>
      </c>
      <c r="C121" t="s">
        <v>1212</v>
      </c>
      <c r="D121" t="s">
        <v>1218</v>
      </c>
      <c r="E121" t="s">
        <v>1221</v>
      </c>
      <c r="F121" t="s">
        <v>1229</v>
      </c>
      <c r="G121" s="6">
        <v>8</v>
      </c>
      <c r="H121">
        <v>3913</v>
      </c>
      <c r="I121">
        <v>31304</v>
      </c>
      <c r="J121" s="2">
        <v>2971.93</v>
      </c>
      <c r="K121" s="16">
        <f>Table13[[#This Row],[Profit]]/Table13[[#This Row],[Sales]]</f>
        <v>9.4937707641196009E-2</v>
      </c>
      <c r="L121" s="17" t="str">
        <f t="shared" si="7"/>
        <v>High</v>
      </c>
      <c r="M121" s="17" t="str">
        <f t="shared" si="8"/>
        <v>Nov</v>
      </c>
      <c r="N121" s="18">
        <f>YEAR(Table13[[#This Row],[Order_Date]])</f>
        <v>2023</v>
      </c>
      <c r="O121" s="18">
        <f>Table13[[#This Row],[Price]]*0.7</f>
        <v>2739.1</v>
      </c>
      <c r="P121" s="18">
        <f t="shared" si="9"/>
        <v>9391.2000000000007</v>
      </c>
      <c r="Q121" s="18">
        <f t="shared" si="10"/>
        <v>0.1</v>
      </c>
      <c r="R121" s="18">
        <f t="shared" si="11"/>
        <v>28332.07</v>
      </c>
      <c r="S121" s="18" t="str">
        <f>IF(Table13[[#This Row],[Quantity]]&lt;=3,"Small",IF(Table13[[#This Row],[Quantity]]&lt;=6,"Medium","Bulk"))</f>
        <v>Bulk</v>
      </c>
      <c r="T121" s="18" t="str">
        <f t="shared" si="12"/>
        <v>High Demand</v>
      </c>
      <c r="U121" s="18" t="str">
        <f t="shared" si="13"/>
        <v>High Value</v>
      </c>
    </row>
    <row r="122" spans="1:21" x14ac:dyDescent="0.3">
      <c r="A122" t="s">
        <v>130</v>
      </c>
      <c r="B122" s="1">
        <v>45021</v>
      </c>
      <c r="C122" t="s">
        <v>1212</v>
      </c>
      <c r="D122" t="s">
        <v>1215</v>
      </c>
      <c r="E122" t="s">
        <v>1222</v>
      </c>
      <c r="F122" t="s">
        <v>1234</v>
      </c>
      <c r="G122" s="6">
        <v>8</v>
      </c>
      <c r="H122">
        <v>2238</v>
      </c>
      <c r="I122">
        <v>17904</v>
      </c>
      <c r="J122" s="2">
        <v>3849.88</v>
      </c>
      <c r="K122" s="16">
        <f>Table13[[#This Row],[Profit]]/Table13[[#This Row],[Sales]]</f>
        <v>0.2150290437890974</v>
      </c>
      <c r="L122" s="17" t="str">
        <f t="shared" si="7"/>
        <v>Medium</v>
      </c>
      <c r="M122" s="17" t="str">
        <f t="shared" si="8"/>
        <v>Apr</v>
      </c>
      <c r="N122" s="18">
        <f>YEAR(Table13[[#This Row],[Order_Date]])</f>
        <v>2023</v>
      </c>
      <c r="O122" s="18">
        <f>Table13[[#This Row],[Price]]*0.7</f>
        <v>1566.6</v>
      </c>
      <c r="P122" s="18">
        <f t="shared" si="9"/>
        <v>5371.2000000000007</v>
      </c>
      <c r="Q122" s="18">
        <f t="shared" si="10"/>
        <v>0.1</v>
      </c>
      <c r="R122" s="18">
        <f t="shared" si="11"/>
        <v>14054.12</v>
      </c>
      <c r="S122" s="18" t="str">
        <f>IF(Table13[[#This Row],[Quantity]]&lt;=3,"Small",IF(Table13[[#This Row],[Quantity]]&lt;=6,"Medium","Bulk"))</f>
        <v>Bulk</v>
      </c>
      <c r="T122" s="18" t="str">
        <f t="shared" si="12"/>
        <v>High Demand</v>
      </c>
      <c r="U122" s="18" t="str">
        <f t="shared" si="13"/>
        <v>Medium Value</v>
      </c>
    </row>
    <row r="123" spans="1:21" x14ac:dyDescent="0.3">
      <c r="A123" t="s">
        <v>131</v>
      </c>
      <c r="B123" s="1">
        <v>45063</v>
      </c>
      <c r="C123" t="s">
        <v>1211</v>
      </c>
      <c r="D123" t="s">
        <v>1216</v>
      </c>
      <c r="E123" t="s">
        <v>1220</v>
      </c>
      <c r="F123" t="s">
        <v>1224</v>
      </c>
      <c r="G123" s="6">
        <v>2</v>
      </c>
      <c r="H123">
        <v>4629</v>
      </c>
      <c r="I123">
        <v>9258</v>
      </c>
      <c r="J123" s="2">
        <v>2208.9499999999998</v>
      </c>
      <c r="K123" s="16">
        <f>Table13[[#This Row],[Profit]]/Table13[[#This Row],[Sales]]</f>
        <v>0.23859904947072799</v>
      </c>
      <c r="L123" s="17" t="str">
        <f t="shared" si="7"/>
        <v>Low</v>
      </c>
      <c r="M123" s="17" t="str">
        <f t="shared" si="8"/>
        <v>May</v>
      </c>
      <c r="N123" s="18">
        <f>YEAR(Table13[[#This Row],[Order_Date]])</f>
        <v>2023</v>
      </c>
      <c r="O123" s="18">
        <f>Table13[[#This Row],[Price]]*0.7</f>
        <v>3240.2999999999997</v>
      </c>
      <c r="P123" s="18">
        <f t="shared" si="9"/>
        <v>2777.4000000000005</v>
      </c>
      <c r="Q123" s="18">
        <f t="shared" si="10"/>
        <v>0.05</v>
      </c>
      <c r="R123" s="18">
        <f t="shared" si="11"/>
        <v>7049.05</v>
      </c>
      <c r="S123" s="18" t="str">
        <f>IF(Table13[[#This Row],[Quantity]]&lt;=3,"Small",IF(Table13[[#This Row],[Quantity]]&lt;=6,"Medium","Bulk"))</f>
        <v>Small</v>
      </c>
      <c r="T123" s="18" t="str">
        <f t="shared" si="12"/>
        <v>Normal</v>
      </c>
      <c r="U123" s="18" t="str">
        <f t="shared" si="13"/>
        <v>low Value</v>
      </c>
    </row>
    <row r="124" spans="1:21" x14ac:dyDescent="0.3">
      <c r="A124" t="s">
        <v>132</v>
      </c>
      <c r="B124" s="1">
        <v>45246</v>
      </c>
      <c r="C124" t="s">
        <v>1212</v>
      </c>
      <c r="D124" t="s">
        <v>1214</v>
      </c>
      <c r="E124" t="s">
        <v>1219</v>
      </c>
      <c r="F124" t="s">
        <v>1238</v>
      </c>
      <c r="G124" s="6">
        <v>1</v>
      </c>
      <c r="H124">
        <v>3591</v>
      </c>
      <c r="I124">
        <v>3591</v>
      </c>
      <c r="J124" s="2">
        <v>637.98</v>
      </c>
      <c r="K124" s="16">
        <f>Table13[[#This Row],[Profit]]/Table13[[#This Row],[Sales]]</f>
        <v>0.1776608187134503</v>
      </c>
      <c r="L124" s="17" t="str">
        <f t="shared" si="7"/>
        <v>Low</v>
      </c>
      <c r="M124" s="17" t="str">
        <f t="shared" si="8"/>
        <v>Nov</v>
      </c>
      <c r="N124" s="18">
        <f>YEAR(Table13[[#This Row],[Order_Date]])</f>
        <v>2023</v>
      </c>
      <c r="O124" s="18">
        <f>Table13[[#This Row],[Price]]*0.7</f>
        <v>2513.6999999999998</v>
      </c>
      <c r="P124" s="18">
        <f t="shared" si="9"/>
        <v>1077.3000000000002</v>
      </c>
      <c r="Q124" s="18">
        <f t="shared" si="10"/>
        <v>0.05</v>
      </c>
      <c r="R124" s="18">
        <f t="shared" si="11"/>
        <v>2953.02</v>
      </c>
      <c r="S124" s="18" t="str">
        <f>IF(Table13[[#This Row],[Quantity]]&lt;=3,"Small",IF(Table13[[#This Row],[Quantity]]&lt;=6,"Medium","Bulk"))</f>
        <v>Small</v>
      </c>
      <c r="T124" s="18" t="str">
        <f t="shared" si="12"/>
        <v>High Demand</v>
      </c>
      <c r="U124" s="18" t="str">
        <f t="shared" si="13"/>
        <v>low Value</v>
      </c>
    </row>
    <row r="125" spans="1:21" x14ac:dyDescent="0.3">
      <c r="A125" t="s">
        <v>133</v>
      </c>
      <c r="B125" s="1">
        <v>44988</v>
      </c>
      <c r="C125" t="s">
        <v>1213</v>
      </c>
      <c r="D125" t="s">
        <v>1218</v>
      </c>
      <c r="E125" t="s">
        <v>1222</v>
      </c>
      <c r="F125" t="s">
        <v>1234</v>
      </c>
      <c r="G125" s="6">
        <v>3</v>
      </c>
      <c r="H125">
        <v>3098</v>
      </c>
      <c r="I125">
        <v>9294</v>
      </c>
      <c r="J125" s="2">
        <v>1794.52</v>
      </c>
      <c r="K125" s="16">
        <f>Table13[[#This Row],[Profit]]/Table13[[#This Row],[Sales]]</f>
        <v>0.19308370992037874</v>
      </c>
      <c r="L125" s="17" t="str">
        <f t="shared" si="7"/>
        <v>Low</v>
      </c>
      <c r="M125" s="17" t="str">
        <f t="shared" si="8"/>
        <v>Mar</v>
      </c>
      <c r="N125" s="18">
        <f>YEAR(Table13[[#This Row],[Order_Date]])</f>
        <v>2023</v>
      </c>
      <c r="O125" s="18">
        <f>Table13[[#This Row],[Price]]*0.7</f>
        <v>2168.6</v>
      </c>
      <c r="P125" s="18">
        <f t="shared" si="9"/>
        <v>2788.2000000000007</v>
      </c>
      <c r="Q125" s="18">
        <f t="shared" si="10"/>
        <v>0.05</v>
      </c>
      <c r="R125" s="18">
        <f t="shared" si="11"/>
        <v>7499.4800000000005</v>
      </c>
      <c r="S125" s="18" t="str">
        <f>IF(Table13[[#This Row],[Quantity]]&lt;=3,"Small",IF(Table13[[#This Row],[Quantity]]&lt;=6,"Medium","Bulk"))</f>
        <v>Small</v>
      </c>
      <c r="T125" s="18" t="str">
        <f t="shared" si="12"/>
        <v>Normal</v>
      </c>
      <c r="U125" s="18" t="str">
        <f t="shared" si="13"/>
        <v>low Value</v>
      </c>
    </row>
    <row r="126" spans="1:21" x14ac:dyDescent="0.3">
      <c r="A126" t="s">
        <v>134</v>
      </c>
      <c r="B126" s="1">
        <v>45221</v>
      </c>
      <c r="C126" t="s">
        <v>1213</v>
      </c>
      <c r="D126" t="s">
        <v>1214</v>
      </c>
      <c r="E126" t="s">
        <v>1222</v>
      </c>
      <c r="F126" t="s">
        <v>1230</v>
      </c>
      <c r="G126" s="6">
        <v>9</v>
      </c>
      <c r="H126">
        <v>2649</v>
      </c>
      <c r="I126">
        <v>23841</v>
      </c>
      <c r="J126" s="2">
        <v>5216.93</v>
      </c>
      <c r="K126" s="16">
        <f>Table13[[#This Row],[Profit]]/Table13[[#This Row],[Sales]]</f>
        <v>0.2188217776099996</v>
      </c>
      <c r="L126" s="17" t="str">
        <f t="shared" si="7"/>
        <v>High</v>
      </c>
      <c r="M126" s="17" t="str">
        <f t="shared" si="8"/>
        <v>Oct</v>
      </c>
      <c r="N126" s="18">
        <f>YEAR(Table13[[#This Row],[Order_Date]])</f>
        <v>2023</v>
      </c>
      <c r="O126" s="18">
        <f>Table13[[#This Row],[Price]]*0.7</f>
        <v>1854.3</v>
      </c>
      <c r="P126" s="18">
        <f t="shared" si="9"/>
        <v>7152.2999999999993</v>
      </c>
      <c r="Q126" s="18">
        <f t="shared" si="10"/>
        <v>0.1</v>
      </c>
      <c r="R126" s="18">
        <f t="shared" si="11"/>
        <v>18624.07</v>
      </c>
      <c r="S126" s="18" t="str">
        <f>IF(Table13[[#This Row],[Quantity]]&lt;=3,"Small",IF(Table13[[#This Row],[Quantity]]&lt;=6,"Medium","Bulk"))</f>
        <v>Bulk</v>
      </c>
      <c r="T126" s="18" t="str">
        <f t="shared" si="12"/>
        <v>Normal</v>
      </c>
      <c r="U126" s="18" t="str">
        <f t="shared" si="13"/>
        <v>High Value</v>
      </c>
    </row>
    <row r="127" spans="1:21" x14ac:dyDescent="0.3">
      <c r="A127" t="s">
        <v>135</v>
      </c>
      <c r="B127" s="1">
        <v>45079</v>
      </c>
      <c r="C127" t="s">
        <v>1212</v>
      </c>
      <c r="D127" t="s">
        <v>1218</v>
      </c>
      <c r="E127" t="s">
        <v>1222</v>
      </c>
      <c r="F127" t="s">
        <v>1230</v>
      </c>
      <c r="G127" s="6">
        <v>1</v>
      </c>
      <c r="H127">
        <v>4870</v>
      </c>
      <c r="I127">
        <v>4870</v>
      </c>
      <c r="J127" s="2">
        <v>805.8</v>
      </c>
      <c r="K127" s="16">
        <f>Table13[[#This Row],[Profit]]/Table13[[#This Row],[Sales]]</f>
        <v>0.16546201232032853</v>
      </c>
      <c r="L127" s="17" t="str">
        <f t="shared" si="7"/>
        <v>Low</v>
      </c>
      <c r="M127" s="17" t="str">
        <f t="shared" si="8"/>
        <v>Jun</v>
      </c>
      <c r="N127" s="18">
        <f>YEAR(Table13[[#This Row],[Order_Date]])</f>
        <v>2023</v>
      </c>
      <c r="O127" s="18">
        <f>Table13[[#This Row],[Price]]*0.7</f>
        <v>3409</v>
      </c>
      <c r="P127" s="18">
        <f t="shared" si="9"/>
        <v>1461</v>
      </c>
      <c r="Q127" s="18">
        <f t="shared" si="10"/>
        <v>0.05</v>
      </c>
      <c r="R127" s="18">
        <f t="shared" si="11"/>
        <v>4064.2</v>
      </c>
      <c r="S127" s="18" t="str">
        <f>IF(Table13[[#This Row],[Quantity]]&lt;=3,"Small",IF(Table13[[#This Row],[Quantity]]&lt;=6,"Medium","Bulk"))</f>
        <v>Small</v>
      </c>
      <c r="T127" s="18" t="str">
        <f t="shared" si="12"/>
        <v>High Demand</v>
      </c>
      <c r="U127" s="18" t="str">
        <f t="shared" si="13"/>
        <v>low Value</v>
      </c>
    </row>
    <row r="128" spans="1:21" x14ac:dyDescent="0.3">
      <c r="A128" t="s">
        <v>136</v>
      </c>
      <c r="B128" s="1">
        <v>45030</v>
      </c>
      <c r="C128" t="s">
        <v>1210</v>
      </c>
      <c r="D128" t="s">
        <v>1214</v>
      </c>
      <c r="E128" t="s">
        <v>1219</v>
      </c>
      <c r="F128" t="s">
        <v>1238</v>
      </c>
      <c r="G128" s="6">
        <v>2</v>
      </c>
      <c r="H128">
        <v>2197</v>
      </c>
      <c r="I128">
        <v>4394</v>
      </c>
      <c r="J128" s="2">
        <v>401.28</v>
      </c>
      <c r="K128" s="16">
        <f>Table13[[#This Row],[Profit]]/Table13[[#This Row],[Sales]]</f>
        <v>9.1324533454710963E-2</v>
      </c>
      <c r="L128" s="17" t="str">
        <f t="shared" si="7"/>
        <v>Low</v>
      </c>
      <c r="M128" s="17" t="str">
        <f t="shared" si="8"/>
        <v>Apr</v>
      </c>
      <c r="N128" s="18">
        <f>YEAR(Table13[[#This Row],[Order_Date]])</f>
        <v>2023</v>
      </c>
      <c r="O128" s="18">
        <f>Table13[[#This Row],[Price]]*0.7</f>
        <v>1537.8999999999999</v>
      </c>
      <c r="P128" s="18">
        <f t="shared" si="9"/>
        <v>1318.2000000000003</v>
      </c>
      <c r="Q128" s="18">
        <f t="shared" si="10"/>
        <v>0.05</v>
      </c>
      <c r="R128" s="18">
        <f t="shared" si="11"/>
        <v>3992.7200000000003</v>
      </c>
      <c r="S128" s="18" t="str">
        <f>IF(Table13[[#This Row],[Quantity]]&lt;=3,"Small",IF(Table13[[#This Row],[Quantity]]&lt;=6,"Medium","Bulk"))</f>
        <v>Small</v>
      </c>
      <c r="T128" s="18" t="str">
        <f t="shared" si="12"/>
        <v>Normal</v>
      </c>
      <c r="U128" s="18" t="str">
        <f t="shared" si="13"/>
        <v>low Value</v>
      </c>
    </row>
    <row r="129" spans="1:21" x14ac:dyDescent="0.3">
      <c r="A129" t="s">
        <v>137</v>
      </c>
      <c r="B129" s="1">
        <v>44941</v>
      </c>
      <c r="C129" t="s">
        <v>1210</v>
      </c>
      <c r="D129" t="s">
        <v>1215</v>
      </c>
      <c r="E129" t="s">
        <v>1220</v>
      </c>
      <c r="F129" t="s">
        <v>1225</v>
      </c>
      <c r="G129" s="6">
        <v>3</v>
      </c>
      <c r="H129">
        <v>1402</v>
      </c>
      <c r="I129">
        <v>4206</v>
      </c>
      <c r="J129" s="2">
        <v>575.94000000000005</v>
      </c>
      <c r="K129" s="16">
        <f>Table13[[#This Row],[Profit]]/Table13[[#This Row],[Sales]]</f>
        <v>0.13693295292439372</v>
      </c>
      <c r="L129" s="17" t="str">
        <f t="shared" si="7"/>
        <v>Low</v>
      </c>
      <c r="M129" s="17" t="str">
        <f t="shared" si="8"/>
        <v>Jan</v>
      </c>
      <c r="N129" s="18">
        <f>YEAR(Table13[[#This Row],[Order_Date]])</f>
        <v>2023</v>
      </c>
      <c r="O129" s="18">
        <f>Table13[[#This Row],[Price]]*0.7</f>
        <v>981.4</v>
      </c>
      <c r="P129" s="18">
        <f t="shared" si="9"/>
        <v>1261.8000000000002</v>
      </c>
      <c r="Q129" s="18">
        <f t="shared" si="10"/>
        <v>0.05</v>
      </c>
      <c r="R129" s="18">
        <f t="shared" si="11"/>
        <v>3630.0600000000004</v>
      </c>
      <c r="S129" s="18" t="str">
        <f>IF(Table13[[#This Row],[Quantity]]&lt;=3,"Small",IF(Table13[[#This Row],[Quantity]]&lt;=6,"Medium","Bulk"))</f>
        <v>Small</v>
      </c>
      <c r="T129" s="18" t="str">
        <f t="shared" si="12"/>
        <v>Normal</v>
      </c>
      <c r="U129" s="18" t="str">
        <f t="shared" si="13"/>
        <v>low Value</v>
      </c>
    </row>
    <row r="130" spans="1:21" x14ac:dyDescent="0.3">
      <c r="A130" t="s">
        <v>138</v>
      </c>
      <c r="B130" s="1">
        <v>44964</v>
      </c>
      <c r="C130" t="s">
        <v>1212</v>
      </c>
      <c r="D130" t="s">
        <v>1218</v>
      </c>
      <c r="E130" t="s">
        <v>1222</v>
      </c>
      <c r="F130" t="s">
        <v>1236</v>
      </c>
      <c r="G130" s="6">
        <v>7</v>
      </c>
      <c r="H130">
        <v>1122</v>
      </c>
      <c r="I130">
        <v>7854</v>
      </c>
      <c r="J130" s="2">
        <v>1681.24</v>
      </c>
      <c r="K130" s="16">
        <f>Table13[[#This Row],[Profit]]/Table13[[#This Row],[Sales]]</f>
        <v>0.21406162464985995</v>
      </c>
      <c r="L130" s="17" t="str">
        <f t="shared" ref="L130:L193" si="14">IF(I130&gt;20000,"High",IF(I130&gt;10000,"Medium","Low"))</f>
        <v>Low</v>
      </c>
      <c r="M130" s="17" t="str">
        <f t="shared" ref="M130:M193" si="15">TEXT(B130,"mmm")</f>
        <v>Feb</v>
      </c>
      <c r="N130" s="18">
        <f>YEAR(Table13[[#This Row],[Order_Date]])</f>
        <v>2023</v>
      </c>
      <c r="O130" s="18">
        <f>Table13[[#This Row],[Price]]*0.7</f>
        <v>785.4</v>
      </c>
      <c r="P130" s="18">
        <f t="shared" ref="P130:P193" si="16">I130 - (G130 *O130)</f>
        <v>2356.1999999999998</v>
      </c>
      <c r="Q130" s="18">
        <f t="shared" ref="Q130:Q193" si="17">IF(G130&gt;5,0.1,0.05)</f>
        <v>0.1</v>
      </c>
      <c r="R130" s="18">
        <f t="shared" ref="R130:R193" si="18">I130*(1-K130)</f>
        <v>6172.76</v>
      </c>
      <c r="S130" s="18" t="str">
        <f>IF(Table13[[#This Row],[Quantity]]&lt;=3,"Small",IF(Table13[[#This Row],[Quantity]]&lt;=6,"Medium","Bulk"))</f>
        <v>Bulk</v>
      </c>
      <c r="T130" s="18" t="str">
        <f t="shared" ref="T130:T193" si="19">IF(C130="North","High Demand","Normal")</f>
        <v>High Demand</v>
      </c>
      <c r="U130" s="18" t="str">
        <f t="shared" ref="U130:U193" si="20">IF(I130&gt;20000,"High Value",IF(I130&gt;10000,"Medium Value","low Value"))</f>
        <v>low Value</v>
      </c>
    </row>
    <row r="131" spans="1:21" x14ac:dyDescent="0.3">
      <c r="A131" t="s">
        <v>139</v>
      </c>
      <c r="B131" s="1">
        <v>45012</v>
      </c>
      <c r="C131" t="s">
        <v>1211</v>
      </c>
      <c r="D131" t="s">
        <v>1217</v>
      </c>
      <c r="E131" t="s">
        <v>1222</v>
      </c>
      <c r="F131" t="s">
        <v>1234</v>
      </c>
      <c r="G131" s="6">
        <v>7</v>
      </c>
      <c r="H131">
        <v>2536</v>
      </c>
      <c r="I131">
        <v>17752</v>
      </c>
      <c r="J131" s="2">
        <v>1521.36</v>
      </c>
      <c r="K131" s="16">
        <f>Table13[[#This Row],[Profit]]/Table13[[#This Row],[Sales]]</f>
        <v>8.5700766110860749E-2</v>
      </c>
      <c r="L131" s="17" t="str">
        <f t="shared" si="14"/>
        <v>Medium</v>
      </c>
      <c r="M131" s="17" t="str">
        <f t="shared" si="15"/>
        <v>Mar</v>
      </c>
      <c r="N131" s="18">
        <f>YEAR(Table13[[#This Row],[Order_Date]])</f>
        <v>2023</v>
      </c>
      <c r="O131" s="18">
        <f>Table13[[#This Row],[Price]]*0.7</f>
        <v>1775.1999999999998</v>
      </c>
      <c r="P131" s="18">
        <f t="shared" si="16"/>
        <v>5325.6000000000022</v>
      </c>
      <c r="Q131" s="18">
        <f t="shared" si="17"/>
        <v>0.1</v>
      </c>
      <c r="R131" s="18">
        <f t="shared" si="18"/>
        <v>16230.64</v>
      </c>
      <c r="S131" s="18" t="str">
        <f>IF(Table13[[#This Row],[Quantity]]&lt;=3,"Small",IF(Table13[[#This Row],[Quantity]]&lt;=6,"Medium","Bulk"))</f>
        <v>Bulk</v>
      </c>
      <c r="T131" s="18" t="str">
        <f t="shared" si="19"/>
        <v>Normal</v>
      </c>
      <c r="U131" s="18" t="str">
        <f t="shared" si="20"/>
        <v>Medium Value</v>
      </c>
    </row>
    <row r="132" spans="1:21" x14ac:dyDescent="0.3">
      <c r="A132" t="s">
        <v>140</v>
      </c>
      <c r="B132" s="1">
        <v>45229</v>
      </c>
      <c r="C132" t="s">
        <v>1213</v>
      </c>
      <c r="D132" t="s">
        <v>1215</v>
      </c>
      <c r="E132" t="s">
        <v>1222</v>
      </c>
      <c r="F132" t="s">
        <v>1227</v>
      </c>
      <c r="G132" s="6">
        <v>1</v>
      </c>
      <c r="H132">
        <v>3053</v>
      </c>
      <c r="I132">
        <v>3053</v>
      </c>
      <c r="J132" s="2">
        <v>522.67999999999995</v>
      </c>
      <c r="K132" s="16">
        <f>Table13[[#This Row],[Profit]]/Table13[[#This Row],[Sales]]</f>
        <v>0.17120209629872254</v>
      </c>
      <c r="L132" s="17" t="str">
        <f t="shared" si="14"/>
        <v>Low</v>
      </c>
      <c r="M132" s="17" t="str">
        <f t="shared" si="15"/>
        <v>Oct</v>
      </c>
      <c r="N132" s="18">
        <f>YEAR(Table13[[#This Row],[Order_Date]])</f>
        <v>2023</v>
      </c>
      <c r="O132" s="18">
        <f>Table13[[#This Row],[Price]]*0.7</f>
        <v>2137.1</v>
      </c>
      <c r="P132" s="18">
        <f t="shared" si="16"/>
        <v>915.90000000000009</v>
      </c>
      <c r="Q132" s="18">
        <f t="shared" si="17"/>
        <v>0.05</v>
      </c>
      <c r="R132" s="18">
        <f t="shared" si="18"/>
        <v>2530.3200000000002</v>
      </c>
      <c r="S132" s="18" t="str">
        <f>IF(Table13[[#This Row],[Quantity]]&lt;=3,"Small",IF(Table13[[#This Row],[Quantity]]&lt;=6,"Medium","Bulk"))</f>
        <v>Small</v>
      </c>
      <c r="T132" s="18" t="str">
        <f t="shared" si="19"/>
        <v>Normal</v>
      </c>
      <c r="U132" s="18" t="str">
        <f t="shared" si="20"/>
        <v>low Value</v>
      </c>
    </row>
    <row r="133" spans="1:21" x14ac:dyDescent="0.3">
      <c r="A133" t="s">
        <v>141</v>
      </c>
      <c r="B133" s="1">
        <v>45083</v>
      </c>
      <c r="C133" t="s">
        <v>1210</v>
      </c>
      <c r="D133" t="s">
        <v>1216</v>
      </c>
      <c r="E133" t="s">
        <v>1221</v>
      </c>
      <c r="F133" t="s">
        <v>1226</v>
      </c>
      <c r="G133" s="6">
        <v>8</v>
      </c>
      <c r="H133">
        <v>3428</v>
      </c>
      <c r="I133">
        <v>27424</v>
      </c>
      <c r="J133" s="2">
        <v>4710.79</v>
      </c>
      <c r="K133" s="16">
        <f>Table13[[#This Row],[Profit]]/Table13[[#This Row],[Sales]]</f>
        <v>0.17177618144690782</v>
      </c>
      <c r="L133" s="17" t="str">
        <f t="shared" si="14"/>
        <v>High</v>
      </c>
      <c r="M133" s="17" t="str">
        <f t="shared" si="15"/>
        <v>Jun</v>
      </c>
      <c r="N133" s="18">
        <f>YEAR(Table13[[#This Row],[Order_Date]])</f>
        <v>2023</v>
      </c>
      <c r="O133" s="18">
        <f>Table13[[#This Row],[Price]]*0.7</f>
        <v>2399.6</v>
      </c>
      <c r="P133" s="18">
        <f t="shared" si="16"/>
        <v>8227.2000000000007</v>
      </c>
      <c r="Q133" s="18">
        <f t="shared" si="17"/>
        <v>0.1</v>
      </c>
      <c r="R133" s="18">
        <f t="shared" si="18"/>
        <v>22713.21</v>
      </c>
      <c r="S133" s="18" t="str">
        <f>IF(Table13[[#This Row],[Quantity]]&lt;=3,"Small",IF(Table13[[#This Row],[Quantity]]&lt;=6,"Medium","Bulk"))</f>
        <v>Bulk</v>
      </c>
      <c r="T133" s="18" t="str">
        <f t="shared" si="19"/>
        <v>Normal</v>
      </c>
      <c r="U133" s="18" t="str">
        <f t="shared" si="20"/>
        <v>High Value</v>
      </c>
    </row>
    <row r="134" spans="1:21" x14ac:dyDescent="0.3">
      <c r="A134" t="s">
        <v>142</v>
      </c>
      <c r="B134" s="1">
        <v>45218</v>
      </c>
      <c r="C134" t="s">
        <v>1211</v>
      </c>
      <c r="D134" t="s">
        <v>1214</v>
      </c>
      <c r="E134" t="s">
        <v>1221</v>
      </c>
      <c r="F134" t="s">
        <v>1231</v>
      </c>
      <c r="G134" s="6">
        <v>2</v>
      </c>
      <c r="H134">
        <v>294</v>
      </c>
      <c r="I134">
        <v>588</v>
      </c>
      <c r="J134" s="2">
        <v>106.86</v>
      </c>
      <c r="K134" s="16">
        <f>Table13[[#This Row],[Profit]]/Table13[[#This Row],[Sales]]</f>
        <v>0.18173469387755101</v>
      </c>
      <c r="L134" s="17" t="str">
        <f t="shared" si="14"/>
        <v>Low</v>
      </c>
      <c r="M134" s="17" t="str">
        <f t="shared" si="15"/>
        <v>Oct</v>
      </c>
      <c r="N134" s="18">
        <f>YEAR(Table13[[#This Row],[Order_Date]])</f>
        <v>2023</v>
      </c>
      <c r="O134" s="18">
        <f>Table13[[#This Row],[Price]]*0.7</f>
        <v>205.79999999999998</v>
      </c>
      <c r="P134" s="18">
        <f t="shared" si="16"/>
        <v>176.40000000000003</v>
      </c>
      <c r="Q134" s="18">
        <f t="shared" si="17"/>
        <v>0.05</v>
      </c>
      <c r="R134" s="18">
        <f t="shared" si="18"/>
        <v>481.14</v>
      </c>
      <c r="S134" s="18" t="str">
        <f>IF(Table13[[#This Row],[Quantity]]&lt;=3,"Small",IF(Table13[[#This Row],[Quantity]]&lt;=6,"Medium","Bulk"))</f>
        <v>Small</v>
      </c>
      <c r="T134" s="18" t="str">
        <f t="shared" si="19"/>
        <v>Normal</v>
      </c>
      <c r="U134" s="18" t="str">
        <f t="shared" si="20"/>
        <v>low Value</v>
      </c>
    </row>
    <row r="135" spans="1:21" x14ac:dyDescent="0.3">
      <c r="A135" t="s">
        <v>143</v>
      </c>
      <c r="B135" s="1">
        <v>45286</v>
      </c>
      <c r="C135" t="s">
        <v>1211</v>
      </c>
      <c r="D135" t="s">
        <v>1217</v>
      </c>
      <c r="E135" t="s">
        <v>1219</v>
      </c>
      <c r="F135" t="s">
        <v>1232</v>
      </c>
      <c r="G135" s="6">
        <v>4</v>
      </c>
      <c r="H135">
        <v>4306</v>
      </c>
      <c r="I135">
        <v>17224</v>
      </c>
      <c r="J135" s="2">
        <v>4186.17</v>
      </c>
      <c r="K135" s="16">
        <f>Table13[[#This Row],[Profit]]/Table13[[#This Row],[Sales]]</f>
        <v>0.24304284718996749</v>
      </c>
      <c r="L135" s="17" t="str">
        <f t="shared" si="14"/>
        <v>Medium</v>
      </c>
      <c r="M135" s="17" t="str">
        <f t="shared" si="15"/>
        <v>Dec</v>
      </c>
      <c r="N135" s="18">
        <f>YEAR(Table13[[#This Row],[Order_Date]])</f>
        <v>2023</v>
      </c>
      <c r="O135" s="18">
        <f>Table13[[#This Row],[Price]]*0.7</f>
        <v>3014.2</v>
      </c>
      <c r="P135" s="18">
        <f t="shared" si="16"/>
        <v>5167.2000000000007</v>
      </c>
      <c r="Q135" s="18">
        <f t="shared" si="17"/>
        <v>0.05</v>
      </c>
      <c r="R135" s="18">
        <f t="shared" si="18"/>
        <v>13037.83</v>
      </c>
      <c r="S135" s="18" t="str">
        <f>IF(Table13[[#This Row],[Quantity]]&lt;=3,"Small",IF(Table13[[#This Row],[Quantity]]&lt;=6,"Medium","Bulk"))</f>
        <v>Medium</v>
      </c>
      <c r="T135" s="18" t="str">
        <f t="shared" si="19"/>
        <v>Normal</v>
      </c>
      <c r="U135" s="18" t="str">
        <f t="shared" si="20"/>
        <v>Medium Value</v>
      </c>
    </row>
    <row r="136" spans="1:21" x14ac:dyDescent="0.3">
      <c r="A136" t="s">
        <v>144</v>
      </c>
      <c r="B136" s="1">
        <v>45037</v>
      </c>
      <c r="C136" t="s">
        <v>1213</v>
      </c>
      <c r="D136" t="s">
        <v>1216</v>
      </c>
      <c r="E136" t="s">
        <v>1220</v>
      </c>
      <c r="F136" t="s">
        <v>1237</v>
      </c>
      <c r="G136" s="6">
        <v>8</v>
      </c>
      <c r="H136">
        <v>3205</v>
      </c>
      <c r="I136">
        <v>25640</v>
      </c>
      <c r="J136" s="2">
        <v>2490.54</v>
      </c>
      <c r="K136" s="16">
        <f>Table13[[#This Row],[Profit]]/Table13[[#This Row],[Sales]]</f>
        <v>9.7134945397815906E-2</v>
      </c>
      <c r="L136" s="17" t="str">
        <f t="shared" si="14"/>
        <v>High</v>
      </c>
      <c r="M136" s="17" t="str">
        <f t="shared" si="15"/>
        <v>Apr</v>
      </c>
      <c r="N136" s="18">
        <f>YEAR(Table13[[#This Row],[Order_Date]])</f>
        <v>2023</v>
      </c>
      <c r="O136" s="18">
        <f>Table13[[#This Row],[Price]]*0.7</f>
        <v>2243.5</v>
      </c>
      <c r="P136" s="18">
        <f t="shared" si="16"/>
        <v>7692</v>
      </c>
      <c r="Q136" s="18">
        <f t="shared" si="17"/>
        <v>0.1</v>
      </c>
      <c r="R136" s="18">
        <f t="shared" si="18"/>
        <v>23149.460000000003</v>
      </c>
      <c r="S136" s="18" t="str">
        <f>IF(Table13[[#This Row],[Quantity]]&lt;=3,"Small",IF(Table13[[#This Row],[Quantity]]&lt;=6,"Medium","Bulk"))</f>
        <v>Bulk</v>
      </c>
      <c r="T136" s="18" t="str">
        <f t="shared" si="19"/>
        <v>Normal</v>
      </c>
      <c r="U136" s="18" t="str">
        <f t="shared" si="20"/>
        <v>High Value</v>
      </c>
    </row>
    <row r="137" spans="1:21" x14ac:dyDescent="0.3">
      <c r="A137" t="s">
        <v>145</v>
      </c>
      <c r="B137" s="1">
        <v>45053</v>
      </c>
      <c r="C137" t="s">
        <v>1211</v>
      </c>
      <c r="D137" t="s">
        <v>1218</v>
      </c>
      <c r="E137" t="s">
        <v>1219</v>
      </c>
      <c r="F137" t="s">
        <v>1223</v>
      </c>
      <c r="G137" s="6">
        <v>4</v>
      </c>
      <c r="H137">
        <v>3135</v>
      </c>
      <c r="I137">
        <v>12540</v>
      </c>
      <c r="J137" s="2">
        <v>1052.28</v>
      </c>
      <c r="K137" s="16">
        <f>Table13[[#This Row],[Profit]]/Table13[[#This Row],[Sales]]</f>
        <v>8.3913875598086121E-2</v>
      </c>
      <c r="L137" s="17" t="str">
        <f t="shared" si="14"/>
        <v>Medium</v>
      </c>
      <c r="M137" s="17" t="str">
        <f t="shared" si="15"/>
        <v>May</v>
      </c>
      <c r="N137" s="18">
        <f>YEAR(Table13[[#This Row],[Order_Date]])</f>
        <v>2023</v>
      </c>
      <c r="O137" s="18">
        <f>Table13[[#This Row],[Price]]*0.7</f>
        <v>2194.5</v>
      </c>
      <c r="P137" s="18">
        <f t="shared" si="16"/>
        <v>3762</v>
      </c>
      <c r="Q137" s="18">
        <f t="shared" si="17"/>
        <v>0.05</v>
      </c>
      <c r="R137" s="18">
        <f t="shared" si="18"/>
        <v>11487.72</v>
      </c>
      <c r="S137" s="18" t="str">
        <f>IF(Table13[[#This Row],[Quantity]]&lt;=3,"Small",IF(Table13[[#This Row],[Quantity]]&lt;=6,"Medium","Bulk"))</f>
        <v>Medium</v>
      </c>
      <c r="T137" s="18" t="str">
        <f t="shared" si="19"/>
        <v>Normal</v>
      </c>
      <c r="U137" s="18" t="str">
        <f t="shared" si="20"/>
        <v>Medium Value</v>
      </c>
    </row>
    <row r="138" spans="1:21" x14ac:dyDescent="0.3">
      <c r="A138" t="s">
        <v>146</v>
      </c>
      <c r="B138" s="1">
        <v>45222</v>
      </c>
      <c r="C138" t="s">
        <v>1212</v>
      </c>
      <c r="D138" t="s">
        <v>1214</v>
      </c>
      <c r="E138" t="s">
        <v>1221</v>
      </c>
      <c r="F138" t="s">
        <v>1235</v>
      </c>
      <c r="G138" s="6">
        <v>9</v>
      </c>
      <c r="H138">
        <v>4346</v>
      </c>
      <c r="I138">
        <v>39114</v>
      </c>
      <c r="J138" s="2">
        <v>8026.02</v>
      </c>
      <c r="K138" s="16">
        <f>Table13[[#This Row],[Profit]]/Table13[[#This Row],[Sales]]</f>
        <v>0.2051955821445007</v>
      </c>
      <c r="L138" s="17" t="str">
        <f t="shared" si="14"/>
        <v>High</v>
      </c>
      <c r="M138" s="17" t="str">
        <f t="shared" si="15"/>
        <v>Oct</v>
      </c>
      <c r="N138" s="18">
        <f>YEAR(Table13[[#This Row],[Order_Date]])</f>
        <v>2023</v>
      </c>
      <c r="O138" s="18">
        <f>Table13[[#This Row],[Price]]*0.7</f>
        <v>3042.2</v>
      </c>
      <c r="P138" s="18">
        <f t="shared" si="16"/>
        <v>11734.2</v>
      </c>
      <c r="Q138" s="18">
        <f t="shared" si="17"/>
        <v>0.1</v>
      </c>
      <c r="R138" s="18">
        <f t="shared" si="18"/>
        <v>31087.98</v>
      </c>
      <c r="S138" s="18" t="str">
        <f>IF(Table13[[#This Row],[Quantity]]&lt;=3,"Small",IF(Table13[[#This Row],[Quantity]]&lt;=6,"Medium","Bulk"))</f>
        <v>Bulk</v>
      </c>
      <c r="T138" s="18" t="str">
        <f t="shared" si="19"/>
        <v>High Demand</v>
      </c>
      <c r="U138" s="18" t="str">
        <f t="shared" si="20"/>
        <v>High Value</v>
      </c>
    </row>
    <row r="139" spans="1:21" x14ac:dyDescent="0.3">
      <c r="A139" t="s">
        <v>147</v>
      </c>
      <c r="B139" s="1">
        <v>45108</v>
      </c>
      <c r="C139" t="s">
        <v>1210</v>
      </c>
      <c r="D139" t="s">
        <v>1218</v>
      </c>
      <c r="E139" t="s">
        <v>1219</v>
      </c>
      <c r="F139" t="s">
        <v>1232</v>
      </c>
      <c r="G139" s="6">
        <v>5</v>
      </c>
      <c r="H139">
        <v>3676</v>
      </c>
      <c r="I139">
        <v>18380</v>
      </c>
      <c r="J139" s="2">
        <v>1987.59</v>
      </c>
      <c r="K139" s="16">
        <f>Table13[[#This Row],[Profit]]/Table13[[#This Row],[Sales]]</f>
        <v>0.10813873775843308</v>
      </c>
      <c r="L139" s="17" t="str">
        <f t="shared" si="14"/>
        <v>Medium</v>
      </c>
      <c r="M139" s="17" t="str">
        <f t="shared" si="15"/>
        <v>Jul</v>
      </c>
      <c r="N139" s="18">
        <f>YEAR(Table13[[#This Row],[Order_Date]])</f>
        <v>2023</v>
      </c>
      <c r="O139" s="18">
        <f>Table13[[#This Row],[Price]]*0.7</f>
        <v>2573.1999999999998</v>
      </c>
      <c r="P139" s="18">
        <f t="shared" si="16"/>
        <v>5514</v>
      </c>
      <c r="Q139" s="18">
        <f t="shared" si="17"/>
        <v>0.05</v>
      </c>
      <c r="R139" s="18">
        <f t="shared" si="18"/>
        <v>16392.41</v>
      </c>
      <c r="S139" s="18" t="str">
        <f>IF(Table13[[#This Row],[Quantity]]&lt;=3,"Small",IF(Table13[[#This Row],[Quantity]]&lt;=6,"Medium","Bulk"))</f>
        <v>Medium</v>
      </c>
      <c r="T139" s="18" t="str">
        <f t="shared" si="19"/>
        <v>Normal</v>
      </c>
      <c r="U139" s="18" t="str">
        <f t="shared" si="20"/>
        <v>Medium Value</v>
      </c>
    </row>
    <row r="140" spans="1:21" x14ac:dyDescent="0.3">
      <c r="A140" t="s">
        <v>148</v>
      </c>
      <c r="B140" s="1">
        <v>45075</v>
      </c>
      <c r="C140" t="s">
        <v>1210</v>
      </c>
      <c r="D140" t="s">
        <v>1218</v>
      </c>
      <c r="E140" t="s">
        <v>1222</v>
      </c>
      <c r="F140" t="s">
        <v>1227</v>
      </c>
      <c r="G140" s="6">
        <v>6</v>
      </c>
      <c r="H140">
        <v>4862</v>
      </c>
      <c r="I140">
        <v>29172</v>
      </c>
      <c r="J140" s="2">
        <v>3461.47</v>
      </c>
      <c r="K140" s="16">
        <f>Table13[[#This Row],[Profit]]/Table13[[#This Row],[Sales]]</f>
        <v>0.11865727409845056</v>
      </c>
      <c r="L140" s="17" t="str">
        <f t="shared" si="14"/>
        <v>High</v>
      </c>
      <c r="M140" s="17" t="str">
        <f t="shared" si="15"/>
        <v>May</v>
      </c>
      <c r="N140" s="18">
        <f>YEAR(Table13[[#This Row],[Order_Date]])</f>
        <v>2023</v>
      </c>
      <c r="O140" s="18">
        <f>Table13[[#This Row],[Price]]*0.7</f>
        <v>3403.3999999999996</v>
      </c>
      <c r="P140" s="18">
        <f t="shared" si="16"/>
        <v>8751.6000000000022</v>
      </c>
      <c r="Q140" s="18">
        <f t="shared" si="17"/>
        <v>0.1</v>
      </c>
      <c r="R140" s="18">
        <f t="shared" si="18"/>
        <v>25710.53</v>
      </c>
      <c r="S140" s="18" t="str">
        <f>IF(Table13[[#This Row],[Quantity]]&lt;=3,"Small",IF(Table13[[#This Row],[Quantity]]&lt;=6,"Medium","Bulk"))</f>
        <v>Medium</v>
      </c>
      <c r="T140" s="18" t="str">
        <f t="shared" si="19"/>
        <v>Normal</v>
      </c>
      <c r="U140" s="18" t="str">
        <f t="shared" si="20"/>
        <v>High Value</v>
      </c>
    </row>
    <row r="141" spans="1:21" x14ac:dyDescent="0.3">
      <c r="A141" t="s">
        <v>149</v>
      </c>
      <c r="B141" s="1">
        <v>45217</v>
      </c>
      <c r="C141" t="s">
        <v>1210</v>
      </c>
      <c r="D141" t="s">
        <v>1216</v>
      </c>
      <c r="E141" t="s">
        <v>1222</v>
      </c>
      <c r="F141" t="s">
        <v>1234</v>
      </c>
      <c r="G141" s="6">
        <v>4</v>
      </c>
      <c r="H141">
        <v>4412</v>
      </c>
      <c r="I141">
        <v>17648</v>
      </c>
      <c r="J141" s="2">
        <v>3223.1</v>
      </c>
      <c r="K141" s="16">
        <f>Table13[[#This Row],[Profit]]/Table13[[#This Row],[Sales]]</f>
        <v>0.18263259292837714</v>
      </c>
      <c r="L141" s="17" t="str">
        <f t="shared" si="14"/>
        <v>Medium</v>
      </c>
      <c r="M141" s="17" t="str">
        <f t="shared" si="15"/>
        <v>Oct</v>
      </c>
      <c r="N141" s="18">
        <f>YEAR(Table13[[#This Row],[Order_Date]])</f>
        <v>2023</v>
      </c>
      <c r="O141" s="18">
        <f>Table13[[#This Row],[Price]]*0.7</f>
        <v>3088.3999999999996</v>
      </c>
      <c r="P141" s="18">
        <f t="shared" si="16"/>
        <v>5294.4000000000015</v>
      </c>
      <c r="Q141" s="18">
        <f t="shared" si="17"/>
        <v>0.05</v>
      </c>
      <c r="R141" s="18">
        <f t="shared" si="18"/>
        <v>14424.9</v>
      </c>
      <c r="S141" s="18" t="str">
        <f>IF(Table13[[#This Row],[Quantity]]&lt;=3,"Small",IF(Table13[[#This Row],[Quantity]]&lt;=6,"Medium","Bulk"))</f>
        <v>Medium</v>
      </c>
      <c r="T141" s="18" t="str">
        <f t="shared" si="19"/>
        <v>Normal</v>
      </c>
      <c r="U141" s="18" t="str">
        <f t="shared" si="20"/>
        <v>Medium Value</v>
      </c>
    </row>
    <row r="142" spans="1:21" x14ac:dyDescent="0.3">
      <c r="A142" t="s">
        <v>150</v>
      </c>
      <c r="B142" s="1">
        <v>45273</v>
      </c>
      <c r="C142" t="s">
        <v>1212</v>
      </c>
      <c r="D142" t="s">
        <v>1214</v>
      </c>
      <c r="E142" t="s">
        <v>1222</v>
      </c>
      <c r="F142" t="s">
        <v>1230</v>
      </c>
      <c r="G142" s="6">
        <v>6</v>
      </c>
      <c r="H142">
        <v>585</v>
      </c>
      <c r="I142">
        <v>3510</v>
      </c>
      <c r="J142" s="2">
        <v>558.67999999999995</v>
      </c>
      <c r="K142" s="16">
        <f>Table13[[#This Row],[Profit]]/Table13[[#This Row],[Sales]]</f>
        <v>0.15916809116809116</v>
      </c>
      <c r="L142" s="17" t="str">
        <f t="shared" si="14"/>
        <v>Low</v>
      </c>
      <c r="M142" s="17" t="str">
        <f t="shared" si="15"/>
        <v>Dec</v>
      </c>
      <c r="N142" s="18">
        <f>YEAR(Table13[[#This Row],[Order_Date]])</f>
        <v>2023</v>
      </c>
      <c r="O142" s="18">
        <f>Table13[[#This Row],[Price]]*0.7</f>
        <v>409.5</v>
      </c>
      <c r="P142" s="18">
        <f t="shared" si="16"/>
        <v>1053</v>
      </c>
      <c r="Q142" s="18">
        <f t="shared" si="17"/>
        <v>0.1</v>
      </c>
      <c r="R142" s="18">
        <f t="shared" si="18"/>
        <v>2951.32</v>
      </c>
      <c r="S142" s="18" t="str">
        <f>IF(Table13[[#This Row],[Quantity]]&lt;=3,"Small",IF(Table13[[#This Row],[Quantity]]&lt;=6,"Medium","Bulk"))</f>
        <v>Medium</v>
      </c>
      <c r="T142" s="18" t="str">
        <f t="shared" si="19"/>
        <v>High Demand</v>
      </c>
      <c r="U142" s="18" t="str">
        <f t="shared" si="20"/>
        <v>low Value</v>
      </c>
    </row>
    <row r="143" spans="1:21" x14ac:dyDescent="0.3">
      <c r="A143" t="s">
        <v>151</v>
      </c>
      <c r="B143" s="1">
        <v>45106</v>
      </c>
      <c r="C143" t="s">
        <v>1211</v>
      </c>
      <c r="D143" t="s">
        <v>1215</v>
      </c>
      <c r="E143" t="s">
        <v>1219</v>
      </c>
      <c r="F143" t="s">
        <v>1223</v>
      </c>
      <c r="G143" s="6">
        <v>3</v>
      </c>
      <c r="H143">
        <v>1405</v>
      </c>
      <c r="I143">
        <v>4215</v>
      </c>
      <c r="J143" s="2">
        <v>463.59</v>
      </c>
      <c r="K143" s="16">
        <f>Table13[[#This Row],[Profit]]/Table13[[#This Row],[Sales]]</f>
        <v>0.10998576512455516</v>
      </c>
      <c r="L143" s="17" t="str">
        <f t="shared" si="14"/>
        <v>Low</v>
      </c>
      <c r="M143" s="17" t="str">
        <f t="shared" si="15"/>
        <v>Jun</v>
      </c>
      <c r="N143" s="18">
        <f>YEAR(Table13[[#This Row],[Order_Date]])</f>
        <v>2023</v>
      </c>
      <c r="O143" s="18">
        <f>Table13[[#This Row],[Price]]*0.7</f>
        <v>983.49999999999989</v>
      </c>
      <c r="P143" s="18">
        <f t="shared" si="16"/>
        <v>1264.5000000000005</v>
      </c>
      <c r="Q143" s="18">
        <f t="shared" si="17"/>
        <v>0.05</v>
      </c>
      <c r="R143" s="18">
        <f t="shared" si="18"/>
        <v>3751.41</v>
      </c>
      <c r="S143" s="18" t="str">
        <f>IF(Table13[[#This Row],[Quantity]]&lt;=3,"Small",IF(Table13[[#This Row],[Quantity]]&lt;=6,"Medium","Bulk"))</f>
        <v>Small</v>
      </c>
      <c r="T143" s="18" t="str">
        <f t="shared" si="19"/>
        <v>Normal</v>
      </c>
      <c r="U143" s="18" t="str">
        <f t="shared" si="20"/>
        <v>low Value</v>
      </c>
    </row>
    <row r="144" spans="1:21" x14ac:dyDescent="0.3">
      <c r="A144" t="s">
        <v>152</v>
      </c>
      <c r="B144" s="1">
        <v>45076</v>
      </c>
      <c r="C144" t="s">
        <v>1211</v>
      </c>
      <c r="D144" t="s">
        <v>1216</v>
      </c>
      <c r="E144" t="s">
        <v>1221</v>
      </c>
      <c r="F144" t="s">
        <v>1231</v>
      </c>
      <c r="G144" s="6">
        <v>1</v>
      </c>
      <c r="H144">
        <v>4580</v>
      </c>
      <c r="I144">
        <v>4580</v>
      </c>
      <c r="J144" s="2">
        <v>818.45</v>
      </c>
      <c r="K144" s="16">
        <f>Table13[[#This Row],[Profit]]/Table13[[#This Row],[Sales]]</f>
        <v>0.17870087336244542</v>
      </c>
      <c r="L144" s="17" t="str">
        <f t="shared" si="14"/>
        <v>Low</v>
      </c>
      <c r="M144" s="17" t="str">
        <f t="shared" si="15"/>
        <v>May</v>
      </c>
      <c r="N144" s="18">
        <f>YEAR(Table13[[#This Row],[Order_Date]])</f>
        <v>2023</v>
      </c>
      <c r="O144" s="18">
        <f>Table13[[#This Row],[Price]]*0.7</f>
        <v>3206</v>
      </c>
      <c r="P144" s="18">
        <f t="shared" si="16"/>
        <v>1374</v>
      </c>
      <c r="Q144" s="18">
        <f t="shared" si="17"/>
        <v>0.05</v>
      </c>
      <c r="R144" s="18">
        <f t="shared" si="18"/>
        <v>3761.5499999999997</v>
      </c>
      <c r="S144" s="18" t="str">
        <f>IF(Table13[[#This Row],[Quantity]]&lt;=3,"Small",IF(Table13[[#This Row],[Quantity]]&lt;=6,"Medium","Bulk"))</f>
        <v>Small</v>
      </c>
      <c r="T144" s="18" t="str">
        <f t="shared" si="19"/>
        <v>Normal</v>
      </c>
      <c r="U144" s="18" t="str">
        <f t="shared" si="20"/>
        <v>low Value</v>
      </c>
    </row>
    <row r="145" spans="1:21" x14ac:dyDescent="0.3">
      <c r="A145" t="s">
        <v>153</v>
      </c>
      <c r="B145" s="1">
        <v>45287</v>
      </c>
      <c r="C145" t="s">
        <v>1212</v>
      </c>
      <c r="D145" t="s">
        <v>1216</v>
      </c>
      <c r="E145" t="s">
        <v>1220</v>
      </c>
      <c r="F145" t="s">
        <v>1228</v>
      </c>
      <c r="G145" s="6">
        <v>1</v>
      </c>
      <c r="H145">
        <v>1166</v>
      </c>
      <c r="I145">
        <v>1166</v>
      </c>
      <c r="J145" s="2">
        <v>286.64999999999998</v>
      </c>
      <c r="K145" s="16">
        <f>Table13[[#This Row],[Profit]]/Table13[[#This Row],[Sales]]</f>
        <v>0.24584048027444252</v>
      </c>
      <c r="L145" s="17" t="str">
        <f t="shared" si="14"/>
        <v>Low</v>
      </c>
      <c r="M145" s="17" t="str">
        <f t="shared" si="15"/>
        <v>Dec</v>
      </c>
      <c r="N145" s="18">
        <f>YEAR(Table13[[#This Row],[Order_Date]])</f>
        <v>2023</v>
      </c>
      <c r="O145" s="18">
        <f>Table13[[#This Row],[Price]]*0.7</f>
        <v>816.19999999999993</v>
      </c>
      <c r="P145" s="18">
        <f t="shared" si="16"/>
        <v>349.80000000000007</v>
      </c>
      <c r="Q145" s="18">
        <f t="shared" si="17"/>
        <v>0.05</v>
      </c>
      <c r="R145" s="18">
        <f t="shared" si="18"/>
        <v>879.35</v>
      </c>
      <c r="S145" s="18" t="str">
        <f>IF(Table13[[#This Row],[Quantity]]&lt;=3,"Small",IF(Table13[[#This Row],[Quantity]]&lt;=6,"Medium","Bulk"))</f>
        <v>Small</v>
      </c>
      <c r="T145" s="18" t="str">
        <f t="shared" si="19"/>
        <v>High Demand</v>
      </c>
      <c r="U145" s="18" t="str">
        <f t="shared" si="20"/>
        <v>low Value</v>
      </c>
    </row>
    <row r="146" spans="1:21" x14ac:dyDescent="0.3">
      <c r="A146" t="s">
        <v>154</v>
      </c>
      <c r="B146" s="1">
        <v>45067</v>
      </c>
      <c r="C146" t="s">
        <v>1211</v>
      </c>
      <c r="D146" t="s">
        <v>1214</v>
      </c>
      <c r="E146" t="s">
        <v>1220</v>
      </c>
      <c r="F146" t="s">
        <v>1225</v>
      </c>
      <c r="G146" s="6">
        <v>8</v>
      </c>
      <c r="H146">
        <v>4622</v>
      </c>
      <c r="I146">
        <v>36976</v>
      </c>
      <c r="J146" s="2">
        <v>6700.62</v>
      </c>
      <c r="K146" s="16">
        <f>Table13[[#This Row],[Profit]]/Table13[[#This Row],[Sales]]</f>
        <v>0.18121538295110343</v>
      </c>
      <c r="L146" s="17" t="str">
        <f t="shared" si="14"/>
        <v>High</v>
      </c>
      <c r="M146" s="17" t="str">
        <f t="shared" si="15"/>
        <v>May</v>
      </c>
      <c r="N146" s="18">
        <f>YEAR(Table13[[#This Row],[Order_Date]])</f>
        <v>2023</v>
      </c>
      <c r="O146" s="18">
        <f>Table13[[#This Row],[Price]]*0.7</f>
        <v>3235.3999999999996</v>
      </c>
      <c r="P146" s="18">
        <f t="shared" si="16"/>
        <v>11092.800000000003</v>
      </c>
      <c r="Q146" s="18">
        <f t="shared" si="17"/>
        <v>0.1</v>
      </c>
      <c r="R146" s="18">
        <f t="shared" si="18"/>
        <v>30275.38</v>
      </c>
      <c r="S146" s="18" t="str">
        <f>IF(Table13[[#This Row],[Quantity]]&lt;=3,"Small",IF(Table13[[#This Row],[Quantity]]&lt;=6,"Medium","Bulk"))</f>
        <v>Bulk</v>
      </c>
      <c r="T146" s="18" t="str">
        <f t="shared" si="19"/>
        <v>Normal</v>
      </c>
      <c r="U146" s="18" t="str">
        <f t="shared" si="20"/>
        <v>High Value</v>
      </c>
    </row>
    <row r="147" spans="1:21" x14ac:dyDescent="0.3">
      <c r="A147" t="s">
        <v>155</v>
      </c>
      <c r="B147" s="1">
        <v>45211</v>
      </c>
      <c r="C147" t="s">
        <v>1212</v>
      </c>
      <c r="D147" t="s">
        <v>1215</v>
      </c>
      <c r="E147" t="s">
        <v>1219</v>
      </c>
      <c r="F147" t="s">
        <v>1223</v>
      </c>
      <c r="G147" s="6">
        <v>3</v>
      </c>
      <c r="H147">
        <v>3589</v>
      </c>
      <c r="I147">
        <v>10767</v>
      </c>
      <c r="J147" s="2">
        <v>1236.8499999999999</v>
      </c>
      <c r="K147" s="16">
        <f>Table13[[#This Row],[Profit]]/Table13[[#This Row],[Sales]]</f>
        <v>0.11487415250301847</v>
      </c>
      <c r="L147" s="17" t="str">
        <f t="shared" si="14"/>
        <v>Medium</v>
      </c>
      <c r="M147" s="17" t="str">
        <f t="shared" si="15"/>
        <v>Oct</v>
      </c>
      <c r="N147" s="18">
        <f>YEAR(Table13[[#This Row],[Order_Date]])</f>
        <v>2023</v>
      </c>
      <c r="O147" s="18">
        <f>Table13[[#This Row],[Price]]*0.7</f>
        <v>2512.2999999999997</v>
      </c>
      <c r="P147" s="18">
        <f t="shared" si="16"/>
        <v>3230.1000000000004</v>
      </c>
      <c r="Q147" s="18">
        <f t="shared" si="17"/>
        <v>0.05</v>
      </c>
      <c r="R147" s="18">
        <f t="shared" si="18"/>
        <v>9530.15</v>
      </c>
      <c r="S147" s="18" t="str">
        <f>IF(Table13[[#This Row],[Quantity]]&lt;=3,"Small",IF(Table13[[#This Row],[Quantity]]&lt;=6,"Medium","Bulk"))</f>
        <v>Small</v>
      </c>
      <c r="T147" s="18" t="str">
        <f t="shared" si="19"/>
        <v>High Demand</v>
      </c>
      <c r="U147" s="18" t="str">
        <f t="shared" si="20"/>
        <v>Medium Value</v>
      </c>
    </row>
    <row r="148" spans="1:21" x14ac:dyDescent="0.3">
      <c r="A148" t="s">
        <v>156</v>
      </c>
      <c r="B148" s="1">
        <v>45101</v>
      </c>
      <c r="C148" t="s">
        <v>1211</v>
      </c>
      <c r="D148" t="s">
        <v>1217</v>
      </c>
      <c r="E148" t="s">
        <v>1222</v>
      </c>
      <c r="F148" t="s">
        <v>1230</v>
      </c>
      <c r="G148" s="6">
        <v>8</v>
      </c>
      <c r="H148">
        <v>2265</v>
      </c>
      <c r="I148">
        <v>18120</v>
      </c>
      <c r="J148" s="2">
        <v>2355.38</v>
      </c>
      <c r="K148" s="16">
        <f>Table13[[#This Row],[Profit]]/Table13[[#This Row],[Sales]]</f>
        <v>0.1299878587196468</v>
      </c>
      <c r="L148" s="17" t="str">
        <f t="shared" si="14"/>
        <v>Medium</v>
      </c>
      <c r="M148" s="17" t="str">
        <f t="shared" si="15"/>
        <v>Jun</v>
      </c>
      <c r="N148" s="18">
        <f>YEAR(Table13[[#This Row],[Order_Date]])</f>
        <v>2023</v>
      </c>
      <c r="O148" s="18">
        <f>Table13[[#This Row],[Price]]*0.7</f>
        <v>1585.5</v>
      </c>
      <c r="P148" s="18">
        <f t="shared" si="16"/>
        <v>5436</v>
      </c>
      <c r="Q148" s="18">
        <f t="shared" si="17"/>
        <v>0.1</v>
      </c>
      <c r="R148" s="18">
        <f t="shared" si="18"/>
        <v>15764.62</v>
      </c>
      <c r="S148" s="18" t="str">
        <f>IF(Table13[[#This Row],[Quantity]]&lt;=3,"Small",IF(Table13[[#This Row],[Quantity]]&lt;=6,"Medium","Bulk"))</f>
        <v>Bulk</v>
      </c>
      <c r="T148" s="18" t="str">
        <f t="shared" si="19"/>
        <v>Normal</v>
      </c>
      <c r="U148" s="18" t="str">
        <f t="shared" si="20"/>
        <v>Medium Value</v>
      </c>
    </row>
    <row r="149" spans="1:21" x14ac:dyDescent="0.3">
      <c r="A149" t="s">
        <v>157</v>
      </c>
      <c r="B149" s="1">
        <v>45245</v>
      </c>
      <c r="C149" t="s">
        <v>1213</v>
      </c>
      <c r="D149" t="s">
        <v>1218</v>
      </c>
      <c r="E149" t="s">
        <v>1220</v>
      </c>
      <c r="F149" t="s">
        <v>1224</v>
      </c>
      <c r="G149" s="6">
        <v>1</v>
      </c>
      <c r="H149">
        <v>2361</v>
      </c>
      <c r="I149">
        <v>2361</v>
      </c>
      <c r="J149" s="2">
        <v>388.37</v>
      </c>
      <c r="K149" s="16">
        <f>Table13[[#This Row],[Profit]]/Table13[[#This Row],[Sales]]</f>
        <v>0.16449385853451928</v>
      </c>
      <c r="L149" s="17" t="str">
        <f t="shared" si="14"/>
        <v>Low</v>
      </c>
      <c r="M149" s="17" t="str">
        <f t="shared" si="15"/>
        <v>Nov</v>
      </c>
      <c r="N149" s="18">
        <f>YEAR(Table13[[#This Row],[Order_Date]])</f>
        <v>2023</v>
      </c>
      <c r="O149" s="18">
        <f>Table13[[#This Row],[Price]]*0.7</f>
        <v>1652.6999999999998</v>
      </c>
      <c r="P149" s="18">
        <f t="shared" si="16"/>
        <v>708.30000000000018</v>
      </c>
      <c r="Q149" s="18">
        <f t="shared" si="17"/>
        <v>0.05</v>
      </c>
      <c r="R149" s="18">
        <f t="shared" si="18"/>
        <v>1972.63</v>
      </c>
      <c r="S149" s="18" t="str">
        <f>IF(Table13[[#This Row],[Quantity]]&lt;=3,"Small",IF(Table13[[#This Row],[Quantity]]&lt;=6,"Medium","Bulk"))</f>
        <v>Small</v>
      </c>
      <c r="T149" s="18" t="str">
        <f t="shared" si="19"/>
        <v>Normal</v>
      </c>
      <c r="U149" s="18" t="str">
        <f t="shared" si="20"/>
        <v>low Value</v>
      </c>
    </row>
    <row r="150" spans="1:21" x14ac:dyDescent="0.3">
      <c r="A150" t="s">
        <v>158</v>
      </c>
      <c r="B150" s="1">
        <v>45088</v>
      </c>
      <c r="C150" t="s">
        <v>1213</v>
      </c>
      <c r="D150" t="s">
        <v>1218</v>
      </c>
      <c r="E150" t="s">
        <v>1221</v>
      </c>
      <c r="F150" t="s">
        <v>1231</v>
      </c>
      <c r="G150" s="6">
        <v>7</v>
      </c>
      <c r="H150">
        <v>1681</v>
      </c>
      <c r="I150">
        <v>11767</v>
      </c>
      <c r="J150" s="2">
        <v>2736.57</v>
      </c>
      <c r="K150" s="16">
        <f>Table13[[#This Row],[Profit]]/Table13[[#This Row],[Sales]]</f>
        <v>0.23256310019546189</v>
      </c>
      <c r="L150" s="17" t="str">
        <f t="shared" si="14"/>
        <v>Medium</v>
      </c>
      <c r="M150" s="17" t="str">
        <f t="shared" si="15"/>
        <v>Jun</v>
      </c>
      <c r="N150" s="18">
        <f>YEAR(Table13[[#This Row],[Order_Date]])</f>
        <v>2023</v>
      </c>
      <c r="O150" s="18">
        <f>Table13[[#This Row],[Price]]*0.7</f>
        <v>1176.6999999999998</v>
      </c>
      <c r="P150" s="18">
        <f t="shared" si="16"/>
        <v>3530.1000000000022</v>
      </c>
      <c r="Q150" s="18">
        <f t="shared" si="17"/>
        <v>0.1</v>
      </c>
      <c r="R150" s="18">
        <f t="shared" si="18"/>
        <v>9030.43</v>
      </c>
      <c r="S150" s="18" t="str">
        <f>IF(Table13[[#This Row],[Quantity]]&lt;=3,"Small",IF(Table13[[#This Row],[Quantity]]&lt;=6,"Medium","Bulk"))</f>
        <v>Bulk</v>
      </c>
      <c r="T150" s="18" t="str">
        <f t="shared" si="19"/>
        <v>Normal</v>
      </c>
      <c r="U150" s="18" t="str">
        <f t="shared" si="20"/>
        <v>Medium Value</v>
      </c>
    </row>
    <row r="151" spans="1:21" x14ac:dyDescent="0.3">
      <c r="A151" t="s">
        <v>159</v>
      </c>
      <c r="B151" s="1">
        <v>45247</v>
      </c>
      <c r="C151" t="s">
        <v>1212</v>
      </c>
      <c r="D151" t="s">
        <v>1214</v>
      </c>
      <c r="E151" t="s">
        <v>1219</v>
      </c>
      <c r="F151" t="s">
        <v>1238</v>
      </c>
      <c r="G151" s="6">
        <v>2</v>
      </c>
      <c r="H151">
        <v>3662</v>
      </c>
      <c r="I151">
        <v>7324</v>
      </c>
      <c r="J151" s="2">
        <v>1406.33</v>
      </c>
      <c r="K151" s="16">
        <f>Table13[[#This Row],[Profit]]/Table13[[#This Row],[Sales]]</f>
        <v>0.19201665756417258</v>
      </c>
      <c r="L151" s="17" t="str">
        <f t="shared" si="14"/>
        <v>Low</v>
      </c>
      <c r="M151" s="17" t="str">
        <f t="shared" si="15"/>
        <v>Nov</v>
      </c>
      <c r="N151" s="18">
        <f>YEAR(Table13[[#This Row],[Order_Date]])</f>
        <v>2023</v>
      </c>
      <c r="O151" s="18">
        <f>Table13[[#This Row],[Price]]*0.7</f>
        <v>2563.3999999999996</v>
      </c>
      <c r="P151" s="18">
        <f t="shared" si="16"/>
        <v>2197.2000000000007</v>
      </c>
      <c r="Q151" s="18">
        <f t="shared" si="17"/>
        <v>0.05</v>
      </c>
      <c r="R151" s="18">
        <f t="shared" si="18"/>
        <v>5917.67</v>
      </c>
      <c r="S151" s="18" t="str">
        <f>IF(Table13[[#This Row],[Quantity]]&lt;=3,"Small",IF(Table13[[#This Row],[Quantity]]&lt;=6,"Medium","Bulk"))</f>
        <v>Small</v>
      </c>
      <c r="T151" s="18" t="str">
        <f t="shared" si="19"/>
        <v>High Demand</v>
      </c>
      <c r="U151" s="18" t="str">
        <f t="shared" si="20"/>
        <v>low Value</v>
      </c>
    </row>
    <row r="152" spans="1:21" x14ac:dyDescent="0.3">
      <c r="A152" t="s">
        <v>160</v>
      </c>
      <c r="B152" s="1">
        <v>44977</v>
      </c>
      <c r="C152" t="s">
        <v>1212</v>
      </c>
      <c r="D152" t="s">
        <v>1216</v>
      </c>
      <c r="E152" t="s">
        <v>1221</v>
      </c>
      <c r="F152" t="s">
        <v>1235</v>
      </c>
      <c r="G152" s="6">
        <v>8</v>
      </c>
      <c r="H152">
        <v>3510</v>
      </c>
      <c r="I152">
        <v>28080</v>
      </c>
      <c r="J152" s="2">
        <v>4964.7</v>
      </c>
      <c r="K152" s="16">
        <f>Table13[[#This Row],[Profit]]/Table13[[#This Row],[Sales]]</f>
        <v>0.17680555555555555</v>
      </c>
      <c r="L152" s="17" t="str">
        <f t="shared" si="14"/>
        <v>High</v>
      </c>
      <c r="M152" s="17" t="str">
        <f t="shared" si="15"/>
        <v>Feb</v>
      </c>
      <c r="N152" s="18">
        <f>YEAR(Table13[[#This Row],[Order_Date]])</f>
        <v>2023</v>
      </c>
      <c r="O152" s="18">
        <f>Table13[[#This Row],[Price]]*0.7</f>
        <v>2457</v>
      </c>
      <c r="P152" s="18">
        <f t="shared" si="16"/>
        <v>8424</v>
      </c>
      <c r="Q152" s="18">
        <f t="shared" si="17"/>
        <v>0.1</v>
      </c>
      <c r="R152" s="18">
        <f t="shared" si="18"/>
        <v>23115.3</v>
      </c>
      <c r="S152" s="18" t="str">
        <f>IF(Table13[[#This Row],[Quantity]]&lt;=3,"Small",IF(Table13[[#This Row],[Quantity]]&lt;=6,"Medium","Bulk"))</f>
        <v>Bulk</v>
      </c>
      <c r="T152" s="18" t="str">
        <f t="shared" si="19"/>
        <v>High Demand</v>
      </c>
      <c r="U152" s="18" t="str">
        <f t="shared" si="20"/>
        <v>High Value</v>
      </c>
    </row>
    <row r="153" spans="1:21" x14ac:dyDescent="0.3">
      <c r="A153" t="s">
        <v>161</v>
      </c>
      <c r="B153" s="1">
        <v>45214</v>
      </c>
      <c r="C153" t="s">
        <v>1213</v>
      </c>
      <c r="D153" t="s">
        <v>1214</v>
      </c>
      <c r="E153" t="s">
        <v>1219</v>
      </c>
      <c r="F153" t="s">
        <v>1223</v>
      </c>
      <c r="G153" s="6">
        <v>2</v>
      </c>
      <c r="H153">
        <v>2343</v>
      </c>
      <c r="I153">
        <v>4686</v>
      </c>
      <c r="J153" s="2">
        <v>1162.52</v>
      </c>
      <c r="K153" s="16">
        <f>Table13[[#This Row],[Profit]]/Table13[[#This Row],[Sales]]</f>
        <v>0.2480836534357661</v>
      </c>
      <c r="L153" s="17" t="str">
        <f t="shared" si="14"/>
        <v>Low</v>
      </c>
      <c r="M153" s="17" t="str">
        <f t="shared" si="15"/>
        <v>Oct</v>
      </c>
      <c r="N153" s="18">
        <f>YEAR(Table13[[#This Row],[Order_Date]])</f>
        <v>2023</v>
      </c>
      <c r="O153" s="18">
        <f>Table13[[#This Row],[Price]]*0.7</f>
        <v>1640.1</v>
      </c>
      <c r="P153" s="18">
        <f t="shared" si="16"/>
        <v>1405.8000000000002</v>
      </c>
      <c r="Q153" s="18">
        <f t="shared" si="17"/>
        <v>0.05</v>
      </c>
      <c r="R153" s="18">
        <f t="shared" si="18"/>
        <v>3523.48</v>
      </c>
      <c r="S153" s="18" t="str">
        <f>IF(Table13[[#This Row],[Quantity]]&lt;=3,"Small",IF(Table13[[#This Row],[Quantity]]&lt;=6,"Medium","Bulk"))</f>
        <v>Small</v>
      </c>
      <c r="T153" s="18" t="str">
        <f t="shared" si="19"/>
        <v>Normal</v>
      </c>
      <c r="U153" s="18" t="str">
        <f t="shared" si="20"/>
        <v>low Value</v>
      </c>
    </row>
    <row r="154" spans="1:21" x14ac:dyDescent="0.3">
      <c r="A154" t="s">
        <v>162</v>
      </c>
      <c r="B154" s="1">
        <v>45149</v>
      </c>
      <c r="C154" t="s">
        <v>1210</v>
      </c>
      <c r="D154" t="s">
        <v>1217</v>
      </c>
      <c r="E154" t="s">
        <v>1221</v>
      </c>
      <c r="F154" t="s">
        <v>1226</v>
      </c>
      <c r="G154" s="6">
        <v>4</v>
      </c>
      <c r="H154">
        <v>364</v>
      </c>
      <c r="I154">
        <v>1456</v>
      </c>
      <c r="J154" s="2">
        <v>151.4</v>
      </c>
      <c r="K154" s="16">
        <f>Table13[[#This Row],[Profit]]/Table13[[#This Row],[Sales]]</f>
        <v>0.10398351648351649</v>
      </c>
      <c r="L154" s="17" t="str">
        <f t="shared" si="14"/>
        <v>Low</v>
      </c>
      <c r="M154" s="17" t="str">
        <f t="shared" si="15"/>
        <v>Aug</v>
      </c>
      <c r="N154" s="18">
        <f>YEAR(Table13[[#This Row],[Order_Date]])</f>
        <v>2023</v>
      </c>
      <c r="O154" s="18">
        <f>Table13[[#This Row],[Price]]*0.7</f>
        <v>254.79999999999998</v>
      </c>
      <c r="P154" s="18">
        <f t="shared" si="16"/>
        <v>436.80000000000007</v>
      </c>
      <c r="Q154" s="18">
        <f t="shared" si="17"/>
        <v>0.05</v>
      </c>
      <c r="R154" s="18">
        <f t="shared" si="18"/>
        <v>1304.6000000000001</v>
      </c>
      <c r="S154" s="18" t="str">
        <f>IF(Table13[[#This Row],[Quantity]]&lt;=3,"Small",IF(Table13[[#This Row],[Quantity]]&lt;=6,"Medium","Bulk"))</f>
        <v>Medium</v>
      </c>
      <c r="T154" s="18" t="str">
        <f t="shared" si="19"/>
        <v>Normal</v>
      </c>
      <c r="U154" s="18" t="str">
        <f t="shared" si="20"/>
        <v>low Value</v>
      </c>
    </row>
    <row r="155" spans="1:21" x14ac:dyDescent="0.3">
      <c r="A155" t="s">
        <v>163</v>
      </c>
      <c r="B155" s="1">
        <v>45038</v>
      </c>
      <c r="C155" t="s">
        <v>1212</v>
      </c>
      <c r="D155" t="s">
        <v>1214</v>
      </c>
      <c r="E155" t="s">
        <v>1219</v>
      </c>
      <c r="F155" t="s">
        <v>1233</v>
      </c>
      <c r="G155" s="6">
        <v>7</v>
      </c>
      <c r="H155">
        <v>2398</v>
      </c>
      <c r="I155">
        <v>16786</v>
      </c>
      <c r="J155" s="2">
        <v>3763.12</v>
      </c>
      <c r="K155" s="16">
        <f>Table13[[#This Row],[Profit]]/Table13[[#This Row],[Sales]]</f>
        <v>0.22418205647563444</v>
      </c>
      <c r="L155" s="17" t="str">
        <f t="shared" si="14"/>
        <v>Medium</v>
      </c>
      <c r="M155" s="17" t="str">
        <f t="shared" si="15"/>
        <v>Apr</v>
      </c>
      <c r="N155" s="18">
        <f>YEAR(Table13[[#This Row],[Order_Date]])</f>
        <v>2023</v>
      </c>
      <c r="O155" s="18">
        <f>Table13[[#This Row],[Price]]*0.7</f>
        <v>1678.6</v>
      </c>
      <c r="P155" s="18">
        <f t="shared" si="16"/>
        <v>5035.8000000000011</v>
      </c>
      <c r="Q155" s="18">
        <f t="shared" si="17"/>
        <v>0.1</v>
      </c>
      <c r="R155" s="18">
        <f t="shared" si="18"/>
        <v>13022.88</v>
      </c>
      <c r="S155" s="18" t="str">
        <f>IF(Table13[[#This Row],[Quantity]]&lt;=3,"Small",IF(Table13[[#This Row],[Quantity]]&lt;=6,"Medium","Bulk"))</f>
        <v>Bulk</v>
      </c>
      <c r="T155" s="18" t="str">
        <f t="shared" si="19"/>
        <v>High Demand</v>
      </c>
      <c r="U155" s="18" t="str">
        <f t="shared" si="20"/>
        <v>Medium Value</v>
      </c>
    </row>
    <row r="156" spans="1:21" x14ac:dyDescent="0.3">
      <c r="A156" t="s">
        <v>164</v>
      </c>
      <c r="B156" s="1">
        <v>45123</v>
      </c>
      <c r="C156" t="s">
        <v>1213</v>
      </c>
      <c r="D156" t="s">
        <v>1214</v>
      </c>
      <c r="E156" t="s">
        <v>1221</v>
      </c>
      <c r="F156" t="s">
        <v>1231</v>
      </c>
      <c r="G156" s="6">
        <v>2</v>
      </c>
      <c r="H156">
        <v>713</v>
      </c>
      <c r="I156">
        <v>1426</v>
      </c>
      <c r="J156" s="2">
        <v>334.83</v>
      </c>
      <c r="K156" s="16">
        <f>Table13[[#This Row],[Profit]]/Table13[[#This Row],[Sales]]</f>
        <v>0.23480364656381486</v>
      </c>
      <c r="L156" s="17" t="str">
        <f t="shared" si="14"/>
        <v>Low</v>
      </c>
      <c r="M156" s="17" t="str">
        <f t="shared" si="15"/>
        <v>Jul</v>
      </c>
      <c r="N156" s="18">
        <f>YEAR(Table13[[#This Row],[Order_Date]])</f>
        <v>2023</v>
      </c>
      <c r="O156" s="18">
        <f>Table13[[#This Row],[Price]]*0.7</f>
        <v>499.09999999999997</v>
      </c>
      <c r="P156" s="18">
        <f t="shared" si="16"/>
        <v>427.80000000000007</v>
      </c>
      <c r="Q156" s="18">
        <f t="shared" si="17"/>
        <v>0.05</v>
      </c>
      <c r="R156" s="18">
        <f t="shared" si="18"/>
        <v>1091.17</v>
      </c>
      <c r="S156" s="18" t="str">
        <f>IF(Table13[[#This Row],[Quantity]]&lt;=3,"Small",IF(Table13[[#This Row],[Quantity]]&lt;=6,"Medium","Bulk"))</f>
        <v>Small</v>
      </c>
      <c r="T156" s="18" t="str">
        <f t="shared" si="19"/>
        <v>Normal</v>
      </c>
      <c r="U156" s="18" t="str">
        <f t="shared" si="20"/>
        <v>low Value</v>
      </c>
    </row>
    <row r="157" spans="1:21" x14ac:dyDescent="0.3">
      <c r="A157" t="s">
        <v>165</v>
      </c>
      <c r="B157" s="1">
        <v>44946</v>
      </c>
      <c r="C157" t="s">
        <v>1212</v>
      </c>
      <c r="D157" t="s">
        <v>1215</v>
      </c>
      <c r="E157" t="s">
        <v>1220</v>
      </c>
      <c r="F157" t="s">
        <v>1239</v>
      </c>
      <c r="G157" s="6">
        <v>2</v>
      </c>
      <c r="H157">
        <v>4766</v>
      </c>
      <c r="I157">
        <v>9532</v>
      </c>
      <c r="J157" s="2">
        <v>818.02</v>
      </c>
      <c r="K157" s="16">
        <f>Table13[[#This Row],[Profit]]/Table13[[#This Row],[Sales]]</f>
        <v>8.581829626521191E-2</v>
      </c>
      <c r="L157" s="17" t="str">
        <f t="shared" si="14"/>
        <v>Low</v>
      </c>
      <c r="M157" s="17" t="str">
        <f t="shared" si="15"/>
        <v>Jan</v>
      </c>
      <c r="N157" s="18">
        <f>YEAR(Table13[[#This Row],[Order_Date]])</f>
        <v>2023</v>
      </c>
      <c r="O157" s="18">
        <f>Table13[[#This Row],[Price]]*0.7</f>
        <v>3336.2</v>
      </c>
      <c r="P157" s="18">
        <f t="shared" si="16"/>
        <v>2859.6000000000004</v>
      </c>
      <c r="Q157" s="18">
        <f t="shared" si="17"/>
        <v>0.05</v>
      </c>
      <c r="R157" s="18">
        <f t="shared" si="18"/>
        <v>8713.98</v>
      </c>
      <c r="S157" s="18" t="str">
        <f>IF(Table13[[#This Row],[Quantity]]&lt;=3,"Small",IF(Table13[[#This Row],[Quantity]]&lt;=6,"Medium","Bulk"))</f>
        <v>Small</v>
      </c>
      <c r="T157" s="18" t="str">
        <f t="shared" si="19"/>
        <v>High Demand</v>
      </c>
      <c r="U157" s="18" t="str">
        <f t="shared" si="20"/>
        <v>low Value</v>
      </c>
    </row>
    <row r="158" spans="1:21" x14ac:dyDescent="0.3">
      <c r="A158" t="s">
        <v>166</v>
      </c>
      <c r="B158" s="1">
        <v>45206</v>
      </c>
      <c r="C158" t="s">
        <v>1212</v>
      </c>
      <c r="D158" t="s">
        <v>1217</v>
      </c>
      <c r="E158" t="s">
        <v>1220</v>
      </c>
      <c r="F158" t="s">
        <v>1224</v>
      </c>
      <c r="G158" s="6">
        <v>9</v>
      </c>
      <c r="H158">
        <v>3777</v>
      </c>
      <c r="I158">
        <v>33993</v>
      </c>
      <c r="J158" s="2">
        <v>7132.17</v>
      </c>
      <c r="K158" s="16">
        <f>Table13[[#This Row],[Profit]]/Table13[[#This Row],[Sales]]</f>
        <v>0.20981290265642927</v>
      </c>
      <c r="L158" s="17" t="str">
        <f t="shared" si="14"/>
        <v>High</v>
      </c>
      <c r="M158" s="17" t="str">
        <f t="shared" si="15"/>
        <v>Oct</v>
      </c>
      <c r="N158" s="18">
        <f>YEAR(Table13[[#This Row],[Order_Date]])</f>
        <v>2023</v>
      </c>
      <c r="O158" s="18">
        <f>Table13[[#This Row],[Price]]*0.7</f>
        <v>2643.8999999999996</v>
      </c>
      <c r="P158" s="18">
        <f t="shared" si="16"/>
        <v>10197.900000000001</v>
      </c>
      <c r="Q158" s="18">
        <f t="shared" si="17"/>
        <v>0.1</v>
      </c>
      <c r="R158" s="18">
        <f t="shared" si="18"/>
        <v>26860.829999999998</v>
      </c>
      <c r="S158" s="18" t="str">
        <f>IF(Table13[[#This Row],[Quantity]]&lt;=3,"Small",IF(Table13[[#This Row],[Quantity]]&lt;=6,"Medium","Bulk"))</f>
        <v>Bulk</v>
      </c>
      <c r="T158" s="18" t="str">
        <f t="shared" si="19"/>
        <v>High Demand</v>
      </c>
      <c r="U158" s="18" t="str">
        <f t="shared" si="20"/>
        <v>High Value</v>
      </c>
    </row>
    <row r="159" spans="1:21" x14ac:dyDescent="0.3">
      <c r="A159" t="s">
        <v>167</v>
      </c>
      <c r="B159" s="1">
        <v>45041</v>
      </c>
      <c r="C159" t="s">
        <v>1212</v>
      </c>
      <c r="D159" t="s">
        <v>1218</v>
      </c>
      <c r="E159" t="s">
        <v>1220</v>
      </c>
      <c r="F159" t="s">
        <v>1224</v>
      </c>
      <c r="G159" s="6">
        <v>7</v>
      </c>
      <c r="H159">
        <v>4423</v>
      </c>
      <c r="I159">
        <v>30961</v>
      </c>
      <c r="J159" s="2">
        <v>3435.38</v>
      </c>
      <c r="K159" s="16">
        <f>Table13[[#This Row],[Profit]]/Table13[[#This Row],[Sales]]</f>
        <v>0.11095830238041407</v>
      </c>
      <c r="L159" s="17" t="str">
        <f t="shared" si="14"/>
        <v>High</v>
      </c>
      <c r="M159" s="17" t="str">
        <f t="shared" si="15"/>
        <v>Apr</v>
      </c>
      <c r="N159" s="18">
        <f>YEAR(Table13[[#This Row],[Order_Date]])</f>
        <v>2023</v>
      </c>
      <c r="O159" s="18">
        <f>Table13[[#This Row],[Price]]*0.7</f>
        <v>3096.1</v>
      </c>
      <c r="P159" s="18">
        <f t="shared" si="16"/>
        <v>9288.2999999999993</v>
      </c>
      <c r="Q159" s="18">
        <f t="shared" si="17"/>
        <v>0.1</v>
      </c>
      <c r="R159" s="18">
        <f t="shared" si="18"/>
        <v>27525.620000000003</v>
      </c>
      <c r="S159" s="18" t="str">
        <f>IF(Table13[[#This Row],[Quantity]]&lt;=3,"Small",IF(Table13[[#This Row],[Quantity]]&lt;=6,"Medium","Bulk"))</f>
        <v>Bulk</v>
      </c>
      <c r="T159" s="18" t="str">
        <f t="shared" si="19"/>
        <v>High Demand</v>
      </c>
      <c r="U159" s="18" t="str">
        <f t="shared" si="20"/>
        <v>High Value</v>
      </c>
    </row>
    <row r="160" spans="1:21" x14ac:dyDescent="0.3">
      <c r="A160" t="s">
        <v>168</v>
      </c>
      <c r="B160" s="1">
        <v>45204</v>
      </c>
      <c r="C160" t="s">
        <v>1210</v>
      </c>
      <c r="D160" t="s">
        <v>1216</v>
      </c>
      <c r="E160" t="s">
        <v>1221</v>
      </c>
      <c r="F160" t="s">
        <v>1229</v>
      </c>
      <c r="G160" s="6">
        <v>9</v>
      </c>
      <c r="H160">
        <v>3630</v>
      </c>
      <c r="I160">
        <v>32670</v>
      </c>
      <c r="J160" s="2">
        <v>3824.48</v>
      </c>
      <c r="K160" s="16">
        <f>Table13[[#This Row],[Profit]]/Table13[[#This Row],[Sales]]</f>
        <v>0.11706397306397306</v>
      </c>
      <c r="L160" s="17" t="str">
        <f t="shared" si="14"/>
        <v>High</v>
      </c>
      <c r="M160" s="17" t="str">
        <f t="shared" si="15"/>
        <v>Oct</v>
      </c>
      <c r="N160" s="18">
        <f>YEAR(Table13[[#This Row],[Order_Date]])</f>
        <v>2023</v>
      </c>
      <c r="O160" s="18">
        <f>Table13[[#This Row],[Price]]*0.7</f>
        <v>2541</v>
      </c>
      <c r="P160" s="18">
        <f t="shared" si="16"/>
        <v>9801</v>
      </c>
      <c r="Q160" s="18">
        <f t="shared" si="17"/>
        <v>0.1</v>
      </c>
      <c r="R160" s="18">
        <f t="shared" si="18"/>
        <v>28845.52</v>
      </c>
      <c r="S160" s="18" t="str">
        <f>IF(Table13[[#This Row],[Quantity]]&lt;=3,"Small",IF(Table13[[#This Row],[Quantity]]&lt;=6,"Medium","Bulk"))</f>
        <v>Bulk</v>
      </c>
      <c r="T160" s="18" t="str">
        <f t="shared" si="19"/>
        <v>Normal</v>
      </c>
      <c r="U160" s="18" t="str">
        <f t="shared" si="20"/>
        <v>High Value</v>
      </c>
    </row>
    <row r="161" spans="1:21" x14ac:dyDescent="0.3">
      <c r="A161" t="s">
        <v>169</v>
      </c>
      <c r="B161" s="1">
        <v>45252</v>
      </c>
      <c r="C161" t="s">
        <v>1211</v>
      </c>
      <c r="D161" t="s">
        <v>1215</v>
      </c>
      <c r="E161" t="s">
        <v>1220</v>
      </c>
      <c r="F161" t="s">
        <v>1225</v>
      </c>
      <c r="G161" s="6">
        <v>2</v>
      </c>
      <c r="H161">
        <v>3998</v>
      </c>
      <c r="I161">
        <v>7996</v>
      </c>
      <c r="J161" s="2">
        <v>1568.35</v>
      </c>
      <c r="K161" s="16">
        <f>Table13[[#This Row],[Profit]]/Table13[[#This Row],[Sales]]</f>
        <v>0.19614182091045521</v>
      </c>
      <c r="L161" s="17" t="str">
        <f t="shared" si="14"/>
        <v>Low</v>
      </c>
      <c r="M161" s="17" t="str">
        <f t="shared" si="15"/>
        <v>Nov</v>
      </c>
      <c r="N161" s="18">
        <f>YEAR(Table13[[#This Row],[Order_Date]])</f>
        <v>2023</v>
      </c>
      <c r="O161" s="18">
        <f>Table13[[#This Row],[Price]]*0.7</f>
        <v>2798.6</v>
      </c>
      <c r="P161" s="18">
        <f t="shared" si="16"/>
        <v>2398.8000000000002</v>
      </c>
      <c r="Q161" s="18">
        <f t="shared" si="17"/>
        <v>0.05</v>
      </c>
      <c r="R161" s="18">
        <f t="shared" si="18"/>
        <v>6427.6500000000005</v>
      </c>
      <c r="S161" s="18" t="str">
        <f>IF(Table13[[#This Row],[Quantity]]&lt;=3,"Small",IF(Table13[[#This Row],[Quantity]]&lt;=6,"Medium","Bulk"))</f>
        <v>Small</v>
      </c>
      <c r="T161" s="18" t="str">
        <f t="shared" si="19"/>
        <v>Normal</v>
      </c>
      <c r="U161" s="18" t="str">
        <f t="shared" si="20"/>
        <v>low Value</v>
      </c>
    </row>
    <row r="162" spans="1:21" x14ac:dyDescent="0.3">
      <c r="A162" t="s">
        <v>170</v>
      </c>
      <c r="B162" s="1">
        <v>45079</v>
      </c>
      <c r="C162" t="s">
        <v>1211</v>
      </c>
      <c r="D162" t="s">
        <v>1217</v>
      </c>
      <c r="E162" t="s">
        <v>1220</v>
      </c>
      <c r="F162" t="s">
        <v>1224</v>
      </c>
      <c r="G162" s="6">
        <v>9</v>
      </c>
      <c r="H162">
        <v>2281</v>
      </c>
      <c r="I162">
        <v>20529</v>
      </c>
      <c r="J162" s="2">
        <v>3576.36</v>
      </c>
      <c r="K162" s="16">
        <f>Table13[[#This Row],[Profit]]/Table13[[#This Row],[Sales]]</f>
        <v>0.17421014175069416</v>
      </c>
      <c r="L162" s="17" t="str">
        <f t="shared" si="14"/>
        <v>High</v>
      </c>
      <c r="M162" s="17" t="str">
        <f t="shared" si="15"/>
        <v>Jun</v>
      </c>
      <c r="N162" s="18">
        <f>YEAR(Table13[[#This Row],[Order_Date]])</f>
        <v>2023</v>
      </c>
      <c r="O162" s="18">
        <f>Table13[[#This Row],[Price]]*0.7</f>
        <v>1596.6999999999998</v>
      </c>
      <c r="P162" s="18">
        <f t="shared" si="16"/>
        <v>6158.7000000000007</v>
      </c>
      <c r="Q162" s="18">
        <f t="shared" si="17"/>
        <v>0.1</v>
      </c>
      <c r="R162" s="18">
        <f t="shared" si="18"/>
        <v>16952.64</v>
      </c>
      <c r="S162" s="18" t="str">
        <f>IF(Table13[[#This Row],[Quantity]]&lt;=3,"Small",IF(Table13[[#This Row],[Quantity]]&lt;=6,"Medium","Bulk"))</f>
        <v>Bulk</v>
      </c>
      <c r="T162" s="18" t="str">
        <f t="shared" si="19"/>
        <v>Normal</v>
      </c>
      <c r="U162" s="18" t="str">
        <f t="shared" si="20"/>
        <v>High Value</v>
      </c>
    </row>
    <row r="163" spans="1:21" x14ac:dyDescent="0.3">
      <c r="A163" t="s">
        <v>171</v>
      </c>
      <c r="B163" s="1">
        <v>45239</v>
      </c>
      <c r="C163" t="s">
        <v>1210</v>
      </c>
      <c r="D163" t="s">
        <v>1214</v>
      </c>
      <c r="E163" t="s">
        <v>1221</v>
      </c>
      <c r="F163" t="s">
        <v>1235</v>
      </c>
      <c r="G163" s="6">
        <v>5</v>
      </c>
      <c r="H163">
        <v>541</v>
      </c>
      <c r="I163">
        <v>2705</v>
      </c>
      <c r="J163" s="2">
        <v>279.35000000000002</v>
      </c>
      <c r="K163" s="16">
        <f>Table13[[#This Row],[Profit]]/Table13[[#This Row],[Sales]]</f>
        <v>0.10327171903881702</v>
      </c>
      <c r="L163" s="17" t="str">
        <f t="shared" si="14"/>
        <v>Low</v>
      </c>
      <c r="M163" s="17" t="str">
        <f t="shared" si="15"/>
        <v>Nov</v>
      </c>
      <c r="N163" s="18">
        <f>YEAR(Table13[[#This Row],[Order_Date]])</f>
        <v>2023</v>
      </c>
      <c r="O163" s="18">
        <f>Table13[[#This Row],[Price]]*0.7</f>
        <v>378.7</v>
      </c>
      <c r="P163" s="18">
        <f t="shared" si="16"/>
        <v>811.5</v>
      </c>
      <c r="Q163" s="18">
        <f t="shared" si="17"/>
        <v>0.05</v>
      </c>
      <c r="R163" s="18">
        <f t="shared" si="18"/>
        <v>2425.65</v>
      </c>
      <c r="S163" s="18" t="str">
        <f>IF(Table13[[#This Row],[Quantity]]&lt;=3,"Small",IF(Table13[[#This Row],[Quantity]]&lt;=6,"Medium","Bulk"))</f>
        <v>Medium</v>
      </c>
      <c r="T163" s="18" t="str">
        <f t="shared" si="19"/>
        <v>Normal</v>
      </c>
      <c r="U163" s="18" t="str">
        <f t="shared" si="20"/>
        <v>low Value</v>
      </c>
    </row>
    <row r="164" spans="1:21" x14ac:dyDescent="0.3">
      <c r="A164" t="s">
        <v>172</v>
      </c>
      <c r="B164" s="1">
        <v>45116</v>
      </c>
      <c r="C164" t="s">
        <v>1211</v>
      </c>
      <c r="D164" t="s">
        <v>1217</v>
      </c>
      <c r="E164" t="s">
        <v>1221</v>
      </c>
      <c r="F164" t="s">
        <v>1229</v>
      </c>
      <c r="G164" s="6">
        <v>9</v>
      </c>
      <c r="H164">
        <v>654</v>
      </c>
      <c r="I164">
        <v>5886</v>
      </c>
      <c r="J164" s="2">
        <v>1044.53</v>
      </c>
      <c r="K164" s="16">
        <f>Table13[[#This Row],[Profit]]/Table13[[#This Row],[Sales]]</f>
        <v>0.17746007475365272</v>
      </c>
      <c r="L164" s="17" t="str">
        <f t="shared" si="14"/>
        <v>Low</v>
      </c>
      <c r="M164" s="17" t="str">
        <f t="shared" si="15"/>
        <v>Jul</v>
      </c>
      <c r="N164" s="18">
        <f>YEAR(Table13[[#This Row],[Order_Date]])</f>
        <v>2023</v>
      </c>
      <c r="O164" s="18">
        <f>Table13[[#This Row],[Price]]*0.7</f>
        <v>457.79999999999995</v>
      </c>
      <c r="P164" s="18">
        <f t="shared" si="16"/>
        <v>1765.8000000000002</v>
      </c>
      <c r="Q164" s="18">
        <f t="shared" si="17"/>
        <v>0.1</v>
      </c>
      <c r="R164" s="18">
        <f t="shared" si="18"/>
        <v>4841.4699999999993</v>
      </c>
      <c r="S164" s="18" t="str">
        <f>IF(Table13[[#This Row],[Quantity]]&lt;=3,"Small",IF(Table13[[#This Row],[Quantity]]&lt;=6,"Medium","Bulk"))</f>
        <v>Bulk</v>
      </c>
      <c r="T164" s="18" t="str">
        <f t="shared" si="19"/>
        <v>Normal</v>
      </c>
      <c r="U164" s="18" t="str">
        <f t="shared" si="20"/>
        <v>low Value</v>
      </c>
    </row>
    <row r="165" spans="1:21" x14ac:dyDescent="0.3">
      <c r="A165" t="s">
        <v>173</v>
      </c>
      <c r="B165" s="1">
        <v>45208</v>
      </c>
      <c r="C165" t="s">
        <v>1212</v>
      </c>
      <c r="D165" t="s">
        <v>1215</v>
      </c>
      <c r="E165" t="s">
        <v>1221</v>
      </c>
      <c r="F165" t="s">
        <v>1229</v>
      </c>
      <c r="G165" s="6">
        <v>1</v>
      </c>
      <c r="H165">
        <v>3066</v>
      </c>
      <c r="I165">
        <v>3066</v>
      </c>
      <c r="J165" s="2">
        <v>292.37</v>
      </c>
      <c r="K165" s="16">
        <f>Table13[[#This Row],[Profit]]/Table13[[#This Row],[Sales]]</f>
        <v>9.5358773646444878E-2</v>
      </c>
      <c r="L165" s="17" t="str">
        <f t="shared" si="14"/>
        <v>Low</v>
      </c>
      <c r="M165" s="17" t="str">
        <f t="shared" si="15"/>
        <v>Oct</v>
      </c>
      <c r="N165" s="18">
        <f>YEAR(Table13[[#This Row],[Order_Date]])</f>
        <v>2023</v>
      </c>
      <c r="O165" s="18">
        <f>Table13[[#This Row],[Price]]*0.7</f>
        <v>2146.1999999999998</v>
      </c>
      <c r="P165" s="18">
        <f t="shared" si="16"/>
        <v>919.80000000000018</v>
      </c>
      <c r="Q165" s="18">
        <f t="shared" si="17"/>
        <v>0.05</v>
      </c>
      <c r="R165" s="18">
        <f t="shared" si="18"/>
        <v>2773.63</v>
      </c>
      <c r="S165" s="18" t="str">
        <f>IF(Table13[[#This Row],[Quantity]]&lt;=3,"Small",IF(Table13[[#This Row],[Quantity]]&lt;=6,"Medium","Bulk"))</f>
        <v>Small</v>
      </c>
      <c r="T165" s="18" t="str">
        <f t="shared" si="19"/>
        <v>High Demand</v>
      </c>
      <c r="U165" s="18" t="str">
        <f t="shared" si="20"/>
        <v>low Value</v>
      </c>
    </row>
    <row r="166" spans="1:21" x14ac:dyDescent="0.3">
      <c r="A166" t="s">
        <v>174</v>
      </c>
      <c r="B166" s="1">
        <v>45158</v>
      </c>
      <c r="C166" t="s">
        <v>1210</v>
      </c>
      <c r="D166" t="s">
        <v>1217</v>
      </c>
      <c r="E166" t="s">
        <v>1219</v>
      </c>
      <c r="F166" t="s">
        <v>1223</v>
      </c>
      <c r="G166" s="6">
        <v>4</v>
      </c>
      <c r="H166">
        <v>1336</v>
      </c>
      <c r="I166">
        <v>5344</v>
      </c>
      <c r="J166" s="2">
        <v>1083.02</v>
      </c>
      <c r="K166" s="16">
        <f>Table13[[#This Row],[Profit]]/Table13[[#This Row],[Sales]]</f>
        <v>0.20266092814371256</v>
      </c>
      <c r="L166" s="17" t="str">
        <f t="shared" si="14"/>
        <v>Low</v>
      </c>
      <c r="M166" s="17" t="str">
        <f t="shared" si="15"/>
        <v>Aug</v>
      </c>
      <c r="N166" s="18">
        <f>YEAR(Table13[[#This Row],[Order_Date]])</f>
        <v>2023</v>
      </c>
      <c r="O166" s="18">
        <f>Table13[[#This Row],[Price]]*0.7</f>
        <v>935.19999999999993</v>
      </c>
      <c r="P166" s="18">
        <f t="shared" si="16"/>
        <v>1603.2000000000003</v>
      </c>
      <c r="Q166" s="18">
        <f t="shared" si="17"/>
        <v>0.05</v>
      </c>
      <c r="R166" s="18">
        <f t="shared" si="18"/>
        <v>4260.9799999999996</v>
      </c>
      <c r="S166" s="18" t="str">
        <f>IF(Table13[[#This Row],[Quantity]]&lt;=3,"Small",IF(Table13[[#This Row],[Quantity]]&lt;=6,"Medium","Bulk"))</f>
        <v>Medium</v>
      </c>
      <c r="T166" s="18" t="str">
        <f t="shared" si="19"/>
        <v>Normal</v>
      </c>
      <c r="U166" s="18" t="str">
        <f t="shared" si="20"/>
        <v>low Value</v>
      </c>
    </row>
    <row r="167" spans="1:21" x14ac:dyDescent="0.3">
      <c r="A167" t="s">
        <v>175</v>
      </c>
      <c r="B167" s="1">
        <v>45215</v>
      </c>
      <c r="C167" t="s">
        <v>1211</v>
      </c>
      <c r="D167" t="s">
        <v>1216</v>
      </c>
      <c r="E167" t="s">
        <v>1219</v>
      </c>
      <c r="F167" t="s">
        <v>1238</v>
      </c>
      <c r="G167" s="6">
        <v>8</v>
      </c>
      <c r="H167">
        <v>4701</v>
      </c>
      <c r="I167">
        <v>37608</v>
      </c>
      <c r="J167" s="2">
        <v>7692.24</v>
      </c>
      <c r="K167" s="16">
        <f>Table13[[#This Row],[Profit]]/Table13[[#This Row],[Sales]]</f>
        <v>0.20453733248245054</v>
      </c>
      <c r="L167" s="17" t="str">
        <f t="shared" si="14"/>
        <v>High</v>
      </c>
      <c r="M167" s="17" t="str">
        <f t="shared" si="15"/>
        <v>Oct</v>
      </c>
      <c r="N167" s="18">
        <f>YEAR(Table13[[#This Row],[Order_Date]])</f>
        <v>2023</v>
      </c>
      <c r="O167" s="18">
        <f>Table13[[#This Row],[Price]]*0.7</f>
        <v>3290.7</v>
      </c>
      <c r="P167" s="18">
        <f t="shared" si="16"/>
        <v>11282.400000000001</v>
      </c>
      <c r="Q167" s="18">
        <f t="shared" si="17"/>
        <v>0.1</v>
      </c>
      <c r="R167" s="18">
        <f t="shared" si="18"/>
        <v>29915.759999999998</v>
      </c>
      <c r="S167" s="18" t="str">
        <f>IF(Table13[[#This Row],[Quantity]]&lt;=3,"Small",IF(Table13[[#This Row],[Quantity]]&lt;=6,"Medium","Bulk"))</f>
        <v>Bulk</v>
      </c>
      <c r="T167" s="18" t="str">
        <f t="shared" si="19"/>
        <v>Normal</v>
      </c>
      <c r="U167" s="18" t="str">
        <f t="shared" si="20"/>
        <v>High Value</v>
      </c>
    </row>
    <row r="168" spans="1:21" x14ac:dyDescent="0.3">
      <c r="A168" t="s">
        <v>176</v>
      </c>
      <c r="B168" s="1">
        <v>45263</v>
      </c>
      <c r="C168" t="s">
        <v>1211</v>
      </c>
      <c r="D168" t="s">
        <v>1214</v>
      </c>
      <c r="E168" t="s">
        <v>1219</v>
      </c>
      <c r="F168" t="s">
        <v>1223</v>
      </c>
      <c r="G168" s="6">
        <v>3</v>
      </c>
      <c r="H168">
        <v>1962</v>
      </c>
      <c r="I168">
        <v>5886</v>
      </c>
      <c r="J168" s="2">
        <v>1312.93</v>
      </c>
      <c r="K168" s="16">
        <f>Table13[[#This Row],[Profit]]/Table13[[#This Row],[Sales]]</f>
        <v>0.22305980292218824</v>
      </c>
      <c r="L168" s="17" t="str">
        <f t="shared" si="14"/>
        <v>Low</v>
      </c>
      <c r="M168" s="17" t="str">
        <f t="shared" si="15"/>
        <v>Dec</v>
      </c>
      <c r="N168" s="18">
        <f>YEAR(Table13[[#This Row],[Order_Date]])</f>
        <v>2023</v>
      </c>
      <c r="O168" s="18">
        <f>Table13[[#This Row],[Price]]*0.7</f>
        <v>1373.3999999999999</v>
      </c>
      <c r="P168" s="18">
        <f t="shared" si="16"/>
        <v>1765.8000000000002</v>
      </c>
      <c r="Q168" s="18">
        <f t="shared" si="17"/>
        <v>0.05</v>
      </c>
      <c r="R168" s="18">
        <f t="shared" si="18"/>
        <v>4573.0700000000006</v>
      </c>
      <c r="S168" s="18" t="str">
        <f>IF(Table13[[#This Row],[Quantity]]&lt;=3,"Small",IF(Table13[[#This Row],[Quantity]]&lt;=6,"Medium","Bulk"))</f>
        <v>Small</v>
      </c>
      <c r="T168" s="18" t="str">
        <f t="shared" si="19"/>
        <v>Normal</v>
      </c>
      <c r="U168" s="18" t="str">
        <f t="shared" si="20"/>
        <v>low Value</v>
      </c>
    </row>
    <row r="169" spans="1:21" x14ac:dyDescent="0.3">
      <c r="A169" t="s">
        <v>177</v>
      </c>
      <c r="B169" s="1">
        <v>44999</v>
      </c>
      <c r="C169" t="s">
        <v>1212</v>
      </c>
      <c r="D169" t="s">
        <v>1218</v>
      </c>
      <c r="E169" t="s">
        <v>1222</v>
      </c>
      <c r="F169" t="s">
        <v>1227</v>
      </c>
      <c r="G169" s="6">
        <v>2</v>
      </c>
      <c r="H169">
        <v>353</v>
      </c>
      <c r="I169">
        <v>706</v>
      </c>
      <c r="J169" s="2">
        <v>113.4</v>
      </c>
      <c r="K169" s="16">
        <f>Table13[[#This Row],[Profit]]/Table13[[#This Row],[Sales]]</f>
        <v>0.16062322946175639</v>
      </c>
      <c r="L169" s="17" t="str">
        <f t="shared" si="14"/>
        <v>Low</v>
      </c>
      <c r="M169" s="17" t="str">
        <f t="shared" si="15"/>
        <v>Mar</v>
      </c>
      <c r="N169" s="18">
        <f>YEAR(Table13[[#This Row],[Order_Date]])</f>
        <v>2023</v>
      </c>
      <c r="O169" s="18">
        <f>Table13[[#This Row],[Price]]*0.7</f>
        <v>247.1</v>
      </c>
      <c r="P169" s="18">
        <f t="shared" si="16"/>
        <v>211.8</v>
      </c>
      <c r="Q169" s="18">
        <f t="shared" si="17"/>
        <v>0.05</v>
      </c>
      <c r="R169" s="18">
        <f t="shared" si="18"/>
        <v>592.59999999999991</v>
      </c>
      <c r="S169" s="18" t="str">
        <f>IF(Table13[[#This Row],[Quantity]]&lt;=3,"Small",IF(Table13[[#This Row],[Quantity]]&lt;=6,"Medium","Bulk"))</f>
        <v>Small</v>
      </c>
      <c r="T169" s="18" t="str">
        <f t="shared" si="19"/>
        <v>High Demand</v>
      </c>
      <c r="U169" s="18" t="str">
        <f t="shared" si="20"/>
        <v>low Value</v>
      </c>
    </row>
    <row r="170" spans="1:21" x14ac:dyDescent="0.3">
      <c r="A170" t="s">
        <v>178</v>
      </c>
      <c r="B170" s="1">
        <v>45057</v>
      </c>
      <c r="C170" t="s">
        <v>1211</v>
      </c>
      <c r="D170" t="s">
        <v>1215</v>
      </c>
      <c r="E170" t="s">
        <v>1222</v>
      </c>
      <c r="F170" t="s">
        <v>1234</v>
      </c>
      <c r="G170" s="6">
        <v>8</v>
      </c>
      <c r="H170">
        <v>4320</v>
      </c>
      <c r="I170">
        <v>34560</v>
      </c>
      <c r="J170" s="2">
        <v>4212.46</v>
      </c>
      <c r="K170" s="16">
        <f>Table13[[#This Row],[Profit]]/Table13[[#This Row],[Sales]]</f>
        <v>0.12188831018518519</v>
      </c>
      <c r="L170" s="17" t="str">
        <f t="shared" si="14"/>
        <v>High</v>
      </c>
      <c r="M170" s="17" t="str">
        <f t="shared" si="15"/>
        <v>May</v>
      </c>
      <c r="N170" s="18">
        <f>YEAR(Table13[[#This Row],[Order_Date]])</f>
        <v>2023</v>
      </c>
      <c r="O170" s="18">
        <f>Table13[[#This Row],[Price]]*0.7</f>
        <v>3024</v>
      </c>
      <c r="P170" s="18">
        <f t="shared" si="16"/>
        <v>10368</v>
      </c>
      <c r="Q170" s="18">
        <f t="shared" si="17"/>
        <v>0.1</v>
      </c>
      <c r="R170" s="18">
        <f t="shared" si="18"/>
        <v>30347.54</v>
      </c>
      <c r="S170" s="18" t="str">
        <f>IF(Table13[[#This Row],[Quantity]]&lt;=3,"Small",IF(Table13[[#This Row],[Quantity]]&lt;=6,"Medium","Bulk"))</f>
        <v>Bulk</v>
      </c>
      <c r="T170" s="18" t="str">
        <f t="shared" si="19"/>
        <v>Normal</v>
      </c>
      <c r="U170" s="18" t="str">
        <f t="shared" si="20"/>
        <v>High Value</v>
      </c>
    </row>
    <row r="171" spans="1:21" x14ac:dyDescent="0.3">
      <c r="A171" t="s">
        <v>179</v>
      </c>
      <c r="B171" s="1">
        <v>44938</v>
      </c>
      <c r="C171" t="s">
        <v>1210</v>
      </c>
      <c r="D171" t="s">
        <v>1215</v>
      </c>
      <c r="E171" t="s">
        <v>1221</v>
      </c>
      <c r="F171" t="s">
        <v>1226</v>
      </c>
      <c r="G171" s="6">
        <v>3</v>
      </c>
      <c r="H171">
        <v>3749</v>
      </c>
      <c r="I171">
        <v>11247</v>
      </c>
      <c r="J171" s="2">
        <v>909.81</v>
      </c>
      <c r="K171" s="16">
        <f>Table13[[#This Row],[Profit]]/Table13[[#This Row],[Sales]]</f>
        <v>8.0893571619098423E-2</v>
      </c>
      <c r="L171" s="17" t="str">
        <f t="shared" si="14"/>
        <v>Medium</v>
      </c>
      <c r="M171" s="17" t="str">
        <f t="shared" si="15"/>
        <v>Jan</v>
      </c>
      <c r="N171" s="18">
        <f>YEAR(Table13[[#This Row],[Order_Date]])</f>
        <v>2023</v>
      </c>
      <c r="O171" s="18">
        <f>Table13[[#This Row],[Price]]*0.7</f>
        <v>2624.2999999999997</v>
      </c>
      <c r="P171" s="18">
        <f t="shared" si="16"/>
        <v>3374.1000000000004</v>
      </c>
      <c r="Q171" s="18">
        <f t="shared" si="17"/>
        <v>0.05</v>
      </c>
      <c r="R171" s="18">
        <f t="shared" si="18"/>
        <v>10337.19</v>
      </c>
      <c r="S171" s="18" t="str">
        <f>IF(Table13[[#This Row],[Quantity]]&lt;=3,"Small",IF(Table13[[#This Row],[Quantity]]&lt;=6,"Medium","Bulk"))</f>
        <v>Small</v>
      </c>
      <c r="T171" s="18" t="str">
        <f t="shared" si="19"/>
        <v>Normal</v>
      </c>
      <c r="U171" s="18" t="str">
        <f t="shared" si="20"/>
        <v>Medium Value</v>
      </c>
    </row>
    <row r="172" spans="1:21" x14ac:dyDescent="0.3">
      <c r="A172" t="s">
        <v>180</v>
      </c>
      <c r="B172" s="1">
        <v>44983</v>
      </c>
      <c r="C172" t="s">
        <v>1210</v>
      </c>
      <c r="D172" t="s">
        <v>1218</v>
      </c>
      <c r="E172" t="s">
        <v>1221</v>
      </c>
      <c r="F172" t="s">
        <v>1235</v>
      </c>
      <c r="G172" s="6">
        <v>1</v>
      </c>
      <c r="H172">
        <v>3204</v>
      </c>
      <c r="I172">
        <v>3204</v>
      </c>
      <c r="J172" s="2">
        <v>686.62</v>
      </c>
      <c r="K172" s="16">
        <f>Table13[[#This Row],[Profit]]/Table13[[#This Row],[Sales]]</f>
        <v>0.21430087390761549</v>
      </c>
      <c r="L172" s="17" t="str">
        <f t="shared" si="14"/>
        <v>Low</v>
      </c>
      <c r="M172" s="17" t="str">
        <f t="shared" si="15"/>
        <v>Feb</v>
      </c>
      <c r="N172" s="18">
        <f>YEAR(Table13[[#This Row],[Order_Date]])</f>
        <v>2023</v>
      </c>
      <c r="O172" s="18">
        <f>Table13[[#This Row],[Price]]*0.7</f>
        <v>2242.7999999999997</v>
      </c>
      <c r="P172" s="18">
        <f t="shared" si="16"/>
        <v>961.20000000000027</v>
      </c>
      <c r="Q172" s="18">
        <f t="shared" si="17"/>
        <v>0.05</v>
      </c>
      <c r="R172" s="18">
        <f t="shared" si="18"/>
        <v>2517.3799999999997</v>
      </c>
      <c r="S172" s="18" t="str">
        <f>IF(Table13[[#This Row],[Quantity]]&lt;=3,"Small",IF(Table13[[#This Row],[Quantity]]&lt;=6,"Medium","Bulk"))</f>
        <v>Small</v>
      </c>
      <c r="T172" s="18" t="str">
        <f t="shared" si="19"/>
        <v>Normal</v>
      </c>
      <c r="U172" s="18" t="str">
        <f t="shared" si="20"/>
        <v>low Value</v>
      </c>
    </row>
    <row r="173" spans="1:21" x14ac:dyDescent="0.3">
      <c r="A173" t="s">
        <v>181</v>
      </c>
      <c r="B173" s="1">
        <v>45075</v>
      </c>
      <c r="C173" t="s">
        <v>1212</v>
      </c>
      <c r="D173" t="s">
        <v>1215</v>
      </c>
      <c r="E173" t="s">
        <v>1219</v>
      </c>
      <c r="F173" t="s">
        <v>1223</v>
      </c>
      <c r="G173" s="6">
        <v>8</v>
      </c>
      <c r="H173">
        <v>538</v>
      </c>
      <c r="I173">
        <v>4304</v>
      </c>
      <c r="J173" s="2">
        <v>880.07</v>
      </c>
      <c r="K173" s="16">
        <f>Table13[[#This Row],[Profit]]/Table13[[#This Row],[Sales]]</f>
        <v>0.20447723048327138</v>
      </c>
      <c r="L173" s="17" t="str">
        <f t="shared" si="14"/>
        <v>Low</v>
      </c>
      <c r="M173" s="17" t="str">
        <f t="shared" si="15"/>
        <v>May</v>
      </c>
      <c r="N173" s="18">
        <f>YEAR(Table13[[#This Row],[Order_Date]])</f>
        <v>2023</v>
      </c>
      <c r="O173" s="18">
        <f>Table13[[#This Row],[Price]]*0.7</f>
        <v>376.59999999999997</v>
      </c>
      <c r="P173" s="18">
        <f t="shared" si="16"/>
        <v>1291.2000000000003</v>
      </c>
      <c r="Q173" s="18">
        <f t="shared" si="17"/>
        <v>0.1</v>
      </c>
      <c r="R173" s="18">
        <f t="shared" si="18"/>
        <v>3423.93</v>
      </c>
      <c r="S173" s="18" t="str">
        <f>IF(Table13[[#This Row],[Quantity]]&lt;=3,"Small",IF(Table13[[#This Row],[Quantity]]&lt;=6,"Medium","Bulk"))</f>
        <v>Bulk</v>
      </c>
      <c r="T173" s="18" t="str">
        <f t="shared" si="19"/>
        <v>High Demand</v>
      </c>
      <c r="U173" s="18" t="str">
        <f t="shared" si="20"/>
        <v>low Value</v>
      </c>
    </row>
    <row r="174" spans="1:21" x14ac:dyDescent="0.3">
      <c r="A174" t="s">
        <v>182</v>
      </c>
      <c r="B174" s="1">
        <v>45291</v>
      </c>
      <c r="C174" t="s">
        <v>1211</v>
      </c>
      <c r="D174" t="s">
        <v>1217</v>
      </c>
      <c r="E174" t="s">
        <v>1220</v>
      </c>
      <c r="F174" t="s">
        <v>1224</v>
      </c>
      <c r="G174" s="6">
        <v>6</v>
      </c>
      <c r="H174">
        <v>3926</v>
      </c>
      <c r="I174">
        <v>23556</v>
      </c>
      <c r="J174" s="2">
        <v>4660.3100000000004</v>
      </c>
      <c r="K174" s="16">
        <f>Table13[[#This Row],[Profit]]/Table13[[#This Row],[Sales]]</f>
        <v>0.19783961623365598</v>
      </c>
      <c r="L174" s="17" t="str">
        <f t="shared" si="14"/>
        <v>High</v>
      </c>
      <c r="M174" s="17" t="str">
        <f t="shared" si="15"/>
        <v>Dec</v>
      </c>
      <c r="N174" s="18">
        <f>YEAR(Table13[[#This Row],[Order_Date]])</f>
        <v>2023</v>
      </c>
      <c r="O174" s="18">
        <f>Table13[[#This Row],[Price]]*0.7</f>
        <v>2748.2</v>
      </c>
      <c r="P174" s="18">
        <f t="shared" si="16"/>
        <v>7066.8000000000029</v>
      </c>
      <c r="Q174" s="18">
        <f t="shared" si="17"/>
        <v>0.1</v>
      </c>
      <c r="R174" s="18">
        <f t="shared" si="18"/>
        <v>18895.689999999999</v>
      </c>
      <c r="S174" s="18" t="str">
        <f>IF(Table13[[#This Row],[Quantity]]&lt;=3,"Small",IF(Table13[[#This Row],[Quantity]]&lt;=6,"Medium","Bulk"))</f>
        <v>Medium</v>
      </c>
      <c r="T174" s="18" t="str">
        <f t="shared" si="19"/>
        <v>Normal</v>
      </c>
      <c r="U174" s="18" t="str">
        <f t="shared" si="20"/>
        <v>High Value</v>
      </c>
    </row>
    <row r="175" spans="1:21" x14ac:dyDescent="0.3">
      <c r="A175" t="s">
        <v>183</v>
      </c>
      <c r="B175" s="1">
        <v>45012</v>
      </c>
      <c r="C175" t="s">
        <v>1211</v>
      </c>
      <c r="D175" t="s">
        <v>1215</v>
      </c>
      <c r="E175" t="s">
        <v>1221</v>
      </c>
      <c r="F175" t="s">
        <v>1235</v>
      </c>
      <c r="G175" s="6">
        <v>1</v>
      </c>
      <c r="H175">
        <v>4190</v>
      </c>
      <c r="I175">
        <v>4190</v>
      </c>
      <c r="J175" s="2">
        <v>731.1</v>
      </c>
      <c r="K175" s="16">
        <f>Table13[[#This Row],[Profit]]/Table13[[#This Row],[Sales]]</f>
        <v>0.17448687350835324</v>
      </c>
      <c r="L175" s="17" t="str">
        <f t="shared" si="14"/>
        <v>Low</v>
      </c>
      <c r="M175" s="17" t="str">
        <f t="shared" si="15"/>
        <v>Mar</v>
      </c>
      <c r="N175" s="18">
        <f>YEAR(Table13[[#This Row],[Order_Date]])</f>
        <v>2023</v>
      </c>
      <c r="O175" s="18">
        <f>Table13[[#This Row],[Price]]*0.7</f>
        <v>2933</v>
      </c>
      <c r="P175" s="18">
        <f t="shared" si="16"/>
        <v>1257</v>
      </c>
      <c r="Q175" s="18">
        <f t="shared" si="17"/>
        <v>0.05</v>
      </c>
      <c r="R175" s="18">
        <f t="shared" si="18"/>
        <v>3458.9</v>
      </c>
      <c r="S175" s="18" t="str">
        <f>IF(Table13[[#This Row],[Quantity]]&lt;=3,"Small",IF(Table13[[#This Row],[Quantity]]&lt;=6,"Medium","Bulk"))</f>
        <v>Small</v>
      </c>
      <c r="T175" s="18" t="str">
        <f t="shared" si="19"/>
        <v>Normal</v>
      </c>
      <c r="U175" s="18" t="str">
        <f t="shared" si="20"/>
        <v>low Value</v>
      </c>
    </row>
    <row r="176" spans="1:21" x14ac:dyDescent="0.3">
      <c r="A176" t="s">
        <v>184</v>
      </c>
      <c r="B176" s="1">
        <v>45008</v>
      </c>
      <c r="C176" t="s">
        <v>1210</v>
      </c>
      <c r="D176" t="s">
        <v>1216</v>
      </c>
      <c r="E176" t="s">
        <v>1219</v>
      </c>
      <c r="F176" t="s">
        <v>1232</v>
      </c>
      <c r="G176" s="6">
        <v>3</v>
      </c>
      <c r="H176">
        <v>1721</v>
      </c>
      <c r="I176">
        <v>5163</v>
      </c>
      <c r="J176" s="2">
        <v>783.23</v>
      </c>
      <c r="K176" s="16">
        <f>Table13[[#This Row],[Profit]]/Table13[[#This Row],[Sales]]</f>
        <v>0.15170056168894056</v>
      </c>
      <c r="L176" s="17" t="str">
        <f t="shared" si="14"/>
        <v>Low</v>
      </c>
      <c r="M176" s="17" t="str">
        <f t="shared" si="15"/>
        <v>Mar</v>
      </c>
      <c r="N176" s="18">
        <f>YEAR(Table13[[#This Row],[Order_Date]])</f>
        <v>2023</v>
      </c>
      <c r="O176" s="18">
        <f>Table13[[#This Row],[Price]]*0.7</f>
        <v>1204.6999999999998</v>
      </c>
      <c r="P176" s="18">
        <f t="shared" si="16"/>
        <v>1548.9000000000005</v>
      </c>
      <c r="Q176" s="18">
        <f t="shared" si="17"/>
        <v>0.05</v>
      </c>
      <c r="R176" s="18">
        <f t="shared" si="18"/>
        <v>4379.7700000000004</v>
      </c>
      <c r="S176" s="18" t="str">
        <f>IF(Table13[[#This Row],[Quantity]]&lt;=3,"Small",IF(Table13[[#This Row],[Quantity]]&lt;=6,"Medium","Bulk"))</f>
        <v>Small</v>
      </c>
      <c r="T176" s="18" t="str">
        <f t="shared" si="19"/>
        <v>Normal</v>
      </c>
      <c r="U176" s="18" t="str">
        <f t="shared" si="20"/>
        <v>low Value</v>
      </c>
    </row>
    <row r="177" spans="1:21" x14ac:dyDescent="0.3">
      <c r="A177" t="s">
        <v>185</v>
      </c>
      <c r="B177" s="1">
        <v>45199</v>
      </c>
      <c r="C177" t="s">
        <v>1211</v>
      </c>
      <c r="D177" t="s">
        <v>1214</v>
      </c>
      <c r="E177" t="s">
        <v>1219</v>
      </c>
      <c r="F177" t="s">
        <v>1238</v>
      </c>
      <c r="G177" s="6">
        <v>2</v>
      </c>
      <c r="H177">
        <v>1666</v>
      </c>
      <c r="I177">
        <v>3332</v>
      </c>
      <c r="J177" s="2">
        <v>736.09</v>
      </c>
      <c r="K177" s="16">
        <f>Table13[[#This Row],[Profit]]/Table13[[#This Row],[Sales]]</f>
        <v>0.2209153661464586</v>
      </c>
      <c r="L177" s="17" t="str">
        <f t="shared" si="14"/>
        <v>Low</v>
      </c>
      <c r="M177" s="17" t="str">
        <f t="shared" si="15"/>
        <v>Sep</v>
      </c>
      <c r="N177" s="18">
        <f>YEAR(Table13[[#This Row],[Order_Date]])</f>
        <v>2023</v>
      </c>
      <c r="O177" s="18">
        <f>Table13[[#This Row],[Price]]*0.7</f>
        <v>1166.1999999999998</v>
      </c>
      <c r="P177" s="18">
        <f t="shared" si="16"/>
        <v>999.60000000000036</v>
      </c>
      <c r="Q177" s="18">
        <f t="shared" si="17"/>
        <v>0.05</v>
      </c>
      <c r="R177" s="18">
        <f t="shared" si="18"/>
        <v>2595.91</v>
      </c>
      <c r="S177" s="18" t="str">
        <f>IF(Table13[[#This Row],[Quantity]]&lt;=3,"Small",IF(Table13[[#This Row],[Quantity]]&lt;=6,"Medium","Bulk"))</f>
        <v>Small</v>
      </c>
      <c r="T177" s="18" t="str">
        <f t="shared" si="19"/>
        <v>Normal</v>
      </c>
      <c r="U177" s="18" t="str">
        <f t="shared" si="20"/>
        <v>low Value</v>
      </c>
    </row>
    <row r="178" spans="1:21" x14ac:dyDescent="0.3">
      <c r="A178" t="s">
        <v>186</v>
      </c>
      <c r="B178" s="1">
        <v>45109</v>
      </c>
      <c r="C178" t="s">
        <v>1210</v>
      </c>
      <c r="D178" t="s">
        <v>1216</v>
      </c>
      <c r="E178" t="s">
        <v>1221</v>
      </c>
      <c r="F178" t="s">
        <v>1226</v>
      </c>
      <c r="G178" s="6">
        <v>2</v>
      </c>
      <c r="H178">
        <v>330</v>
      </c>
      <c r="I178">
        <v>660</v>
      </c>
      <c r="J178" s="2">
        <v>130.91999999999999</v>
      </c>
      <c r="K178" s="16">
        <f>Table13[[#This Row],[Profit]]/Table13[[#This Row],[Sales]]</f>
        <v>0.19836363636363635</v>
      </c>
      <c r="L178" s="17" t="str">
        <f t="shared" si="14"/>
        <v>Low</v>
      </c>
      <c r="M178" s="17" t="str">
        <f t="shared" si="15"/>
        <v>Jul</v>
      </c>
      <c r="N178" s="18">
        <f>YEAR(Table13[[#This Row],[Order_Date]])</f>
        <v>2023</v>
      </c>
      <c r="O178" s="18">
        <f>Table13[[#This Row],[Price]]*0.7</f>
        <v>230.99999999999997</v>
      </c>
      <c r="P178" s="18">
        <f t="shared" si="16"/>
        <v>198.00000000000006</v>
      </c>
      <c r="Q178" s="18">
        <f t="shared" si="17"/>
        <v>0.05</v>
      </c>
      <c r="R178" s="18">
        <f t="shared" si="18"/>
        <v>529.08000000000004</v>
      </c>
      <c r="S178" s="18" t="str">
        <f>IF(Table13[[#This Row],[Quantity]]&lt;=3,"Small",IF(Table13[[#This Row],[Quantity]]&lt;=6,"Medium","Bulk"))</f>
        <v>Small</v>
      </c>
      <c r="T178" s="18" t="str">
        <f t="shared" si="19"/>
        <v>Normal</v>
      </c>
      <c r="U178" s="18" t="str">
        <f t="shared" si="20"/>
        <v>low Value</v>
      </c>
    </row>
    <row r="179" spans="1:21" x14ac:dyDescent="0.3">
      <c r="A179" t="s">
        <v>187</v>
      </c>
      <c r="B179" s="1">
        <v>45136</v>
      </c>
      <c r="C179" t="s">
        <v>1212</v>
      </c>
      <c r="D179" t="s">
        <v>1215</v>
      </c>
      <c r="E179" t="s">
        <v>1219</v>
      </c>
      <c r="F179" t="s">
        <v>1238</v>
      </c>
      <c r="G179" s="6">
        <v>8</v>
      </c>
      <c r="H179">
        <v>3787</v>
      </c>
      <c r="I179">
        <v>30296</v>
      </c>
      <c r="J179" s="2">
        <v>6496.16</v>
      </c>
      <c r="K179" s="16">
        <f>Table13[[#This Row],[Profit]]/Table13[[#This Row],[Sales]]</f>
        <v>0.21442302614206496</v>
      </c>
      <c r="L179" s="17" t="str">
        <f t="shared" si="14"/>
        <v>High</v>
      </c>
      <c r="M179" s="17" t="str">
        <f t="shared" si="15"/>
        <v>Jul</v>
      </c>
      <c r="N179" s="18">
        <f>YEAR(Table13[[#This Row],[Order_Date]])</f>
        <v>2023</v>
      </c>
      <c r="O179" s="18">
        <f>Table13[[#This Row],[Price]]*0.7</f>
        <v>2650.8999999999996</v>
      </c>
      <c r="P179" s="18">
        <f t="shared" si="16"/>
        <v>9088.8000000000029</v>
      </c>
      <c r="Q179" s="18">
        <f t="shared" si="17"/>
        <v>0.1</v>
      </c>
      <c r="R179" s="18">
        <f t="shared" si="18"/>
        <v>23799.84</v>
      </c>
      <c r="S179" s="18" t="str">
        <f>IF(Table13[[#This Row],[Quantity]]&lt;=3,"Small",IF(Table13[[#This Row],[Quantity]]&lt;=6,"Medium","Bulk"))</f>
        <v>Bulk</v>
      </c>
      <c r="T179" s="18" t="str">
        <f t="shared" si="19"/>
        <v>High Demand</v>
      </c>
      <c r="U179" s="18" t="str">
        <f t="shared" si="20"/>
        <v>High Value</v>
      </c>
    </row>
    <row r="180" spans="1:21" x14ac:dyDescent="0.3">
      <c r="A180" t="s">
        <v>188</v>
      </c>
      <c r="B180" s="1">
        <v>44960</v>
      </c>
      <c r="C180" t="s">
        <v>1211</v>
      </c>
      <c r="D180" t="s">
        <v>1214</v>
      </c>
      <c r="E180" t="s">
        <v>1220</v>
      </c>
      <c r="F180" t="s">
        <v>1224</v>
      </c>
      <c r="G180" s="6">
        <v>2</v>
      </c>
      <c r="H180">
        <v>510</v>
      </c>
      <c r="I180">
        <v>1020</v>
      </c>
      <c r="J180" s="2">
        <v>161.69999999999999</v>
      </c>
      <c r="K180" s="16">
        <f>Table13[[#This Row],[Profit]]/Table13[[#This Row],[Sales]]</f>
        <v>0.15852941176470586</v>
      </c>
      <c r="L180" s="17" t="str">
        <f t="shared" si="14"/>
        <v>Low</v>
      </c>
      <c r="M180" s="17" t="str">
        <f t="shared" si="15"/>
        <v>Feb</v>
      </c>
      <c r="N180" s="18">
        <f>YEAR(Table13[[#This Row],[Order_Date]])</f>
        <v>2023</v>
      </c>
      <c r="O180" s="18">
        <f>Table13[[#This Row],[Price]]*0.7</f>
        <v>357</v>
      </c>
      <c r="P180" s="18">
        <f t="shared" si="16"/>
        <v>306</v>
      </c>
      <c r="Q180" s="18">
        <f t="shared" si="17"/>
        <v>0.05</v>
      </c>
      <c r="R180" s="18">
        <f t="shared" si="18"/>
        <v>858.30000000000007</v>
      </c>
      <c r="S180" s="18" t="str">
        <f>IF(Table13[[#This Row],[Quantity]]&lt;=3,"Small",IF(Table13[[#This Row],[Quantity]]&lt;=6,"Medium","Bulk"))</f>
        <v>Small</v>
      </c>
      <c r="T180" s="18" t="str">
        <f t="shared" si="19"/>
        <v>Normal</v>
      </c>
      <c r="U180" s="18" t="str">
        <f t="shared" si="20"/>
        <v>low Value</v>
      </c>
    </row>
    <row r="181" spans="1:21" x14ac:dyDescent="0.3">
      <c r="A181" t="s">
        <v>189</v>
      </c>
      <c r="B181" s="1">
        <v>45228</v>
      </c>
      <c r="C181" t="s">
        <v>1213</v>
      </c>
      <c r="D181" t="s">
        <v>1215</v>
      </c>
      <c r="E181" t="s">
        <v>1219</v>
      </c>
      <c r="F181" t="s">
        <v>1232</v>
      </c>
      <c r="G181" s="6">
        <v>2</v>
      </c>
      <c r="H181">
        <v>4010</v>
      </c>
      <c r="I181">
        <v>8020</v>
      </c>
      <c r="J181" s="2">
        <v>737.08</v>
      </c>
      <c r="K181" s="16">
        <f>Table13[[#This Row],[Profit]]/Table13[[#This Row],[Sales]]</f>
        <v>9.1905236907730684E-2</v>
      </c>
      <c r="L181" s="17" t="str">
        <f t="shared" si="14"/>
        <v>Low</v>
      </c>
      <c r="M181" s="17" t="str">
        <f t="shared" si="15"/>
        <v>Oct</v>
      </c>
      <c r="N181" s="18">
        <f>YEAR(Table13[[#This Row],[Order_Date]])</f>
        <v>2023</v>
      </c>
      <c r="O181" s="18">
        <f>Table13[[#This Row],[Price]]*0.7</f>
        <v>2807</v>
      </c>
      <c r="P181" s="18">
        <f t="shared" si="16"/>
        <v>2406</v>
      </c>
      <c r="Q181" s="18">
        <f t="shared" si="17"/>
        <v>0.05</v>
      </c>
      <c r="R181" s="18">
        <f t="shared" si="18"/>
        <v>7282.92</v>
      </c>
      <c r="S181" s="18" t="str">
        <f>IF(Table13[[#This Row],[Quantity]]&lt;=3,"Small",IF(Table13[[#This Row],[Quantity]]&lt;=6,"Medium","Bulk"))</f>
        <v>Small</v>
      </c>
      <c r="T181" s="18" t="str">
        <f t="shared" si="19"/>
        <v>Normal</v>
      </c>
      <c r="U181" s="18" t="str">
        <f t="shared" si="20"/>
        <v>low Value</v>
      </c>
    </row>
    <row r="182" spans="1:21" x14ac:dyDescent="0.3">
      <c r="A182" t="s">
        <v>190</v>
      </c>
      <c r="B182" s="1">
        <v>45162</v>
      </c>
      <c r="C182" t="s">
        <v>1210</v>
      </c>
      <c r="D182" t="s">
        <v>1218</v>
      </c>
      <c r="E182" t="s">
        <v>1220</v>
      </c>
      <c r="F182" t="s">
        <v>1228</v>
      </c>
      <c r="G182" s="6">
        <v>5</v>
      </c>
      <c r="H182">
        <v>4992</v>
      </c>
      <c r="I182">
        <v>24960</v>
      </c>
      <c r="J182" s="2">
        <v>4461.07</v>
      </c>
      <c r="K182" s="16">
        <f>Table13[[#This Row],[Profit]]/Table13[[#This Row],[Sales]]</f>
        <v>0.178728766025641</v>
      </c>
      <c r="L182" s="17" t="str">
        <f t="shared" si="14"/>
        <v>High</v>
      </c>
      <c r="M182" s="17" t="str">
        <f t="shared" si="15"/>
        <v>Aug</v>
      </c>
      <c r="N182" s="18">
        <f>YEAR(Table13[[#This Row],[Order_Date]])</f>
        <v>2023</v>
      </c>
      <c r="O182" s="18">
        <f>Table13[[#This Row],[Price]]*0.7</f>
        <v>3494.3999999999996</v>
      </c>
      <c r="P182" s="18">
        <f t="shared" si="16"/>
        <v>7488</v>
      </c>
      <c r="Q182" s="18">
        <f t="shared" si="17"/>
        <v>0.05</v>
      </c>
      <c r="R182" s="18">
        <f t="shared" si="18"/>
        <v>20498.93</v>
      </c>
      <c r="S182" s="18" t="str">
        <f>IF(Table13[[#This Row],[Quantity]]&lt;=3,"Small",IF(Table13[[#This Row],[Quantity]]&lt;=6,"Medium","Bulk"))</f>
        <v>Medium</v>
      </c>
      <c r="T182" s="18" t="str">
        <f t="shared" si="19"/>
        <v>Normal</v>
      </c>
      <c r="U182" s="18" t="str">
        <f t="shared" si="20"/>
        <v>High Value</v>
      </c>
    </row>
    <row r="183" spans="1:21" x14ac:dyDescent="0.3">
      <c r="A183" t="s">
        <v>191</v>
      </c>
      <c r="B183" s="1">
        <v>44991</v>
      </c>
      <c r="C183" t="s">
        <v>1211</v>
      </c>
      <c r="D183" t="s">
        <v>1218</v>
      </c>
      <c r="E183" t="s">
        <v>1220</v>
      </c>
      <c r="F183" t="s">
        <v>1225</v>
      </c>
      <c r="G183" s="6">
        <v>9</v>
      </c>
      <c r="H183">
        <v>3630</v>
      </c>
      <c r="I183">
        <v>32670</v>
      </c>
      <c r="J183" s="2">
        <v>5515.62</v>
      </c>
      <c r="K183" s="16">
        <f>Table13[[#This Row],[Profit]]/Table13[[#This Row],[Sales]]</f>
        <v>0.16882828282828283</v>
      </c>
      <c r="L183" s="17" t="str">
        <f t="shared" si="14"/>
        <v>High</v>
      </c>
      <c r="M183" s="17" t="str">
        <f t="shared" si="15"/>
        <v>Mar</v>
      </c>
      <c r="N183" s="18">
        <f>YEAR(Table13[[#This Row],[Order_Date]])</f>
        <v>2023</v>
      </c>
      <c r="O183" s="18">
        <f>Table13[[#This Row],[Price]]*0.7</f>
        <v>2541</v>
      </c>
      <c r="P183" s="18">
        <f t="shared" si="16"/>
        <v>9801</v>
      </c>
      <c r="Q183" s="18">
        <f t="shared" si="17"/>
        <v>0.1</v>
      </c>
      <c r="R183" s="18">
        <f t="shared" si="18"/>
        <v>27154.38</v>
      </c>
      <c r="S183" s="18" t="str">
        <f>IF(Table13[[#This Row],[Quantity]]&lt;=3,"Small",IF(Table13[[#This Row],[Quantity]]&lt;=6,"Medium","Bulk"))</f>
        <v>Bulk</v>
      </c>
      <c r="T183" s="18" t="str">
        <f t="shared" si="19"/>
        <v>Normal</v>
      </c>
      <c r="U183" s="18" t="str">
        <f t="shared" si="20"/>
        <v>High Value</v>
      </c>
    </row>
    <row r="184" spans="1:21" x14ac:dyDescent="0.3">
      <c r="A184" t="s">
        <v>192</v>
      </c>
      <c r="B184" s="1">
        <v>45219</v>
      </c>
      <c r="C184" t="s">
        <v>1212</v>
      </c>
      <c r="D184" t="s">
        <v>1218</v>
      </c>
      <c r="E184" t="s">
        <v>1219</v>
      </c>
      <c r="F184" t="s">
        <v>1232</v>
      </c>
      <c r="G184" s="6">
        <v>8</v>
      </c>
      <c r="H184">
        <v>2233</v>
      </c>
      <c r="I184">
        <v>17864</v>
      </c>
      <c r="J184" s="2">
        <v>2328.9699999999998</v>
      </c>
      <c r="K184" s="16">
        <f>Table13[[#This Row],[Profit]]/Table13[[#This Row],[Sales]]</f>
        <v>0.13037225705329153</v>
      </c>
      <c r="L184" s="17" t="str">
        <f t="shared" si="14"/>
        <v>Medium</v>
      </c>
      <c r="M184" s="17" t="str">
        <f t="shared" si="15"/>
        <v>Oct</v>
      </c>
      <c r="N184" s="18">
        <f>YEAR(Table13[[#This Row],[Order_Date]])</f>
        <v>2023</v>
      </c>
      <c r="O184" s="18">
        <f>Table13[[#This Row],[Price]]*0.7</f>
        <v>1563.1</v>
      </c>
      <c r="P184" s="18">
        <f t="shared" si="16"/>
        <v>5359.2000000000007</v>
      </c>
      <c r="Q184" s="18">
        <f t="shared" si="17"/>
        <v>0.1</v>
      </c>
      <c r="R184" s="18">
        <f t="shared" si="18"/>
        <v>15535.03</v>
      </c>
      <c r="S184" s="18" t="str">
        <f>IF(Table13[[#This Row],[Quantity]]&lt;=3,"Small",IF(Table13[[#This Row],[Quantity]]&lt;=6,"Medium","Bulk"))</f>
        <v>Bulk</v>
      </c>
      <c r="T184" s="18" t="str">
        <f t="shared" si="19"/>
        <v>High Demand</v>
      </c>
      <c r="U184" s="18" t="str">
        <f t="shared" si="20"/>
        <v>Medium Value</v>
      </c>
    </row>
    <row r="185" spans="1:21" x14ac:dyDescent="0.3">
      <c r="A185" t="s">
        <v>193</v>
      </c>
      <c r="B185" s="1">
        <v>45270</v>
      </c>
      <c r="C185" t="s">
        <v>1213</v>
      </c>
      <c r="D185" t="s">
        <v>1216</v>
      </c>
      <c r="E185" t="s">
        <v>1222</v>
      </c>
      <c r="F185" t="s">
        <v>1230</v>
      </c>
      <c r="G185" s="6">
        <v>9</v>
      </c>
      <c r="H185">
        <v>4694</v>
      </c>
      <c r="I185">
        <v>42246</v>
      </c>
      <c r="J185" s="2">
        <v>6139.84</v>
      </c>
      <c r="K185" s="16">
        <f>Table13[[#This Row],[Profit]]/Table13[[#This Row],[Sales]]</f>
        <v>0.14533541637078068</v>
      </c>
      <c r="L185" s="17" t="str">
        <f t="shared" si="14"/>
        <v>High</v>
      </c>
      <c r="M185" s="17" t="str">
        <f t="shared" si="15"/>
        <v>Dec</v>
      </c>
      <c r="N185" s="18">
        <f>YEAR(Table13[[#This Row],[Order_Date]])</f>
        <v>2023</v>
      </c>
      <c r="O185" s="18">
        <f>Table13[[#This Row],[Price]]*0.7</f>
        <v>3285.7999999999997</v>
      </c>
      <c r="P185" s="18">
        <f t="shared" si="16"/>
        <v>12673.800000000003</v>
      </c>
      <c r="Q185" s="18">
        <f t="shared" si="17"/>
        <v>0.1</v>
      </c>
      <c r="R185" s="18">
        <f t="shared" si="18"/>
        <v>36106.159999999996</v>
      </c>
      <c r="S185" s="18" t="str">
        <f>IF(Table13[[#This Row],[Quantity]]&lt;=3,"Small",IF(Table13[[#This Row],[Quantity]]&lt;=6,"Medium","Bulk"))</f>
        <v>Bulk</v>
      </c>
      <c r="T185" s="18" t="str">
        <f t="shared" si="19"/>
        <v>Normal</v>
      </c>
      <c r="U185" s="18" t="str">
        <f t="shared" si="20"/>
        <v>High Value</v>
      </c>
    </row>
    <row r="186" spans="1:21" x14ac:dyDescent="0.3">
      <c r="A186" t="s">
        <v>194</v>
      </c>
      <c r="B186" s="1">
        <v>45124</v>
      </c>
      <c r="C186" t="s">
        <v>1210</v>
      </c>
      <c r="D186" t="s">
        <v>1214</v>
      </c>
      <c r="E186" t="s">
        <v>1219</v>
      </c>
      <c r="F186" t="s">
        <v>1233</v>
      </c>
      <c r="G186" s="6">
        <v>5</v>
      </c>
      <c r="H186">
        <v>2308</v>
      </c>
      <c r="I186">
        <v>11540</v>
      </c>
      <c r="J186" s="2">
        <v>1431.27</v>
      </c>
      <c r="K186" s="16">
        <f>Table13[[#This Row],[Profit]]/Table13[[#This Row],[Sales]]</f>
        <v>0.12402686308492201</v>
      </c>
      <c r="L186" s="17" t="str">
        <f t="shared" si="14"/>
        <v>Medium</v>
      </c>
      <c r="M186" s="17" t="str">
        <f t="shared" si="15"/>
        <v>Jul</v>
      </c>
      <c r="N186" s="18">
        <f>YEAR(Table13[[#This Row],[Order_Date]])</f>
        <v>2023</v>
      </c>
      <c r="O186" s="18">
        <f>Table13[[#This Row],[Price]]*0.7</f>
        <v>1615.6</v>
      </c>
      <c r="P186" s="18">
        <f t="shared" si="16"/>
        <v>3462</v>
      </c>
      <c r="Q186" s="18">
        <f t="shared" si="17"/>
        <v>0.05</v>
      </c>
      <c r="R186" s="18">
        <f t="shared" si="18"/>
        <v>10108.73</v>
      </c>
      <c r="S186" s="18" t="str">
        <f>IF(Table13[[#This Row],[Quantity]]&lt;=3,"Small",IF(Table13[[#This Row],[Quantity]]&lt;=6,"Medium","Bulk"))</f>
        <v>Medium</v>
      </c>
      <c r="T186" s="18" t="str">
        <f t="shared" si="19"/>
        <v>Normal</v>
      </c>
      <c r="U186" s="18" t="str">
        <f t="shared" si="20"/>
        <v>Medium Value</v>
      </c>
    </row>
    <row r="187" spans="1:21" x14ac:dyDescent="0.3">
      <c r="A187" t="s">
        <v>195</v>
      </c>
      <c r="B187" s="1">
        <v>45256</v>
      </c>
      <c r="C187" t="s">
        <v>1210</v>
      </c>
      <c r="D187" t="s">
        <v>1217</v>
      </c>
      <c r="E187" t="s">
        <v>1220</v>
      </c>
      <c r="F187" t="s">
        <v>1228</v>
      </c>
      <c r="G187" s="6">
        <v>2</v>
      </c>
      <c r="H187">
        <v>1084</v>
      </c>
      <c r="I187">
        <v>2168</v>
      </c>
      <c r="J187" s="2">
        <v>479.58</v>
      </c>
      <c r="K187" s="16">
        <f>Table13[[#This Row],[Profit]]/Table13[[#This Row],[Sales]]</f>
        <v>0.22120848708487084</v>
      </c>
      <c r="L187" s="17" t="str">
        <f t="shared" si="14"/>
        <v>Low</v>
      </c>
      <c r="M187" s="17" t="str">
        <f t="shared" si="15"/>
        <v>Nov</v>
      </c>
      <c r="N187" s="18">
        <f>YEAR(Table13[[#This Row],[Order_Date]])</f>
        <v>2023</v>
      </c>
      <c r="O187" s="18">
        <f>Table13[[#This Row],[Price]]*0.7</f>
        <v>758.8</v>
      </c>
      <c r="P187" s="18">
        <f t="shared" si="16"/>
        <v>650.40000000000009</v>
      </c>
      <c r="Q187" s="18">
        <f t="shared" si="17"/>
        <v>0.05</v>
      </c>
      <c r="R187" s="18">
        <f t="shared" si="18"/>
        <v>1688.42</v>
      </c>
      <c r="S187" s="18" t="str">
        <f>IF(Table13[[#This Row],[Quantity]]&lt;=3,"Small",IF(Table13[[#This Row],[Quantity]]&lt;=6,"Medium","Bulk"))</f>
        <v>Small</v>
      </c>
      <c r="T187" s="18" t="str">
        <f t="shared" si="19"/>
        <v>Normal</v>
      </c>
      <c r="U187" s="18" t="str">
        <f t="shared" si="20"/>
        <v>low Value</v>
      </c>
    </row>
    <row r="188" spans="1:21" x14ac:dyDescent="0.3">
      <c r="A188" t="s">
        <v>196</v>
      </c>
      <c r="B188" s="1">
        <v>45188</v>
      </c>
      <c r="C188" t="s">
        <v>1212</v>
      </c>
      <c r="D188" t="s">
        <v>1215</v>
      </c>
      <c r="E188" t="s">
        <v>1222</v>
      </c>
      <c r="F188" t="s">
        <v>1230</v>
      </c>
      <c r="G188" s="6">
        <v>9</v>
      </c>
      <c r="H188">
        <v>3000</v>
      </c>
      <c r="I188">
        <v>27000</v>
      </c>
      <c r="J188" s="2">
        <v>6553.87</v>
      </c>
      <c r="K188" s="16">
        <f>Table13[[#This Row],[Profit]]/Table13[[#This Row],[Sales]]</f>
        <v>0.24273592592592591</v>
      </c>
      <c r="L188" s="17" t="str">
        <f t="shared" si="14"/>
        <v>High</v>
      </c>
      <c r="M188" s="17" t="str">
        <f t="shared" si="15"/>
        <v>Sep</v>
      </c>
      <c r="N188" s="18">
        <f>YEAR(Table13[[#This Row],[Order_Date]])</f>
        <v>2023</v>
      </c>
      <c r="O188" s="18">
        <f>Table13[[#This Row],[Price]]*0.7</f>
        <v>2100</v>
      </c>
      <c r="P188" s="18">
        <f t="shared" si="16"/>
        <v>8100</v>
      </c>
      <c r="Q188" s="18">
        <f t="shared" si="17"/>
        <v>0.1</v>
      </c>
      <c r="R188" s="18">
        <f t="shared" si="18"/>
        <v>20446.13</v>
      </c>
      <c r="S188" s="18" t="str">
        <f>IF(Table13[[#This Row],[Quantity]]&lt;=3,"Small",IF(Table13[[#This Row],[Quantity]]&lt;=6,"Medium","Bulk"))</f>
        <v>Bulk</v>
      </c>
      <c r="T188" s="18" t="str">
        <f t="shared" si="19"/>
        <v>High Demand</v>
      </c>
      <c r="U188" s="18" t="str">
        <f t="shared" si="20"/>
        <v>High Value</v>
      </c>
    </row>
    <row r="189" spans="1:21" x14ac:dyDescent="0.3">
      <c r="A189" t="s">
        <v>197</v>
      </c>
      <c r="B189" s="1">
        <v>44946</v>
      </c>
      <c r="C189" t="s">
        <v>1211</v>
      </c>
      <c r="D189" t="s">
        <v>1218</v>
      </c>
      <c r="E189" t="s">
        <v>1220</v>
      </c>
      <c r="F189" t="s">
        <v>1237</v>
      </c>
      <c r="G189" s="6">
        <v>7</v>
      </c>
      <c r="H189">
        <v>2936</v>
      </c>
      <c r="I189">
        <v>20552</v>
      </c>
      <c r="J189" s="2">
        <v>3454.88</v>
      </c>
      <c r="K189" s="16">
        <f>Table13[[#This Row],[Profit]]/Table13[[#This Row],[Sales]]</f>
        <v>0.16810432074737253</v>
      </c>
      <c r="L189" s="17" t="str">
        <f t="shared" si="14"/>
        <v>High</v>
      </c>
      <c r="M189" s="17" t="str">
        <f t="shared" si="15"/>
        <v>Jan</v>
      </c>
      <c r="N189" s="18">
        <f>YEAR(Table13[[#This Row],[Order_Date]])</f>
        <v>2023</v>
      </c>
      <c r="O189" s="18">
        <f>Table13[[#This Row],[Price]]*0.7</f>
        <v>2055.1999999999998</v>
      </c>
      <c r="P189" s="18">
        <f t="shared" si="16"/>
        <v>6165.6000000000022</v>
      </c>
      <c r="Q189" s="18">
        <f t="shared" si="17"/>
        <v>0.1</v>
      </c>
      <c r="R189" s="18">
        <f t="shared" si="18"/>
        <v>17097.120000000003</v>
      </c>
      <c r="S189" s="18" t="str">
        <f>IF(Table13[[#This Row],[Quantity]]&lt;=3,"Small",IF(Table13[[#This Row],[Quantity]]&lt;=6,"Medium","Bulk"))</f>
        <v>Bulk</v>
      </c>
      <c r="T189" s="18" t="str">
        <f t="shared" si="19"/>
        <v>Normal</v>
      </c>
      <c r="U189" s="18" t="str">
        <f t="shared" si="20"/>
        <v>High Value</v>
      </c>
    </row>
    <row r="190" spans="1:21" x14ac:dyDescent="0.3">
      <c r="A190" t="s">
        <v>198</v>
      </c>
      <c r="B190" s="1">
        <v>45071</v>
      </c>
      <c r="C190" t="s">
        <v>1213</v>
      </c>
      <c r="D190" t="s">
        <v>1214</v>
      </c>
      <c r="E190" t="s">
        <v>1222</v>
      </c>
      <c r="F190" t="s">
        <v>1227</v>
      </c>
      <c r="G190" s="6">
        <v>3</v>
      </c>
      <c r="H190">
        <v>2937</v>
      </c>
      <c r="I190">
        <v>8811</v>
      </c>
      <c r="J190" s="2">
        <v>1440.61</v>
      </c>
      <c r="K190" s="16">
        <f>Table13[[#This Row],[Profit]]/Table13[[#This Row],[Sales]]</f>
        <v>0.16350130518669842</v>
      </c>
      <c r="L190" s="17" t="str">
        <f t="shared" si="14"/>
        <v>Low</v>
      </c>
      <c r="M190" s="17" t="str">
        <f t="shared" si="15"/>
        <v>May</v>
      </c>
      <c r="N190" s="18">
        <f>YEAR(Table13[[#This Row],[Order_Date]])</f>
        <v>2023</v>
      </c>
      <c r="O190" s="18">
        <f>Table13[[#This Row],[Price]]*0.7</f>
        <v>2055.9</v>
      </c>
      <c r="P190" s="18">
        <f t="shared" si="16"/>
        <v>2643.2999999999993</v>
      </c>
      <c r="Q190" s="18">
        <f t="shared" si="17"/>
        <v>0.05</v>
      </c>
      <c r="R190" s="18">
        <f t="shared" si="18"/>
        <v>7370.3899999999994</v>
      </c>
      <c r="S190" s="18" t="str">
        <f>IF(Table13[[#This Row],[Quantity]]&lt;=3,"Small",IF(Table13[[#This Row],[Quantity]]&lt;=6,"Medium","Bulk"))</f>
        <v>Small</v>
      </c>
      <c r="T190" s="18" t="str">
        <f t="shared" si="19"/>
        <v>Normal</v>
      </c>
      <c r="U190" s="18" t="str">
        <f t="shared" si="20"/>
        <v>low Value</v>
      </c>
    </row>
    <row r="191" spans="1:21" x14ac:dyDescent="0.3">
      <c r="A191" t="s">
        <v>199</v>
      </c>
      <c r="B191" s="1">
        <v>45255</v>
      </c>
      <c r="C191" t="s">
        <v>1213</v>
      </c>
      <c r="D191" t="s">
        <v>1215</v>
      </c>
      <c r="E191" t="s">
        <v>1221</v>
      </c>
      <c r="F191" t="s">
        <v>1235</v>
      </c>
      <c r="G191" s="6">
        <v>6</v>
      </c>
      <c r="H191">
        <v>1092</v>
      </c>
      <c r="I191">
        <v>6552</v>
      </c>
      <c r="J191" s="2">
        <v>1122.26</v>
      </c>
      <c r="K191" s="16">
        <f>Table13[[#This Row],[Profit]]/Table13[[#This Row],[Sales]]</f>
        <v>0.17128510378510378</v>
      </c>
      <c r="L191" s="17" t="str">
        <f t="shared" si="14"/>
        <v>Low</v>
      </c>
      <c r="M191" s="17" t="str">
        <f t="shared" si="15"/>
        <v>Nov</v>
      </c>
      <c r="N191" s="18">
        <f>YEAR(Table13[[#This Row],[Order_Date]])</f>
        <v>2023</v>
      </c>
      <c r="O191" s="18">
        <f>Table13[[#This Row],[Price]]*0.7</f>
        <v>764.4</v>
      </c>
      <c r="P191" s="18">
        <f t="shared" si="16"/>
        <v>1965.6000000000004</v>
      </c>
      <c r="Q191" s="18">
        <f t="shared" si="17"/>
        <v>0.1</v>
      </c>
      <c r="R191" s="18">
        <f t="shared" si="18"/>
        <v>5429.74</v>
      </c>
      <c r="S191" s="18" t="str">
        <f>IF(Table13[[#This Row],[Quantity]]&lt;=3,"Small",IF(Table13[[#This Row],[Quantity]]&lt;=6,"Medium","Bulk"))</f>
        <v>Medium</v>
      </c>
      <c r="T191" s="18" t="str">
        <f t="shared" si="19"/>
        <v>Normal</v>
      </c>
      <c r="U191" s="18" t="str">
        <f t="shared" si="20"/>
        <v>low Value</v>
      </c>
    </row>
    <row r="192" spans="1:21" x14ac:dyDescent="0.3">
      <c r="A192" t="s">
        <v>200</v>
      </c>
      <c r="B192" s="1">
        <v>45063</v>
      </c>
      <c r="C192" t="s">
        <v>1210</v>
      </c>
      <c r="D192" t="s">
        <v>1218</v>
      </c>
      <c r="E192" t="s">
        <v>1220</v>
      </c>
      <c r="F192" t="s">
        <v>1237</v>
      </c>
      <c r="G192" s="6">
        <v>9</v>
      </c>
      <c r="H192">
        <v>2882</v>
      </c>
      <c r="I192">
        <v>25938</v>
      </c>
      <c r="J192" s="2">
        <v>2646.13</v>
      </c>
      <c r="K192" s="16">
        <f>Table13[[#This Row],[Profit]]/Table13[[#This Row],[Sales]]</f>
        <v>0.10201750327704527</v>
      </c>
      <c r="L192" s="17" t="str">
        <f t="shared" si="14"/>
        <v>High</v>
      </c>
      <c r="M192" s="17" t="str">
        <f t="shared" si="15"/>
        <v>May</v>
      </c>
      <c r="N192" s="18">
        <f>YEAR(Table13[[#This Row],[Order_Date]])</f>
        <v>2023</v>
      </c>
      <c r="O192" s="18">
        <f>Table13[[#This Row],[Price]]*0.7</f>
        <v>2017.3999999999999</v>
      </c>
      <c r="P192" s="18">
        <f t="shared" si="16"/>
        <v>7781.4000000000015</v>
      </c>
      <c r="Q192" s="18">
        <f t="shared" si="17"/>
        <v>0.1</v>
      </c>
      <c r="R192" s="18">
        <f t="shared" si="18"/>
        <v>23291.87</v>
      </c>
      <c r="S192" s="18" t="str">
        <f>IF(Table13[[#This Row],[Quantity]]&lt;=3,"Small",IF(Table13[[#This Row],[Quantity]]&lt;=6,"Medium","Bulk"))</f>
        <v>Bulk</v>
      </c>
      <c r="T192" s="18" t="str">
        <f t="shared" si="19"/>
        <v>Normal</v>
      </c>
      <c r="U192" s="18" t="str">
        <f t="shared" si="20"/>
        <v>High Value</v>
      </c>
    </row>
    <row r="193" spans="1:21" x14ac:dyDescent="0.3">
      <c r="A193" t="s">
        <v>201</v>
      </c>
      <c r="B193" s="1">
        <v>45152</v>
      </c>
      <c r="C193" t="s">
        <v>1213</v>
      </c>
      <c r="D193" t="s">
        <v>1216</v>
      </c>
      <c r="E193" t="s">
        <v>1220</v>
      </c>
      <c r="F193" t="s">
        <v>1224</v>
      </c>
      <c r="G193" s="6">
        <v>9</v>
      </c>
      <c r="H193">
        <v>4335</v>
      </c>
      <c r="I193">
        <v>39015</v>
      </c>
      <c r="J193" s="2">
        <v>9300.01</v>
      </c>
      <c r="K193" s="16">
        <f>Table13[[#This Row],[Profit]]/Table13[[#This Row],[Sales]]</f>
        <v>0.23837011405869538</v>
      </c>
      <c r="L193" s="17" t="str">
        <f t="shared" si="14"/>
        <v>High</v>
      </c>
      <c r="M193" s="17" t="str">
        <f t="shared" si="15"/>
        <v>Aug</v>
      </c>
      <c r="N193" s="18">
        <f>YEAR(Table13[[#This Row],[Order_Date]])</f>
        <v>2023</v>
      </c>
      <c r="O193" s="18">
        <f>Table13[[#This Row],[Price]]*0.7</f>
        <v>3034.5</v>
      </c>
      <c r="P193" s="18">
        <f t="shared" si="16"/>
        <v>11704.5</v>
      </c>
      <c r="Q193" s="18">
        <f t="shared" si="17"/>
        <v>0.1</v>
      </c>
      <c r="R193" s="18">
        <f t="shared" si="18"/>
        <v>29714.99</v>
      </c>
      <c r="S193" s="18" t="str">
        <f>IF(Table13[[#This Row],[Quantity]]&lt;=3,"Small",IF(Table13[[#This Row],[Quantity]]&lt;=6,"Medium","Bulk"))</f>
        <v>Bulk</v>
      </c>
      <c r="T193" s="18" t="str">
        <f t="shared" si="19"/>
        <v>Normal</v>
      </c>
      <c r="U193" s="18" t="str">
        <f t="shared" si="20"/>
        <v>High Value</v>
      </c>
    </row>
    <row r="194" spans="1:21" x14ac:dyDescent="0.3">
      <c r="A194" t="s">
        <v>202</v>
      </c>
      <c r="B194" s="1">
        <v>44963</v>
      </c>
      <c r="C194" t="s">
        <v>1213</v>
      </c>
      <c r="D194" t="s">
        <v>1215</v>
      </c>
      <c r="E194" t="s">
        <v>1219</v>
      </c>
      <c r="F194" t="s">
        <v>1233</v>
      </c>
      <c r="G194" s="6">
        <v>8</v>
      </c>
      <c r="H194">
        <v>4172</v>
      </c>
      <c r="I194">
        <v>33376</v>
      </c>
      <c r="J194" s="2">
        <v>2946.87</v>
      </c>
      <c r="K194" s="16">
        <f>Table13[[#This Row],[Profit]]/Table13[[#This Row],[Sales]]</f>
        <v>8.8293084851390216E-2</v>
      </c>
      <c r="L194" s="17" t="str">
        <f t="shared" ref="L194:L257" si="21">IF(I194&gt;20000,"High",IF(I194&gt;10000,"Medium","Low"))</f>
        <v>High</v>
      </c>
      <c r="M194" s="17" t="str">
        <f t="shared" ref="M194:M257" si="22">TEXT(B194,"mmm")</f>
        <v>Feb</v>
      </c>
      <c r="N194" s="18">
        <f>YEAR(Table13[[#This Row],[Order_Date]])</f>
        <v>2023</v>
      </c>
      <c r="O194" s="18">
        <f>Table13[[#This Row],[Price]]*0.7</f>
        <v>2920.3999999999996</v>
      </c>
      <c r="P194" s="18">
        <f t="shared" ref="P194:P257" si="23">I194 - (G194 *O194)</f>
        <v>10012.800000000003</v>
      </c>
      <c r="Q194" s="18">
        <f t="shared" ref="Q194:Q257" si="24">IF(G194&gt;5,0.1,0.05)</f>
        <v>0.1</v>
      </c>
      <c r="R194" s="18">
        <f t="shared" ref="R194:R257" si="25">I194*(1-K194)</f>
        <v>30429.13</v>
      </c>
      <c r="S194" s="18" t="str">
        <f>IF(Table13[[#This Row],[Quantity]]&lt;=3,"Small",IF(Table13[[#This Row],[Quantity]]&lt;=6,"Medium","Bulk"))</f>
        <v>Bulk</v>
      </c>
      <c r="T194" s="18" t="str">
        <f t="shared" ref="T194:T257" si="26">IF(C194="North","High Demand","Normal")</f>
        <v>Normal</v>
      </c>
      <c r="U194" s="18" t="str">
        <f t="shared" ref="U194:U257" si="27">IF(I194&gt;20000,"High Value",IF(I194&gt;10000,"Medium Value","low Value"))</f>
        <v>High Value</v>
      </c>
    </row>
    <row r="195" spans="1:21" x14ac:dyDescent="0.3">
      <c r="A195" t="s">
        <v>203</v>
      </c>
      <c r="B195" s="1">
        <v>45244</v>
      </c>
      <c r="C195" t="s">
        <v>1212</v>
      </c>
      <c r="D195" t="s">
        <v>1214</v>
      </c>
      <c r="E195" t="s">
        <v>1221</v>
      </c>
      <c r="F195" t="s">
        <v>1231</v>
      </c>
      <c r="G195" s="6">
        <v>1</v>
      </c>
      <c r="H195">
        <v>3311</v>
      </c>
      <c r="I195">
        <v>3311</v>
      </c>
      <c r="J195" s="2">
        <v>761.84</v>
      </c>
      <c r="K195" s="16">
        <f>Table13[[#This Row],[Profit]]/Table13[[#This Row],[Sales]]</f>
        <v>0.23009362730292965</v>
      </c>
      <c r="L195" s="17" t="str">
        <f t="shared" si="21"/>
        <v>Low</v>
      </c>
      <c r="M195" s="17" t="str">
        <f t="shared" si="22"/>
        <v>Nov</v>
      </c>
      <c r="N195" s="18">
        <f>YEAR(Table13[[#This Row],[Order_Date]])</f>
        <v>2023</v>
      </c>
      <c r="O195" s="18">
        <f>Table13[[#This Row],[Price]]*0.7</f>
        <v>2317.6999999999998</v>
      </c>
      <c r="P195" s="18">
        <f t="shared" si="23"/>
        <v>993.30000000000018</v>
      </c>
      <c r="Q195" s="18">
        <f t="shared" si="24"/>
        <v>0.05</v>
      </c>
      <c r="R195" s="18">
        <f t="shared" si="25"/>
        <v>2549.16</v>
      </c>
      <c r="S195" s="18" t="str">
        <f>IF(Table13[[#This Row],[Quantity]]&lt;=3,"Small",IF(Table13[[#This Row],[Quantity]]&lt;=6,"Medium","Bulk"))</f>
        <v>Small</v>
      </c>
      <c r="T195" s="18" t="str">
        <f t="shared" si="26"/>
        <v>High Demand</v>
      </c>
      <c r="U195" s="18" t="str">
        <f t="shared" si="27"/>
        <v>low Value</v>
      </c>
    </row>
    <row r="196" spans="1:21" x14ac:dyDescent="0.3">
      <c r="A196" t="s">
        <v>204</v>
      </c>
      <c r="B196" s="1">
        <v>45273</v>
      </c>
      <c r="C196" t="s">
        <v>1212</v>
      </c>
      <c r="D196" t="s">
        <v>1215</v>
      </c>
      <c r="E196" t="s">
        <v>1220</v>
      </c>
      <c r="F196" t="s">
        <v>1237</v>
      </c>
      <c r="G196" s="6">
        <v>8</v>
      </c>
      <c r="H196">
        <v>3311</v>
      </c>
      <c r="I196">
        <v>26488</v>
      </c>
      <c r="J196" s="2">
        <v>5172.12</v>
      </c>
      <c r="K196" s="16">
        <f>Table13[[#This Row],[Profit]]/Table13[[#This Row],[Sales]]</f>
        <v>0.19526276049531863</v>
      </c>
      <c r="L196" s="17" t="str">
        <f t="shared" si="21"/>
        <v>High</v>
      </c>
      <c r="M196" s="17" t="str">
        <f t="shared" si="22"/>
        <v>Dec</v>
      </c>
      <c r="N196" s="18">
        <f>YEAR(Table13[[#This Row],[Order_Date]])</f>
        <v>2023</v>
      </c>
      <c r="O196" s="18">
        <f>Table13[[#This Row],[Price]]*0.7</f>
        <v>2317.6999999999998</v>
      </c>
      <c r="P196" s="18">
        <f t="shared" si="23"/>
        <v>7946.4000000000015</v>
      </c>
      <c r="Q196" s="18">
        <f t="shared" si="24"/>
        <v>0.1</v>
      </c>
      <c r="R196" s="18">
        <f t="shared" si="25"/>
        <v>21315.88</v>
      </c>
      <c r="S196" s="18" t="str">
        <f>IF(Table13[[#This Row],[Quantity]]&lt;=3,"Small",IF(Table13[[#This Row],[Quantity]]&lt;=6,"Medium","Bulk"))</f>
        <v>Bulk</v>
      </c>
      <c r="T196" s="18" t="str">
        <f t="shared" si="26"/>
        <v>High Demand</v>
      </c>
      <c r="U196" s="18" t="str">
        <f t="shared" si="27"/>
        <v>High Value</v>
      </c>
    </row>
    <row r="197" spans="1:21" x14ac:dyDescent="0.3">
      <c r="A197" t="s">
        <v>205</v>
      </c>
      <c r="B197" s="1">
        <v>45279</v>
      </c>
      <c r="C197" t="s">
        <v>1210</v>
      </c>
      <c r="D197" t="s">
        <v>1214</v>
      </c>
      <c r="E197" t="s">
        <v>1222</v>
      </c>
      <c r="F197" t="s">
        <v>1230</v>
      </c>
      <c r="G197" s="6">
        <v>8</v>
      </c>
      <c r="H197">
        <v>2583</v>
      </c>
      <c r="I197">
        <v>20664</v>
      </c>
      <c r="J197" s="2">
        <v>3966.18</v>
      </c>
      <c r="K197" s="16">
        <f>Table13[[#This Row],[Profit]]/Table13[[#This Row],[Sales]]</f>
        <v>0.19193670150987224</v>
      </c>
      <c r="L197" s="17" t="str">
        <f t="shared" si="21"/>
        <v>High</v>
      </c>
      <c r="M197" s="17" t="str">
        <f t="shared" si="22"/>
        <v>Dec</v>
      </c>
      <c r="N197" s="18">
        <f>YEAR(Table13[[#This Row],[Order_Date]])</f>
        <v>2023</v>
      </c>
      <c r="O197" s="18">
        <f>Table13[[#This Row],[Price]]*0.7</f>
        <v>1808.1</v>
      </c>
      <c r="P197" s="18">
        <f t="shared" si="23"/>
        <v>6199.2000000000007</v>
      </c>
      <c r="Q197" s="18">
        <f t="shared" si="24"/>
        <v>0.1</v>
      </c>
      <c r="R197" s="18">
        <f t="shared" si="25"/>
        <v>16697.82</v>
      </c>
      <c r="S197" s="18" t="str">
        <f>IF(Table13[[#This Row],[Quantity]]&lt;=3,"Small",IF(Table13[[#This Row],[Quantity]]&lt;=6,"Medium","Bulk"))</f>
        <v>Bulk</v>
      </c>
      <c r="T197" s="18" t="str">
        <f t="shared" si="26"/>
        <v>Normal</v>
      </c>
      <c r="U197" s="18" t="str">
        <f t="shared" si="27"/>
        <v>High Value</v>
      </c>
    </row>
    <row r="198" spans="1:21" x14ac:dyDescent="0.3">
      <c r="A198" t="s">
        <v>206</v>
      </c>
      <c r="B198" s="1">
        <v>45117</v>
      </c>
      <c r="C198" t="s">
        <v>1210</v>
      </c>
      <c r="D198" t="s">
        <v>1216</v>
      </c>
      <c r="E198" t="s">
        <v>1221</v>
      </c>
      <c r="F198" t="s">
        <v>1231</v>
      </c>
      <c r="G198" s="6">
        <v>9</v>
      </c>
      <c r="H198">
        <v>1916</v>
      </c>
      <c r="I198">
        <v>17244</v>
      </c>
      <c r="J198" s="2">
        <v>3373.34</v>
      </c>
      <c r="K198" s="16">
        <f>Table13[[#This Row],[Profit]]/Table13[[#This Row],[Sales]]</f>
        <v>0.19562398515425655</v>
      </c>
      <c r="L198" s="17" t="str">
        <f t="shared" si="21"/>
        <v>Medium</v>
      </c>
      <c r="M198" s="17" t="str">
        <f t="shared" si="22"/>
        <v>Jul</v>
      </c>
      <c r="N198" s="18">
        <f>YEAR(Table13[[#This Row],[Order_Date]])</f>
        <v>2023</v>
      </c>
      <c r="O198" s="18">
        <f>Table13[[#This Row],[Price]]*0.7</f>
        <v>1341.1999999999998</v>
      </c>
      <c r="P198" s="18">
        <f t="shared" si="23"/>
        <v>5173.2000000000007</v>
      </c>
      <c r="Q198" s="18">
        <f t="shared" si="24"/>
        <v>0.1</v>
      </c>
      <c r="R198" s="18">
        <f t="shared" si="25"/>
        <v>13870.660000000002</v>
      </c>
      <c r="S198" s="18" t="str">
        <f>IF(Table13[[#This Row],[Quantity]]&lt;=3,"Small",IF(Table13[[#This Row],[Quantity]]&lt;=6,"Medium","Bulk"))</f>
        <v>Bulk</v>
      </c>
      <c r="T198" s="18" t="str">
        <f t="shared" si="26"/>
        <v>Normal</v>
      </c>
      <c r="U198" s="18" t="str">
        <f t="shared" si="27"/>
        <v>Medium Value</v>
      </c>
    </row>
    <row r="199" spans="1:21" x14ac:dyDescent="0.3">
      <c r="A199" t="s">
        <v>207</v>
      </c>
      <c r="B199" s="1">
        <v>45289</v>
      </c>
      <c r="C199" t="s">
        <v>1212</v>
      </c>
      <c r="D199" t="s">
        <v>1217</v>
      </c>
      <c r="E199" t="s">
        <v>1219</v>
      </c>
      <c r="F199" t="s">
        <v>1232</v>
      </c>
      <c r="G199" s="6">
        <v>9</v>
      </c>
      <c r="H199">
        <v>4721</v>
      </c>
      <c r="I199">
        <v>42489</v>
      </c>
      <c r="J199" s="2">
        <v>4329.96</v>
      </c>
      <c r="K199" s="16">
        <f>Table13[[#This Row],[Profit]]/Table13[[#This Row],[Sales]]</f>
        <v>0.10190778789804419</v>
      </c>
      <c r="L199" s="17" t="str">
        <f t="shared" si="21"/>
        <v>High</v>
      </c>
      <c r="M199" s="17" t="str">
        <f t="shared" si="22"/>
        <v>Dec</v>
      </c>
      <c r="N199" s="18">
        <f>YEAR(Table13[[#This Row],[Order_Date]])</f>
        <v>2023</v>
      </c>
      <c r="O199" s="18">
        <f>Table13[[#This Row],[Price]]*0.7</f>
        <v>3304.7</v>
      </c>
      <c r="P199" s="18">
        <f t="shared" si="23"/>
        <v>12746.7</v>
      </c>
      <c r="Q199" s="18">
        <f t="shared" si="24"/>
        <v>0.1</v>
      </c>
      <c r="R199" s="18">
        <f t="shared" si="25"/>
        <v>38159.040000000001</v>
      </c>
      <c r="S199" s="18" t="str">
        <f>IF(Table13[[#This Row],[Quantity]]&lt;=3,"Small",IF(Table13[[#This Row],[Quantity]]&lt;=6,"Medium","Bulk"))</f>
        <v>Bulk</v>
      </c>
      <c r="T199" s="18" t="str">
        <f t="shared" si="26"/>
        <v>High Demand</v>
      </c>
      <c r="U199" s="18" t="str">
        <f t="shared" si="27"/>
        <v>High Value</v>
      </c>
    </row>
    <row r="200" spans="1:21" x14ac:dyDescent="0.3">
      <c r="A200" t="s">
        <v>208</v>
      </c>
      <c r="B200" s="1">
        <v>44972</v>
      </c>
      <c r="C200" t="s">
        <v>1210</v>
      </c>
      <c r="D200" t="s">
        <v>1218</v>
      </c>
      <c r="E200" t="s">
        <v>1221</v>
      </c>
      <c r="F200" t="s">
        <v>1229</v>
      </c>
      <c r="G200" s="6">
        <v>7</v>
      </c>
      <c r="H200">
        <v>2185</v>
      </c>
      <c r="I200">
        <v>15295</v>
      </c>
      <c r="J200" s="2">
        <v>1969.94</v>
      </c>
      <c r="K200" s="16">
        <f>Table13[[#This Row],[Profit]]/Table13[[#This Row],[Sales]]</f>
        <v>0.12879633867276888</v>
      </c>
      <c r="L200" s="17" t="str">
        <f t="shared" si="21"/>
        <v>Medium</v>
      </c>
      <c r="M200" s="17" t="str">
        <f t="shared" si="22"/>
        <v>Feb</v>
      </c>
      <c r="N200" s="18">
        <f>YEAR(Table13[[#This Row],[Order_Date]])</f>
        <v>2023</v>
      </c>
      <c r="O200" s="18">
        <f>Table13[[#This Row],[Price]]*0.7</f>
        <v>1529.5</v>
      </c>
      <c r="P200" s="18">
        <f t="shared" si="23"/>
        <v>4588.5</v>
      </c>
      <c r="Q200" s="18">
        <f t="shared" si="24"/>
        <v>0.1</v>
      </c>
      <c r="R200" s="18">
        <f t="shared" si="25"/>
        <v>13325.060000000001</v>
      </c>
      <c r="S200" s="18" t="str">
        <f>IF(Table13[[#This Row],[Quantity]]&lt;=3,"Small",IF(Table13[[#This Row],[Quantity]]&lt;=6,"Medium","Bulk"))</f>
        <v>Bulk</v>
      </c>
      <c r="T200" s="18" t="str">
        <f t="shared" si="26"/>
        <v>Normal</v>
      </c>
      <c r="U200" s="18" t="str">
        <f t="shared" si="27"/>
        <v>Medium Value</v>
      </c>
    </row>
    <row r="201" spans="1:21" x14ac:dyDescent="0.3">
      <c r="A201" t="s">
        <v>209</v>
      </c>
      <c r="B201" s="1">
        <v>45291</v>
      </c>
      <c r="C201" t="s">
        <v>1210</v>
      </c>
      <c r="D201" t="s">
        <v>1214</v>
      </c>
      <c r="E201" t="s">
        <v>1222</v>
      </c>
      <c r="F201" t="s">
        <v>1234</v>
      </c>
      <c r="G201" s="6">
        <v>8</v>
      </c>
      <c r="H201">
        <v>4995</v>
      </c>
      <c r="I201">
        <v>39960</v>
      </c>
      <c r="J201" s="2">
        <v>3258.43</v>
      </c>
      <c r="K201" s="16">
        <f>Table13[[#This Row],[Profit]]/Table13[[#This Row],[Sales]]</f>
        <v>8.154229229229229E-2</v>
      </c>
      <c r="L201" s="17" t="str">
        <f t="shared" si="21"/>
        <v>High</v>
      </c>
      <c r="M201" s="17" t="str">
        <f t="shared" si="22"/>
        <v>Dec</v>
      </c>
      <c r="N201" s="18">
        <f>YEAR(Table13[[#This Row],[Order_Date]])</f>
        <v>2023</v>
      </c>
      <c r="O201" s="18">
        <f>Table13[[#This Row],[Price]]*0.7</f>
        <v>3496.5</v>
      </c>
      <c r="P201" s="18">
        <f t="shared" si="23"/>
        <v>11988</v>
      </c>
      <c r="Q201" s="18">
        <f t="shared" si="24"/>
        <v>0.1</v>
      </c>
      <c r="R201" s="18">
        <f t="shared" si="25"/>
        <v>36701.57</v>
      </c>
      <c r="S201" s="18" t="str">
        <f>IF(Table13[[#This Row],[Quantity]]&lt;=3,"Small",IF(Table13[[#This Row],[Quantity]]&lt;=6,"Medium","Bulk"))</f>
        <v>Bulk</v>
      </c>
      <c r="T201" s="18" t="str">
        <f t="shared" si="26"/>
        <v>Normal</v>
      </c>
      <c r="U201" s="18" t="str">
        <f t="shared" si="27"/>
        <v>High Value</v>
      </c>
    </row>
    <row r="202" spans="1:21" x14ac:dyDescent="0.3">
      <c r="A202" t="s">
        <v>210</v>
      </c>
      <c r="B202" s="1">
        <v>44986</v>
      </c>
      <c r="C202" t="s">
        <v>1210</v>
      </c>
      <c r="D202" t="s">
        <v>1215</v>
      </c>
      <c r="E202" t="s">
        <v>1220</v>
      </c>
      <c r="F202" t="s">
        <v>1237</v>
      </c>
      <c r="G202" s="6">
        <v>9</v>
      </c>
      <c r="H202">
        <v>1447</v>
      </c>
      <c r="I202">
        <v>13023</v>
      </c>
      <c r="J202" s="2">
        <v>2901.79</v>
      </c>
      <c r="K202" s="16">
        <f>Table13[[#This Row],[Profit]]/Table13[[#This Row],[Sales]]</f>
        <v>0.2228203946863242</v>
      </c>
      <c r="L202" s="17" t="str">
        <f t="shared" si="21"/>
        <v>Medium</v>
      </c>
      <c r="M202" s="17" t="str">
        <f t="shared" si="22"/>
        <v>Mar</v>
      </c>
      <c r="N202" s="18">
        <f>YEAR(Table13[[#This Row],[Order_Date]])</f>
        <v>2023</v>
      </c>
      <c r="O202" s="18">
        <f>Table13[[#This Row],[Price]]*0.7</f>
        <v>1012.9</v>
      </c>
      <c r="P202" s="18">
        <f t="shared" si="23"/>
        <v>3906.8999999999996</v>
      </c>
      <c r="Q202" s="18">
        <f t="shared" si="24"/>
        <v>0.1</v>
      </c>
      <c r="R202" s="18">
        <f t="shared" si="25"/>
        <v>10121.209999999999</v>
      </c>
      <c r="S202" s="18" t="str">
        <f>IF(Table13[[#This Row],[Quantity]]&lt;=3,"Small",IF(Table13[[#This Row],[Quantity]]&lt;=6,"Medium","Bulk"))</f>
        <v>Bulk</v>
      </c>
      <c r="T202" s="18" t="str">
        <f t="shared" si="26"/>
        <v>Normal</v>
      </c>
      <c r="U202" s="18" t="str">
        <f t="shared" si="27"/>
        <v>Medium Value</v>
      </c>
    </row>
    <row r="203" spans="1:21" x14ac:dyDescent="0.3">
      <c r="A203" t="s">
        <v>211</v>
      </c>
      <c r="B203" s="1">
        <v>45250</v>
      </c>
      <c r="C203" t="s">
        <v>1210</v>
      </c>
      <c r="D203" t="s">
        <v>1239</v>
      </c>
      <c r="E203" t="s">
        <v>1222</v>
      </c>
      <c r="F203" t="s">
        <v>1230</v>
      </c>
      <c r="G203" s="6">
        <v>4</v>
      </c>
      <c r="H203">
        <v>2087</v>
      </c>
      <c r="I203">
        <v>8348</v>
      </c>
      <c r="J203" s="2">
        <v>1761.81</v>
      </c>
      <c r="K203" s="16">
        <f>Table13[[#This Row],[Profit]]/Table13[[#This Row],[Sales]]</f>
        <v>0.2110457594633445</v>
      </c>
      <c r="L203" s="17" t="str">
        <f t="shared" si="21"/>
        <v>Low</v>
      </c>
      <c r="M203" s="17" t="str">
        <f t="shared" si="22"/>
        <v>Nov</v>
      </c>
      <c r="N203" s="18">
        <f>YEAR(Table13[[#This Row],[Order_Date]])</f>
        <v>2023</v>
      </c>
      <c r="O203" s="18">
        <f>Table13[[#This Row],[Price]]*0.7</f>
        <v>1460.8999999999999</v>
      </c>
      <c r="P203" s="18">
        <f t="shared" si="23"/>
        <v>2504.4000000000005</v>
      </c>
      <c r="Q203" s="18">
        <f t="shared" si="24"/>
        <v>0.05</v>
      </c>
      <c r="R203" s="18">
        <f t="shared" si="25"/>
        <v>6586.1900000000005</v>
      </c>
      <c r="S203" s="18" t="str">
        <f>IF(Table13[[#This Row],[Quantity]]&lt;=3,"Small",IF(Table13[[#This Row],[Quantity]]&lt;=6,"Medium","Bulk"))</f>
        <v>Medium</v>
      </c>
      <c r="T203" s="18" t="str">
        <f t="shared" si="26"/>
        <v>Normal</v>
      </c>
      <c r="U203" s="18" t="str">
        <f t="shared" si="27"/>
        <v>low Value</v>
      </c>
    </row>
    <row r="204" spans="1:21" x14ac:dyDescent="0.3">
      <c r="A204" t="s">
        <v>212</v>
      </c>
      <c r="B204" s="1">
        <v>45046</v>
      </c>
      <c r="C204" t="s">
        <v>1210</v>
      </c>
      <c r="D204" t="s">
        <v>1217</v>
      </c>
      <c r="E204" t="s">
        <v>1221</v>
      </c>
      <c r="F204" t="s">
        <v>1229</v>
      </c>
      <c r="G204" s="6">
        <v>1</v>
      </c>
      <c r="H204">
        <v>1085</v>
      </c>
      <c r="I204">
        <v>1085</v>
      </c>
      <c r="J204" s="2">
        <v>150.6</v>
      </c>
      <c r="K204" s="16">
        <f>Table13[[#This Row],[Profit]]/Table13[[#This Row],[Sales]]</f>
        <v>0.13880184331797235</v>
      </c>
      <c r="L204" s="17" t="str">
        <f t="shared" si="21"/>
        <v>Low</v>
      </c>
      <c r="M204" s="17" t="str">
        <f t="shared" si="22"/>
        <v>Apr</v>
      </c>
      <c r="N204" s="18">
        <f>YEAR(Table13[[#This Row],[Order_Date]])</f>
        <v>2023</v>
      </c>
      <c r="O204" s="18">
        <f>Table13[[#This Row],[Price]]*0.7</f>
        <v>759.5</v>
      </c>
      <c r="P204" s="18">
        <f t="shared" si="23"/>
        <v>325.5</v>
      </c>
      <c r="Q204" s="18">
        <f t="shared" si="24"/>
        <v>0.05</v>
      </c>
      <c r="R204" s="18">
        <f t="shared" si="25"/>
        <v>934.40000000000009</v>
      </c>
      <c r="S204" s="18" t="str">
        <f>IF(Table13[[#This Row],[Quantity]]&lt;=3,"Small",IF(Table13[[#This Row],[Quantity]]&lt;=6,"Medium","Bulk"))</f>
        <v>Small</v>
      </c>
      <c r="T204" s="18" t="str">
        <f t="shared" si="26"/>
        <v>Normal</v>
      </c>
      <c r="U204" s="18" t="str">
        <f t="shared" si="27"/>
        <v>low Value</v>
      </c>
    </row>
    <row r="205" spans="1:21" x14ac:dyDescent="0.3">
      <c r="A205" t="s">
        <v>213</v>
      </c>
      <c r="B205" s="1">
        <v>44933</v>
      </c>
      <c r="C205" t="s">
        <v>1212</v>
      </c>
      <c r="D205" t="s">
        <v>1214</v>
      </c>
      <c r="E205" t="s">
        <v>1220</v>
      </c>
      <c r="F205" t="s">
        <v>1225</v>
      </c>
      <c r="G205" s="6">
        <v>4</v>
      </c>
      <c r="H205">
        <v>962</v>
      </c>
      <c r="I205">
        <v>3848</v>
      </c>
      <c r="J205" s="2">
        <v>392.94</v>
      </c>
      <c r="K205" s="16">
        <f>Table13[[#This Row],[Profit]]/Table13[[#This Row],[Sales]]</f>
        <v>0.10211538461538461</v>
      </c>
      <c r="L205" s="17" t="str">
        <f t="shared" si="21"/>
        <v>Low</v>
      </c>
      <c r="M205" s="17" t="str">
        <f t="shared" si="22"/>
        <v>Jan</v>
      </c>
      <c r="N205" s="18">
        <f>YEAR(Table13[[#This Row],[Order_Date]])</f>
        <v>2023</v>
      </c>
      <c r="O205" s="18">
        <f>Table13[[#This Row],[Price]]*0.7</f>
        <v>673.4</v>
      </c>
      <c r="P205" s="18">
        <f t="shared" si="23"/>
        <v>1154.4000000000001</v>
      </c>
      <c r="Q205" s="18">
        <f t="shared" si="24"/>
        <v>0.05</v>
      </c>
      <c r="R205" s="18">
        <f t="shared" si="25"/>
        <v>3455.06</v>
      </c>
      <c r="S205" s="18" t="str">
        <f>IF(Table13[[#This Row],[Quantity]]&lt;=3,"Small",IF(Table13[[#This Row],[Quantity]]&lt;=6,"Medium","Bulk"))</f>
        <v>Medium</v>
      </c>
      <c r="T205" s="18" t="str">
        <f t="shared" si="26"/>
        <v>High Demand</v>
      </c>
      <c r="U205" s="18" t="str">
        <f t="shared" si="27"/>
        <v>low Value</v>
      </c>
    </row>
    <row r="206" spans="1:21" x14ac:dyDescent="0.3">
      <c r="A206" t="s">
        <v>214</v>
      </c>
      <c r="B206" s="1">
        <v>44952</v>
      </c>
      <c r="C206" t="s">
        <v>1211</v>
      </c>
      <c r="D206" t="s">
        <v>1217</v>
      </c>
      <c r="E206" t="s">
        <v>1222</v>
      </c>
      <c r="F206" t="s">
        <v>1230</v>
      </c>
      <c r="G206" s="6">
        <v>3</v>
      </c>
      <c r="H206">
        <v>2706</v>
      </c>
      <c r="I206">
        <v>8118</v>
      </c>
      <c r="J206" s="2">
        <v>1592.43</v>
      </c>
      <c r="K206" s="16">
        <f>Table13[[#This Row],[Profit]]/Table13[[#This Row],[Sales]]</f>
        <v>0.19616038433111604</v>
      </c>
      <c r="L206" s="17" t="str">
        <f t="shared" si="21"/>
        <v>Low</v>
      </c>
      <c r="M206" s="17" t="str">
        <f t="shared" si="22"/>
        <v>Jan</v>
      </c>
      <c r="N206" s="18">
        <f>YEAR(Table13[[#This Row],[Order_Date]])</f>
        <v>2023</v>
      </c>
      <c r="O206" s="18">
        <f>Table13[[#This Row],[Price]]*0.7</f>
        <v>1894.1999999999998</v>
      </c>
      <c r="P206" s="18">
        <f t="shared" si="23"/>
        <v>2435.4000000000005</v>
      </c>
      <c r="Q206" s="18">
        <f t="shared" si="24"/>
        <v>0.05</v>
      </c>
      <c r="R206" s="18">
        <f t="shared" si="25"/>
        <v>6525.57</v>
      </c>
      <c r="S206" s="18" t="str">
        <f>IF(Table13[[#This Row],[Quantity]]&lt;=3,"Small",IF(Table13[[#This Row],[Quantity]]&lt;=6,"Medium","Bulk"))</f>
        <v>Small</v>
      </c>
      <c r="T206" s="18" t="str">
        <f t="shared" si="26"/>
        <v>Normal</v>
      </c>
      <c r="U206" s="18" t="str">
        <f t="shared" si="27"/>
        <v>low Value</v>
      </c>
    </row>
    <row r="207" spans="1:21" x14ac:dyDescent="0.3">
      <c r="A207" t="s">
        <v>215</v>
      </c>
      <c r="B207" s="1">
        <v>45211</v>
      </c>
      <c r="C207" t="s">
        <v>1212</v>
      </c>
      <c r="D207" t="s">
        <v>1214</v>
      </c>
      <c r="E207" t="s">
        <v>1222</v>
      </c>
      <c r="F207" t="s">
        <v>1236</v>
      </c>
      <c r="G207" s="6">
        <v>1</v>
      </c>
      <c r="H207">
        <v>238</v>
      </c>
      <c r="I207">
        <v>238</v>
      </c>
      <c r="J207" s="2">
        <v>40.36</v>
      </c>
      <c r="K207" s="16">
        <f>Table13[[#This Row],[Profit]]/Table13[[#This Row],[Sales]]</f>
        <v>0.1695798319327731</v>
      </c>
      <c r="L207" s="17" t="str">
        <f t="shared" si="21"/>
        <v>Low</v>
      </c>
      <c r="M207" s="17" t="str">
        <f t="shared" si="22"/>
        <v>Oct</v>
      </c>
      <c r="N207" s="18">
        <f>YEAR(Table13[[#This Row],[Order_Date]])</f>
        <v>2023</v>
      </c>
      <c r="O207" s="18">
        <f>Table13[[#This Row],[Price]]*0.7</f>
        <v>166.6</v>
      </c>
      <c r="P207" s="18">
        <f t="shared" si="23"/>
        <v>71.400000000000006</v>
      </c>
      <c r="Q207" s="18">
        <f t="shared" si="24"/>
        <v>0.05</v>
      </c>
      <c r="R207" s="18">
        <f t="shared" si="25"/>
        <v>197.64000000000001</v>
      </c>
      <c r="S207" s="18" t="str">
        <f>IF(Table13[[#This Row],[Quantity]]&lt;=3,"Small",IF(Table13[[#This Row],[Quantity]]&lt;=6,"Medium","Bulk"))</f>
        <v>Small</v>
      </c>
      <c r="T207" s="18" t="str">
        <f t="shared" si="26"/>
        <v>High Demand</v>
      </c>
      <c r="U207" s="18" t="str">
        <f t="shared" si="27"/>
        <v>low Value</v>
      </c>
    </row>
    <row r="208" spans="1:21" x14ac:dyDescent="0.3">
      <c r="A208" t="s">
        <v>216</v>
      </c>
      <c r="B208" s="1">
        <v>44953</v>
      </c>
      <c r="C208" t="s">
        <v>1210</v>
      </c>
      <c r="D208" t="s">
        <v>1218</v>
      </c>
      <c r="E208" t="s">
        <v>1221</v>
      </c>
      <c r="F208" t="s">
        <v>1226</v>
      </c>
      <c r="G208" s="6">
        <v>2</v>
      </c>
      <c r="H208">
        <v>3355</v>
      </c>
      <c r="I208">
        <v>6710</v>
      </c>
      <c r="J208" s="2">
        <v>1283.4000000000001</v>
      </c>
      <c r="K208" s="16">
        <f>Table13[[#This Row],[Profit]]/Table13[[#This Row],[Sales]]</f>
        <v>0.1912667660208644</v>
      </c>
      <c r="L208" s="17" t="str">
        <f t="shared" si="21"/>
        <v>Low</v>
      </c>
      <c r="M208" s="17" t="str">
        <f t="shared" si="22"/>
        <v>Jan</v>
      </c>
      <c r="N208" s="18">
        <f>YEAR(Table13[[#This Row],[Order_Date]])</f>
        <v>2023</v>
      </c>
      <c r="O208" s="18">
        <f>Table13[[#This Row],[Price]]*0.7</f>
        <v>2348.5</v>
      </c>
      <c r="P208" s="18">
        <f t="shared" si="23"/>
        <v>2013</v>
      </c>
      <c r="Q208" s="18">
        <f t="shared" si="24"/>
        <v>0.05</v>
      </c>
      <c r="R208" s="18">
        <f t="shared" si="25"/>
        <v>5426.5999999999995</v>
      </c>
      <c r="S208" s="18" t="str">
        <f>IF(Table13[[#This Row],[Quantity]]&lt;=3,"Small",IF(Table13[[#This Row],[Quantity]]&lt;=6,"Medium","Bulk"))</f>
        <v>Small</v>
      </c>
      <c r="T208" s="18" t="str">
        <f t="shared" si="26"/>
        <v>Normal</v>
      </c>
      <c r="U208" s="18" t="str">
        <f t="shared" si="27"/>
        <v>low Value</v>
      </c>
    </row>
    <row r="209" spans="1:21" x14ac:dyDescent="0.3">
      <c r="A209" t="s">
        <v>217</v>
      </c>
      <c r="B209" s="1">
        <v>45283</v>
      </c>
      <c r="C209" t="s">
        <v>1210</v>
      </c>
      <c r="D209" t="s">
        <v>1216</v>
      </c>
      <c r="E209" t="s">
        <v>1220</v>
      </c>
      <c r="F209" t="s">
        <v>1224</v>
      </c>
      <c r="G209" s="6">
        <v>8</v>
      </c>
      <c r="H209">
        <v>1188</v>
      </c>
      <c r="I209">
        <v>9504</v>
      </c>
      <c r="J209" s="2">
        <v>2284.9</v>
      </c>
      <c r="K209" s="16">
        <f>Table13[[#This Row],[Profit]]/Table13[[#This Row],[Sales]]</f>
        <v>0.24041456228956229</v>
      </c>
      <c r="L209" s="17" t="str">
        <f t="shared" si="21"/>
        <v>Low</v>
      </c>
      <c r="M209" s="17" t="str">
        <f t="shared" si="22"/>
        <v>Dec</v>
      </c>
      <c r="N209" s="18">
        <f>YEAR(Table13[[#This Row],[Order_Date]])</f>
        <v>2023</v>
      </c>
      <c r="O209" s="18">
        <f>Table13[[#This Row],[Price]]*0.7</f>
        <v>831.59999999999991</v>
      </c>
      <c r="P209" s="18">
        <f t="shared" si="23"/>
        <v>2851.2000000000007</v>
      </c>
      <c r="Q209" s="18">
        <f t="shared" si="24"/>
        <v>0.1</v>
      </c>
      <c r="R209" s="18">
        <f t="shared" si="25"/>
        <v>7219.1</v>
      </c>
      <c r="S209" s="18" t="str">
        <f>IF(Table13[[#This Row],[Quantity]]&lt;=3,"Small",IF(Table13[[#This Row],[Quantity]]&lt;=6,"Medium","Bulk"))</f>
        <v>Bulk</v>
      </c>
      <c r="T209" s="18" t="str">
        <f t="shared" si="26"/>
        <v>Normal</v>
      </c>
      <c r="U209" s="18" t="str">
        <f t="shared" si="27"/>
        <v>low Value</v>
      </c>
    </row>
    <row r="210" spans="1:21" x14ac:dyDescent="0.3">
      <c r="A210" t="s">
        <v>218</v>
      </c>
      <c r="B210" s="1">
        <v>44941</v>
      </c>
      <c r="C210" t="s">
        <v>1211</v>
      </c>
      <c r="D210" t="s">
        <v>1215</v>
      </c>
      <c r="E210" t="s">
        <v>1220</v>
      </c>
      <c r="F210" t="s">
        <v>1237</v>
      </c>
      <c r="G210" s="6">
        <v>9</v>
      </c>
      <c r="H210">
        <v>4865</v>
      </c>
      <c r="I210">
        <v>43785</v>
      </c>
      <c r="J210" s="2">
        <v>10157.98</v>
      </c>
      <c r="K210" s="16">
        <f>Table13[[#This Row],[Profit]]/Table13[[#This Row],[Sales]]</f>
        <v>0.23199680255795363</v>
      </c>
      <c r="L210" s="17" t="str">
        <f t="shared" si="21"/>
        <v>High</v>
      </c>
      <c r="M210" s="17" t="str">
        <f t="shared" si="22"/>
        <v>Jan</v>
      </c>
      <c r="N210" s="18">
        <f>YEAR(Table13[[#This Row],[Order_Date]])</f>
        <v>2023</v>
      </c>
      <c r="O210" s="18">
        <f>Table13[[#This Row],[Price]]*0.7</f>
        <v>3405.5</v>
      </c>
      <c r="P210" s="18">
        <f t="shared" si="23"/>
        <v>13135.5</v>
      </c>
      <c r="Q210" s="18">
        <f t="shared" si="24"/>
        <v>0.1</v>
      </c>
      <c r="R210" s="18">
        <f t="shared" si="25"/>
        <v>33627.019999999997</v>
      </c>
      <c r="S210" s="18" t="str">
        <f>IF(Table13[[#This Row],[Quantity]]&lt;=3,"Small",IF(Table13[[#This Row],[Quantity]]&lt;=6,"Medium","Bulk"))</f>
        <v>Bulk</v>
      </c>
      <c r="T210" s="18" t="str">
        <f t="shared" si="26"/>
        <v>Normal</v>
      </c>
      <c r="U210" s="18" t="str">
        <f t="shared" si="27"/>
        <v>High Value</v>
      </c>
    </row>
    <row r="211" spans="1:21" x14ac:dyDescent="0.3">
      <c r="A211" t="s">
        <v>219</v>
      </c>
      <c r="B211" s="1">
        <v>45200</v>
      </c>
      <c r="C211" t="s">
        <v>1210</v>
      </c>
      <c r="D211" t="s">
        <v>1216</v>
      </c>
      <c r="E211" t="s">
        <v>1219</v>
      </c>
      <c r="F211" t="s">
        <v>1223</v>
      </c>
      <c r="G211" s="6">
        <v>1</v>
      </c>
      <c r="H211">
        <v>992</v>
      </c>
      <c r="I211">
        <v>992</v>
      </c>
      <c r="J211" s="2">
        <v>199.92</v>
      </c>
      <c r="K211" s="16">
        <f>Table13[[#This Row],[Profit]]/Table13[[#This Row],[Sales]]</f>
        <v>0.20153225806451611</v>
      </c>
      <c r="L211" s="17" t="str">
        <f t="shared" si="21"/>
        <v>Low</v>
      </c>
      <c r="M211" s="17" t="str">
        <f t="shared" si="22"/>
        <v>Oct</v>
      </c>
      <c r="N211" s="18">
        <f>YEAR(Table13[[#This Row],[Order_Date]])</f>
        <v>2023</v>
      </c>
      <c r="O211" s="18">
        <f>Table13[[#This Row],[Price]]*0.7</f>
        <v>694.4</v>
      </c>
      <c r="P211" s="18">
        <f t="shared" si="23"/>
        <v>297.60000000000002</v>
      </c>
      <c r="Q211" s="18">
        <f t="shared" si="24"/>
        <v>0.05</v>
      </c>
      <c r="R211" s="18">
        <f t="shared" si="25"/>
        <v>792.08</v>
      </c>
      <c r="S211" s="18" t="str">
        <f>IF(Table13[[#This Row],[Quantity]]&lt;=3,"Small",IF(Table13[[#This Row],[Quantity]]&lt;=6,"Medium","Bulk"))</f>
        <v>Small</v>
      </c>
      <c r="T211" s="18" t="str">
        <f t="shared" si="26"/>
        <v>Normal</v>
      </c>
      <c r="U211" s="18" t="str">
        <f t="shared" si="27"/>
        <v>low Value</v>
      </c>
    </row>
    <row r="212" spans="1:21" x14ac:dyDescent="0.3">
      <c r="A212" t="s">
        <v>220</v>
      </c>
      <c r="B212" s="1">
        <v>45235</v>
      </c>
      <c r="C212" t="s">
        <v>1213</v>
      </c>
      <c r="D212" t="s">
        <v>1214</v>
      </c>
      <c r="E212" t="s">
        <v>1221</v>
      </c>
      <c r="F212" t="s">
        <v>1235</v>
      </c>
      <c r="G212" s="6">
        <v>8</v>
      </c>
      <c r="H212">
        <v>1184</v>
      </c>
      <c r="I212">
        <v>9472</v>
      </c>
      <c r="J212" s="2">
        <v>2156.4499999999998</v>
      </c>
      <c r="K212" s="16">
        <f>Table13[[#This Row],[Profit]]/Table13[[#This Row],[Sales]]</f>
        <v>0.22766575168918918</v>
      </c>
      <c r="L212" s="17" t="str">
        <f t="shared" si="21"/>
        <v>Low</v>
      </c>
      <c r="M212" s="17" t="str">
        <f t="shared" si="22"/>
        <v>Nov</v>
      </c>
      <c r="N212" s="18">
        <f>YEAR(Table13[[#This Row],[Order_Date]])</f>
        <v>2023</v>
      </c>
      <c r="O212" s="18">
        <f>Table13[[#This Row],[Price]]*0.7</f>
        <v>828.8</v>
      </c>
      <c r="P212" s="18">
        <f t="shared" si="23"/>
        <v>2841.6000000000004</v>
      </c>
      <c r="Q212" s="18">
        <f t="shared" si="24"/>
        <v>0.1</v>
      </c>
      <c r="R212" s="18">
        <f t="shared" si="25"/>
        <v>7315.5500000000011</v>
      </c>
      <c r="S212" s="18" t="str">
        <f>IF(Table13[[#This Row],[Quantity]]&lt;=3,"Small",IF(Table13[[#This Row],[Quantity]]&lt;=6,"Medium","Bulk"))</f>
        <v>Bulk</v>
      </c>
      <c r="T212" s="18" t="str">
        <f t="shared" si="26"/>
        <v>Normal</v>
      </c>
      <c r="U212" s="18" t="str">
        <f t="shared" si="27"/>
        <v>low Value</v>
      </c>
    </row>
    <row r="213" spans="1:21" x14ac:dyDescent="0.3">
      <c r="A213" t="s">
        <v>221</v>
      </c>
      <c r="B213" s="1">
        <v>45107</v>
      </c>
      <c r="C213" t="s">
        <v>1213</v>
      </c>
      <c r="D213" t="s">
        <v>1216</v>
      </c>
      <c r="E213" t="s">
        <v>1220</v>
      </c>
      <c r="F213" t="s">
        <v>1225</v>
      </c>
      <c r="G213" s="6">
        <v>4</v>
      </c>
      <c r="H213">
        <v>4644</v>
      </c>
      <c r="I213">
        <v>18576</v>
      </c>
      <c r="J213" s="2">
        <v>1900.54</v>
      </c>
      <c r="K213" s="16">
        <f>Table13[[#This Row],[Profit]]/Table13[[#This Row],[Sales]]</f>
        <v>0.10231158484065461</v>
      </c>
      <c r="L213" s="17" t="str">
        <f t="shared" si="21"/>
        <v>Medium</v>
      </c>
      <c r="M213" s="17" t="str">
        <f t="shared" si="22"/>
        <v>Jun</v>
      </c>
      <c r="N213" s="18">
        <f>YEAR(Table13[[#This Row],[Order_Date]])</f>
        <v>2023</v>
      </c>
      <c r="O213" s="18">
        <f>Table13[[#This Row],[Price]]*0.7</f>
        <v>3250.7999999999997</v>
      </c>
      <c r="P213" s="18">
        <f t="shared" si="23"/>
        <v>5572.8000000000011</v>
      </c>
      <c r="Q213" s="18">
        <f t="shared" si="24"/>
        <v>0.05</v>
      </c>
      <c r="R213" s="18">
        <f t="shared" si="25"/>
        <v>16675.46</v>
      </c>
      <c r="S213" s="18" t="str">
        <f>IF(Table13[[#This Row],[Quantity]]&lt;=3,"Small",IF(Table13[[#This Row],[Quantity]]&lt;=6,"Medium","Bulk"))</f>
        <v>Medium</v>
      </c>
      <c r="T213" s="18" t="str">
        <f t="shared" si="26"/>
        <v>Normal</v>
      </c>
      <c r="U213" s="18" t="str">
        <f t="shared" si="27"/>
        <v>Medium Value</v>
      </c>
    </row>
    <row r="214" spans="1:21" x14ac:dyDescent="0.3">
      <c r="A214" t="s">
        <v>222</v>
      </c>
      <c r="B214" s="1">
        <v>45132</v>
      </c>
      <c r="C214" t="s">
        <v>1210</v>
      </c>
      <c r="D214" t="s">
        <v>1218</v>
      </c>
      <c r="E214" t="s">
        <v>1220</v>
      </c>
      <c r="F214" t="s">
        <v>1237</v>
      </c>
      <c r="G214" s="6">
        <v>4</v>
      </c>
      <c r="H214">
        <v>726</v>
      </c>
      <c r="I214">
        <v>2904</v>
      </c>
      <c r="J214" s="2">
        <v>470.04</v>
      </c>
      <c r="K214" s="16">
        <f>Table13[[#This Row],[Profit]]/Table13[[#This Row],[Sales]]</f>
        <v>0.16185950413223141</v>
      </c>
      <c r="L214" s="17" t="str">
        <f t="shared" si="21"/>
        <v>Low</v>
      </c>
      <c r="M214" s="17" t="str">
        <f t="shared" si="22"/>
        <v>Jul</v>
      </c>
      <c r="N214" s="18">
        <f>YEAR(Table13[[#This Row],[Order_Date]])</f>
        <v>2023</v>
      </c>
      <c r="O214" s="18">
        <f>Table13[[#This Row],[Price]]*0.7</f>
        <v>508.2</v>
      </c>
      <c r="P214" s="18">
        <f t="shared" si="23"/>
        <v>871.2</v>
      </c>
      <c r="Q214" s="18">
        <f t="shared" si="24"/>
        <v>0.05</v>
      </c>
      <c r="R214" s="18">
        <f t="shared" si="25"/>
        <v>2433.96</v>
      </c>
      <c r="S214" s="18" t="str">
        <f>IF(Table13[[#This Row],[Quantity]]&lt;=3,"Small",IF(Table13[[#This Row],[Quantity]]&lt;=6,"Medium","Bulk"))</f>
        <v>Medium</v>
      </c>
      <c r="T214" s="18" t="str">
        <f t="shared" si="26"/>
        <v>Normal</v>
      </c>
      <c r="U214" s="18" t="str">
        <f t="shared" si="27"/>
        <v>low Value</v>
      </c>
    </row>
    <row r="215" spans="1:21" x14ac:dyDescent="0.3">
      <c r="A215" t="s">
        <v>223</v>
      </c>
      <c r="B215" s="1">
        <v>45245</v>
      </c>
      <c r="C215" t="s">
        <v>1211</v>
      </c>
      <c r="D215" t="s">
        <v>1215</v>
      </c>
      <c r="E215" t="s">
        <v>1220</v>
      </c>
      <c r="F215" t="s">
        <v>1224</v>
      </c>
      <c r="G215" s="6">
        <v>4</v>
      </c>
      <c r="H215">
        <v>1963</v>
      </c>
      <c r="I215">
        <v>7852</v>
      </c>
      <c r="J215" s="2">
        <v>1373.55</v>
      </c>
      <c r="K215" s="16">
        <f>Table13[[#This Row],[Profit]]/Table13[[#This Row],[Sales]]</f>
        <v>0.17492995415180845</v>
      </c>
      <c r="L215" s="17" t="str">
        <f t="shared" si="21"/>
        <v>Low</v>
      </c>
      <c r="M215" s="17" t="str">
        <f t="shared" si="22"/>
        <v>Nov</v>
      </c>
      <c r="N215" s="18">
        <f>YEAR(Table13[[#This Row],[Order_Date]])</f>
        <v>2023</v>
      </c>
      <c r="O215" s="18">
        <f>Table13[[#This Row],[Price]]*0.7</f>
        <v>1374.1</v>
      </c>
      <c r="P215" s="18">
        <f t="shared" si="23"/>
        <v>2355.6000000000004</v>
      </c>
      <c r="Q215" s="18">
        <f t="shared" si="24"/>
        <v>0.05</v>
      </c>
      <c r="R215" s="18">
        <f t="shared" si="25"/>
        <v>6478.45</v>
      </c>
      <c r="S215" s="18" t="str">
        <f>IF(Table13[[#This Row],[Quantity]]&lt;=3,"Small",IF(Table13[[#This Row],[Quantity]]&lt;=6,"Medium","Bulk"))</f>
        <v>Medium</v>
      </c>
      <c r="T215" s="18" t="str">
        <f t="shared" si="26"/>
        <v>Normal</v>
      </c>
      <c r="U215" s="18" t="str">
        <f t="shared" si="27"/>
        <v>low Value</v>
      </c>
    </row>
    <row r="216" spans="1:21" x14ac:dyDescent="0.3">
      <c r="A216" t="s">
        <v>224</v>
      </c>
      <c r="B216" s="1">
        <v>45131</v>
      </c>
      <c r="C216" t="s">
        <v>1212</v>
      </c>
      <c r="D216" t="s">
        <v>1215</v>
      </c>
      <c r="E216" t="s">
        <v>1222</v>
      </c>
      <c r="F216" t="s">
        <v>1230</v>
      </c>
      <c r="G216" s="6">
        <v>8</v>
      </c>
      <c r="H216">
        <v>783</v>
      </c>
      <c r="I216">
        <v>6264</v>
      </c>
      <c r="J216" s="2">
        <v>831.62</v>
      </c>
      <c r="K216" s="16">
        <f>Table13[[#This Row],[Profit]]/Table13[[#This Row],[Sales]]</f>
        <v>0.1327618135376756</v>
      </c>
      <c r="L216" s="17" t="str">
        <f t="shared" si="21"/>
        <v>Low</v>
      </c>
      <c r="M216" s="17" t="str">
        <f t="shared" si="22"/>
        <v>Jul</v>
      </c>
      <c r="N216" s="18">
        <f>YEAR(Table13[[#This Row],[Order_Date]])</f>
        <v>2023</v>
      </c>
      <c r="O216" s="18">
        <f>Table13[[#This Row],[Price]]*0.7</f>
        <v>548.09999999999991</v>
      </c>
      <c r="P216" s="18">
        <f t="shared" si="23"/>
        <v>1879.2000000000007</v>
      </c>
      <c r="Q216" s="18">
        <f t="shared" si="24"/>
        <v>0.1</v>
      </c>
      <c r="R216" s="18">
        <f t="shared" si="25"/>
        <v>5432.38</v>
      </c>
      <c r="S216" s="18" t="str">
        <f>IF(Table13[[#This Row],[Quantity]]&lt;=3,"Small",IF(Table13[[#This Row],[Quantity]]&lt;=6,"Medium","Bulk"))</f>
        <v>Bulk</v>
      </c>
      <c r="T216" s="18" t="str">
        <f t="shared" si="26"/>
        <v>High Demand</v>
      </c>
      <c r="U216" s="18" t="str">
        <f t="shared" si="27"/>
        <v>low Value</v>
      </c>
    </row>
    <row r="217" spans="1:21" x14ac:dyDescent="0.3">
      <c r="A217" t="s">
        <v>225</v>
      </c>
      <c r="B217" s="1">
        <v>45092</v>
      </c>
      <c r="C217" t="s">
        <v>1213</v>
      </c>
      <c r="D217" t="s">
        <v>1214</v>
      </c>
      <c r="E217" t="s">
        <v>1220</v>
      </c>
      <c r="F217" t="s">
        <v>1225</v>
      </c>
      <c r="G217" s="6">
        <v>2</v>
      </c>
      <c r="H217">
        <v>1589</v>
      </c>
      <c r="I217">
        <v>3178</v>
      </c>
      <c r="J217" s="2">
        <v>780.83</v>
      </c>
      <c r="K217" s="16">
        <f>Table13[[#This Row],[Profit]]/Table13[[#This Row],[Sales]]</f>
        <v>0.24569855254877282</v>
      </c>
      <c r="L217" s="17" t="str">
        <f t="shared" si="21"/>
        <v>Low</v>
      </c>
      <c r="M217" s="17" t="str">
        <f t="shared" si="22"/>
        <v>Jun</v>
      </c>
      <c r="N217" s="18">
        <f>YEAR(Table13[[#This Row],[Order_Date]])</f>
        <v>2023</v>
      </c>
      <c r="O217" s="18">
        <f>Table13[[#This Row],[Price]]*0.7</f>
        <v>1112.3</v>
      </c>
      <c r="P217" s="18">
        <f t="shared" si="23"/>
        <v>953.40000000000009</v>
      </c>
      <c r="Q217" s="18">
        <f t="shared" si="24"/>
        <v>0.05</v>
      </c>
      <c r="R217" s="18">
        <f t="shared" si="25"/>
        <v>2397.17</v>
      </c>
      <c r="S217" s="18" t="str">
        <f>IF(Table13[[#This Row],[Quantity]]&lt;=3,"Small",IF(Table13[[#This Row],[Quantity]]&lt;=6,"Medium","Bulk"))</f>
        <v>Small</v>
      </c>
      <c r="T217" s="18" t="str">
        <f t="shared" si="26"/>
        <v>Normal</v>
      </c>
      <c r="U217" s="18" t="str">
        <f t="shared" si="27"/>
        <v>low Value</v>
      </c>
    </row>
    <row r="218" spans="1:21" x14ac:dyDescent="0.3">
      <c r="A218" t="s">
        <v>226</v>
      </c>
      <c r="B218" s="1">
        <v>45193</v>
      </c>
      <c r="C218" t="s">
        <v>1211</v>
      </c>
      <c r="D218" t="s">
        <v>1214</v>
      </c>
      <c r="E218" t="s">
        <v>1222</v>
      </c>
      <c r="F218" t="s">
        <v>1234</v>
      </c>
      <c r="G218" s="6">
        <v>1</v>
      </c>
      <c r="H218">
        <v>2243</v>
      </c>
      <c r="I218">
        <v>2243</v>
      </c>
      <c r="J218" s="2">
        <v>476.8</v>
      </c>
      <c r="K218" s="16">
        <f>Table13[[#This Row],[Profit]]/Table13[[#This Row],[Sales]]</f>
        <v>0.2125724476148016</v>
      </c>
      <c r="L218" s="17" t="str">
        <f t="shared" si="21"/>
        <v>Low</v>
      </c>
      <c r="M218" s="17" t="str">
        <f t="shared" si="22"/>
        <v>Sep</v>
      </c>
      <c r="N218" s="18">
        <f>YEAR(Table13[[#This Row],[Order_Date]])</f>
        <v>2023</v>
      </c>
      <c r="O218" s="18">
        <f>Table13[[#This Row],[Price]]*0.7</f>
        <v>1570.1</v>
      </c>
      <c r="P218" s="18">
        <f t="shared" si="23"/>
        <v>672.90000000000009</v>
      </c>
      <c r="Q218" s="18">
        <f t="shared" si="24"/>
        <v>0.05</v>
      </c>
      <c r="R218" s="18">
        <f t="shared" si="25"/>
        <v>1766.1999999999998</v>
      </c>
      <c r="S218" s="18" t="str">
        <f>IF(Table13[[#This Row],[Quantity]]&lt;=3,"Small",IF(Table13[[#This Row],[Quantity]]&lt;=6,"Medium","Bulk"))</f>
        <v>Small</v>
      </c>
      <c r="T218" s="18" t="str">
        <f t="shared" si="26"/>
        <v>Normal</v>
      </c>
      <c r="U218" s="18" t="str">
        <f t="shared" si="27"/>
        <v>low Value</v>
      </c>
    </row>
    <row r="219" spans="1:21" x14ac:dyDescent="0.3">
      <c r="A219" t="s">
        <v>227</v>
      </c>
      <c r="B219" s="1">
        <v>45006</v>
      </c>
      <c r="C219" t="s">
        <v>1211</v>
      </c>
      <c r="D219" t="s">
        <v>1216</v>
      </c>
      <c r="E219" t="s">
        <v>1221</v>
      </c>
      <c r="F219" t="s">
        <v>1231</v>
      </c>
      <c r="G219" s="6">
        <v>1</v>
      </c>
      <c r="H219">
        <v>3136</v>
      </c>
      <c r="I219">
        <v>3136</v>
      </c>
      <c r="J219" s="2">
        <v>555.24</v>
      </c>
      <c r="K219" s="16">
        <f>Table13[[#This Row],[Profit]]/Table13[[#This Row],[Sales]]</f>
        <v>0.17705357142857142</v>
      </c>
      <c r="L219" s="17" t="str">
        <f t="shared" si="21"/>
        <v>Low</v>
      </c>
      <c r="M219" s="17" t="str">
        <f t="shared" si="22"/>
        <v>Mar</v>
      </c>
      <c r="N219" s="18">
        <f>YEAR(Table13[[#This Row],[Order_Date]])</f>
        <v>2023</v>
      </c>
      <c r="O219" s="18">
        <f>Table13[[#This Row],[Price]]*0.7</f>
        <v>2195.1999999999998</v>
      </c>
      <c r="P219" s="18">
        <f t="shared" si="23"/>
        <v>940.80000000000018</v>
      </c>
      <c r="Q219" s="18">
        <f t="shared" si="24"/>
        <v>0.05</v>
      </c>
      <c r="R219" s="18">
        <f t="shared" si="25"/>
        <v>2580.7599999999998</v>
      </c>
      <c r="S219" s="18" t="str">
        <f>IF(Table13[[#This Row],[Quantity]]&lt;=3,"Small",IF(Table13[[#This Row],[Quantity]]&lt;=6,"Medium","Bulk"))</f>
        <v>Small</v>
      </c>
      <c r="T219" s="18" t="str">
        <f t="shared" si="26"/>
        <v>Normal</v>
      </c>
      <c r="U219" s="18" t="str">
        <f t="shared" si="27"/>
        <v>low Value</v>
      </c>
    </row>
    <row r="220" spans="1:21" x14ac:dyDescent="0.3">
      <c r="A220" t="s">
        <v>228</v>
      </c>
      <c r="B220" s="1">
        <v>44928</v>
      </c>
      <c r="C220" t="s">
        <v>1212</v>
      </c>
      <c r="D220" t="s">
        <v>1218</v>
      </c>
      <c r="E220" t="s">
        <v>1221</v>
      </c>
      <c r="F220" t="s">
        <v>1231</v>
      </c>
      <c r="G220" s="6">
        <v>8</v>
      </c>
      <c r="H220">
        <v>4537</v>
      </c>
      <c r="I220">
        <v>36296</v>
      </c>
      <c r="J220" s="2">
        <v>4918.05</v>
      </c>
      <c r="K220" s="16">
        <f>Table13[[#This Row],[Profit]]/Table13[[#This Row],[Sales]]</f>
        <v>0.13549840202777166</v>
      </c>
      <c r="L220" s="17" t="str">
        <f t="shared" si="21"/>
        <v>High</v>
      </c>
      <c r="M220" s="17" t="str">
        <f t="shared" si="22"/>
        <v>Jan</v>
      </c>
      <c r="N220" s="18">
        <f>YEAR(Table13[[#This Row],[Order_Date]])</f>
        <v>2023</v>
      </c>
      <c r="O220" s="18">
        <f>Table13[[#This Row],[Price]]*0.7</f>
        <v>3175.8999999999996</v>
      </c>
      <c r="P220" s="18">
        <f t="shared" si="23"/>
        <v>10888.800000000003</v>
      </c>
      <c r="Q220" s="18">
        <f t="shared" si="24"/>
        <v>0.1</v>
      </c>
      <c r="R220" s="18">
        <f t="shared" si="25"/>
        <v>31377.95</v>
      </c>
      <c r="S220" s="18" t="str">
        <f>IF(Table13[[#This Row],[Quantity]]&lt;=3,"Small",IF(Table13[[#This Row],[Quantity]]&lt;=6,"Medium","Bulk"))</f>
        <v>Bulk</v>
      </c>
      <c r="T220" s="18" t="str">
        <f t="shared" si="26"/>
        <v>High Demand</v>
      </c>
      <c r="U220" s="18" t="str">
        <f t="shared" si="27"/>
        <v>High Value</v>
      </c>
    </row>
    <row r="221" spans="1:21" x14ac:dyDescent="0.3">
      <c r="A221" t="s">
        <v>229</v>
      </c>
      <c r="B221" s="1">
        <v>45092</v>
      </c>
      <c r="C221" t="s">
        <v>1210</v>
      </c>
      <c r="D221" t="s">
        <v>1217</v>
      </c>
      <c r="E221" t="s">
        <v>1222</v>
      </c>
      <c r="F221" t="s">
        <v>1234</v>
      </c>
      <c r="G221" s="6">
        <v>1</v>
      </c>
      <c r="H221">
        <v>1117</v>
      </c>
      <c r="I221">
        <v>1117</v>
      </c>
      <c r="J221" s="2">
        <v>150.52000000000001</v>
      </c>
      <c r="K221" s="16">
        <f>Table13[[#This Row],[Profit]]/Table13[[#This Row],[Sales]]</f>
        <v>0.13475380483437779</v>
      </c>
      <c r="L221" s="17" t="str">
        <f t="shared" si="21"/>
        <v>Low</v>
      </c>
      <c r="M221" s="17" t="str">
        <f t="shared" si="22"/>
        <v>Jun</v>
      </c>
      <c r="N221" s="18">
        <f>YEAR(Table13[[#This Row],[Order_Date]])</f>
        <v>2023</v>
      </c>
      <c r="O221" s="18">
        <f>Table13[[#This Row],[Price]]*0.7</f>
        <v>781.9</v>
      </c>
      <c r="P221" s="18">
        <f t="shared" si="23"/>
        <v>335.1</v>
      </c>
      <c r="Q221" s="18">
        <f t="shared" si="24"/>
        <v>0.05</v>
      </c>
      <c r="R221" s="18">
        <f t="shared" si="25"/>
        <v>966.48</v>
      </c>
      <c r="S221" s="18" t="str">
        <f>IF(Table13[[#This Row],[Quantity]]&lt;=3,"Small",IF(Table13[[#This Row],[Quantity]]&lt;=6,"Medium","Bulk"))</f>
        <v>Small</v>
      </c>
      <c r="T221" s="18" t="str">
        <f t="shared" si="26"/>
        <v>Normal</v>
      </c>
      <c r="U221" s="18" t="str">
        <f t="shared" si="27"/>
        <v>low Value</v>
      </c>
    </row>
    <row r="222" spans="1:21" x14ac:dyDescent="0.3">
      <c r="A222" t="s">
        <v>230</v>
      </c>
      <c r="B222" s="1">
        <v>45231</v>
      </c>
      <c r="C222" t="s">
        <v>1213</v>
      </c>
      <c r="D222" t="s">
        <v>1214</v>
      </c>
      <c r="E222" t="s">
        <v>1220</v>
      </c>
      <c r="F222" t="s">
        <v>1225</v>
      </c>
      <c r="G222" s="6">
        <v>2</v>
      </c>
      <c r="H222">
        <v>4438</v>
      </c>
      <c r="I222">
        <v>8876</v>
      </c>
      <c r="J222" s="2">
        <v>1012.09</v>
      </c>
      <c r="K222" s="16">
        <f>Table13[[#This Row],[Profit]]/Table13[[#This Row],[Sales]]</f>
        <v>0.11402546191978369</v>
      </c>
      <c r="L222" s="17" t="str">
        <f t="shared" si="21"/>
        <v>Low</v>
      </c>
      <c r="M222" s="17" t="str">
        <f t="shared" si="22"/>
        <v>Nov</v>
      </c>
      <c r="N222" s="18">
        <f>YEAR(Table13[[#This Row],[Order_Date]])</f>
        <v>2023</v>
      </c>
      <c r="O222" s="18">
        <f>Table13[[#This Row],[Price]]*0.7</f>
        <v>3106.6</v>
      </c>
      <c r="P222" s="18">
        <f t="shared" si="23"/>
        <v>2662.8</v>
      </c>
      <c r="Q222" s="18">
        <f t="shared" si="24"/>
        <v>0.05</v>
      </c>
      <c r="R222" s="18">
        <f t="shared" si="25"/>
        <v>7863.91</v>
      </c>
      <c r="S222" s="18" t="str">
        <f>IF(Table13[[#This Row],[Quantity]]&lt;=3,"Small",IF(Table13[[#This Row],[Quantity]]&lt;=6,"Medium","Bulk"))</f>
        <v>Small</v>
      </c>
      <c r="T222" s="18" t="str">
        <f t="shared" si="26"/>
        <v>Normal</v>
      </c>
      <c r="U222" s="18" t="str">
        <f t="shared" si="27"/>
        <v>low Value</v>
      </c>
    </row>
    <row r="223" spans="1:21" x14ac:dyDescent="0.3">
      <c r="A223" t="s">
        <v>231</v>
      </c>
      <c r="B223" s="1">
        <v>45285</v>
      </c>
      <c r="C223" t="s">
        <v>1210</v>
      </c>
      <c r="D223" t="s">
        <v>1218</v>
      </c>
      <c r="E223" t="s">
        <v>1222</v>
      </c>
      <c r="F223" t="s">
        <v>1227</v>
      </c>
      <c r="G223" s="6">
        <v>6</v>
      </c>
      <c r="H223">
        <v>2256</v>
      </c>
      <c r="I223">
        <v>13536</v>
      </c>
      <c r="J223" s="2">
        <v>3237.22</v>
      </c>
      <c r="K223" s="16">
        <f>Table13[[#This Row],[Profit]]/Table13[[#This Row],[Sales]]</f>
        <v>0.23915632387706853</v>
      </c>
      <c r="L223" s="17" t="str">
        <f t="shared" si="21"/>
        <v>Medium</v>
      </c>
      <c r="M223" s="17" t="str">
        <f t="shared" si="22"/>
        <v>Dec</v>
      </c>
      <c r="N223" s="18">
        <f>YEAR(Table13[[#This Row],[Order_Date]])</f>
        <v>2023</v>
      </c>
      <c r="O223" s="18">
        <f>Table13[[#This Row],[Price]]*0.7</f>
        <v>1579.1999999999998</v>
      </c>
      <c r="P223" s="18">
        <f t="shared" si="23"/>
        <v>4060.8000000000011</v>
      </c>
      <c r="Q223" s="18">
        <f t="shared" si="24"/>
        <v>0.1</v>
      </c>
      <c r="R223" s="18">
        <f t="shared" si="25"/>
        <v>10298.780000000001</v>
      </c>
      <c r="S223" s="18" t="str">
        <f>IF(Table13[[#This Row],[Quantity]]&lt;=3,"Small",IF(Table13[[#This Row],[Quantity]]&lt;=6,"Medium","Bulk"))</f>
        <v>Medium</v>
      </c>
      <c r="T223" s="18" t="str">
        <f t="shared" si="26"/>
        <v>Normal</v>
      </c>
      <c r="U223" s="18" t="str">
        <f t="shared" si="27"/>
        <v>Medium Value</v>
      </c>
    </row>
    <row r="224" spans="1:21" x14ac:dyDescent="0.3">
      <c r="A224" t="s">
        <v>232</v>
      </c>
      <c r="B224" s="1">
        <v>45244</v>
      </c>
      <c r="C224" t="s">
        <v>1213</v>
      </c>
      <c r="D224" t="s">
        <v>1214</v>
      </c>
      <c r="E224" t="s">
        <v>1220</v>
      </c>
      <c r="F224" t="s">
        <v>1224</v>
      </c>
      <c r="G224" s="6">
        <v>8</v>
      </c>
      <c r="H224">
        <v>4111</v>
      </c>
      <c r="I224">
        <v>32888</v>
      </c>
      <c r="J224" s="2">
        <v>6623.47</v>
      </c>
      <c r="K224" s="16">
        <f>Table13[[#This Row],[Profit]]/Table13[[#This Row],[Sales]]</f>
        <v>0.20139473364144977</v>
      </c>
      <c r="L224" s="17" t="str">
        <f t="shared" si="21"/>
        <v>High</v>
      </c>
      <c r="M224" s="17" t="str">
        <f t="shared" si="22"/>
        <v>Nov</v>
      </c>
      <c r="N224" s="18">
        <f>YEAR(Table13[[#This Row],[Order_Date]])</f>
        <v>2023</v>
      </c>
      <c r="O224" s="18">
        <f>Table13[[#This Row],[Price]]*0.7</f>
        <v>2877.7</v>
      </c>
      <c r="P224" s="18">
        <f t="shared" si="23"/>
        <v>9866.4000000000015</v>
      </c>
      <c r="Q224" s="18">
        <f t="shared" si="24"/>
        <v>0.1</v>
      </c>
      <c r="R224" s="18">
        <f t="shared" si="25"/>
        <v>26264.53</v>
      </c>
      <c r="S224" s="18" t="str">
        <f>IF(Table13[[#This Row],[Quantity]]&lt;=3,"Small",IF(Table13[[#This Row],[Quantity]]&lt;=6,"Medium","Bulk"))</f>
        <v>Bulk</v>
      </c>
      <c r="T224" s="18" t="str">
        <f t="shared" si="26"/>
        <v>Normal</v>
      </c>
      <c r="U224" s="18" t="str">
        <f t="shared" si="27"/>
        <v>High Value</v>
      </c>
    </row>
    <row r="225" spans="1:21" x14ac:dyDescent="0.3">
      <c r="A225" t="s">
        <v>233</v>
      </c>
      <c r="B225" s="1">
        <v>45240</v>
      </c>
      <c r="C225" t="s">
        <v>1211</v>
      </c>
      <c r="D225" t="s">
        <v>1217</v>
      </c>
      <c r="E225" t="s">
        <v>1219</v>
      </c>
      <c r="F225" t="s">
        <v>1238</v>
      </c>
      <c r="G225" s="6">
        <v>4</v>
      </c>
      <c r="H225">
        <v>407</v>
      </c>
      <c r="I225">
        <v>1628</v>
      </c>
      <c r="J225" s="2">
        <v>281.79000000000002</v>
      </c>
      <c r="K225" s="16">
        <f>Table13[[#This Row],[Profit]]/Table13[[#This Row],[Sales]]</f>
        <v>0.17308968058968061</v>
      </c>
      <c r="L225" s="17" t="str">
        <f t="shared" si="21"/>
        <v>Low</v>
      </c>
      <c r="M225" s="17" t="str">
        <f t="shared" si="22"/>
        <v>Nov</v>
      </c>
      <c r="N225" s="18">
        <f>YEAR(Table13[[#This Row],[Order_Date]])</f>
        <v>2023</v>
      </c>
      <c r="O225" s="18">
        <f>Table13[[#This Row],[Price]]*0.7</f>
        <v>284.89999999999998</v>
      </c>
      <c r="P225" s="18">
        <f t="shared" si="23"/>
        <v>488.40000000000009</v>
      </c>
      <c r="Q225" s="18">
        <f t="shared" si="24"/>
        <v>0.05</v>
      </c>
      <c r="R225" s="18">
        <f t="shared" si="25"/>
        <v>1346.2099999999998</v>
      </c>
      <c r="S225" s="18" t="str">
        <f>IF(Table13[[#This Row],[Quantity]]&lt;=3,"Small",IF(Table13[[#This Row],[Quantity]]&lt;=6,"Medium","Bulk"))</f>
        <v>Medium</v>
      </c>
      <c r="T225" s="18" t="str">
        <f t="shared" si="26"/>
        <v>Normal</v>
      </c>
      <c r="U225" s="18" t="str">
        <f t="shared" si="27"/>
        <v>low Value</v>
      </c>
    </row>
    <row r="226" spans="1:21" x14ac:dyDescent="0.3">
      <c r="A226" t="s">
        <v>234</v>
      </c>
      <c r="B226" s="1">
        <v>44938</v>
      </c>
      <c r="C226" t="s">
        <v>1210</v>
      </c>
      <c r="D226" t="s">
        <v>1216</v>
      </c>
      <c r="E226" t="s">
        <v>1219</v>
      </c>
      <c r="F226" t="s">
        <v>1238</v>
      </c>
      <c r="G226" s="6">
        <v>9</v>
      </c>
      <c r="H226">
        <v>4309</v>
      </c>
      <c r="I226">
        <v>38781</v>
      </c>
      <c r="J226" s="2">
        <v>3640.65</v>
      </c>
      <c r="K226" s="16">
        <f>Table13[[#This Row],[Profit]]/Table13[[#This Row],[Sales]]</f>
        <v>9.3877156339444573E-2</v>
      </c>
      <c r="L226" s="17" t="str">
        <f t="shared" si="21"/>
        <v>High</v>
      </c>
      <c r="M226" s="17" t="str">
        <f t="shared" si="22"/>
        <v>Jan</v>
      </c>
      <c r="N226" s="18">
        <f>YEAR(Table13[[#This Row],[Order_Date]])</f>
        <v>2023</v>
      </c>
      <c r="O226" s="18">
        <f>Table13[[#This Row],[Price]]*0.7</f>
        <v>3016.2999999999997</v>
      </c>
      <c r="P226" s="18">
        <f t="shared" si="23"/>
        <v>11634.300000000003</v>
      </c>
      <c r="Q226" s="18">
        <f t="shared" si="24"/>
        <v>0.1</v>
      </c>
      <c r="R226" s="18">
        <f t="shared" si="25"/>
        <v>35140.35</v>
      </c>
      <c r="S226" s="18" t="str">
        <f>IF(Table13[[#This Row],[Quantity]]&lt;=3,"Small",IF(Table13[[#This Row],[Quantity]]&lt;=6,"Medium","Bulk"))</f>
        <v>Bulk</v>
      </c>
      <c r="T226" s="18" t="str">
        <f t="shared" si="26"/>
        <v>Normal</v>
      </c>
      <c r="U226" s="18" t="str">
        <f t="shared" si="27"/>
        <v>High Value</v>
      </c>
    </row>
    <row r="227" spans="1:21" x14ac:dyDescent="0.3">
      <c r="A227" t="s">
        <v>235</v>
      </c>
      <c r="B227" s="1">
        <v>45164</v>
      </c>
      <c r="C227" t="s">
        <v>1213</v>
      </c>
      <c r="D227" t="s">
        <v>1215</v>
      </c>
      <c r="E227" t="s">
        <v>1222</v>
      </c>
      <c r="F227" t="s">
        <v>1234</v>
      </c>
      <c r="G227" s="6">
        <v>3</v>
      </c>
      <c r="H227">
        <v>2369</v>
      </c>
      <c r="I227">
        <v>7107</v>
      </c>
      <c r="J227" s="2">
        <v>966.08</v>
      </c>
      <c r="K227" s="16">
        <f>Table13[[#This Row],[Profit]]/Table13[[#This Row],[Sales]]</f>
        <v>0.13593358660475588</v>
      </c>
      <c r="L227" s="17" t="str">
        <f t="shared" si="21"/>
        <v>Low</v>
      </c>
      <c r="M227" s="17" t="str">
        <f t="shared" si="22"/>
        <v>Aug</v>
      </c>
      <c r="N227" s="18">
        <f>YEAR(Table13[[#This Row],[Order_Date]])</f>
        <v>2023</v>
      </c>
      <c r="O227" s="18">
        <f>Table13[[#This Row],[Price]]*0.7</f>
        <v>1658.3</v>
      </c>
      <c r="P227" s="18">
        <f t="shared" si="23"/>
        <v>2132.1000000000004</v>
      </c>
      <c r="Q227" s="18">
        <f t="shared" si="24"/>
        <v>0.05</v>
      </c>
      <c r="R227" s="18">
        <f t="shared" si="25"/>
        <v>6140.92</v>
      </c>
      <c r="S227" s="18" t="str">
        <f>IF(Table13[[#This Row],[Quantity]]&lt;=3,"Small",IF(Table13[[#This Row],[Quantity]]&lt;=6,"Medium","Bulk"))</f>
        <v>Small</v>
      </c>
      <c r="T227" s="18" t="str">
        <f t="shared" si="26"/>
        <v>Normal</v>
      </c>
      <c r="U227" s="18" t="str">
        <f t="shared" si="27"/>
        <v>low Value</v>
      </c>
    </row>
    <row r="228" spans="1:21" x14ac:dyDescent="0.3">
      <c r="A228" t="s">
        <v>236</v>
      </c>
      <c r="B228" s="1">
        <v>45233</v>
      </c>
      <c r="C228" t="s">
        <v>1213</v>
      </c>
      <c r="D228" t="s">
        <v>1217</v>
      </c>
      <c r="E228" t="s">
        <v>1221</v>
      </c>
      <c r="F228" t="s">
        <v>1231</v>
      </c>
      <c r="G228" s="6">
        <v>7</v>
      </c>
      <c r="H228">
        <v>2556</v>
      </c>
      <c r="I228">
        <v>17892</v>
      </c>
      <c r="J228" s="2">
        <v>3434.91</v>
      </c>
      <c r="K228" s="16">
        <f>Table13[[#This Row],[Profit]]/Table13[[#This Row],[Sales]]</f>
        <v>0.19198021462105969</v>
      </c>
      <c r="L228" s="17" t="str">
        <f t="shared" si="21"/>
        <v>Medium</v>
      </c>
      <c r="M228" s="17" t="str">
        <f t="shared" si="22"/>
        <v>Nov</v>
      </c>
      <c r="N228" s="18">
        <f>YEAR(Table13[[#This Row],[Order_Date]])</f>
        <v>2023</v>
      </c>
      <c r="O228" s="18">
        <f>Table13[[#This Row],[Price]]*0.7</f>
        <v>1789.1999999999998</v>
      </c>
      <c r="P228" s="18">
        <f t="shared" si="23"/>
        <v>5367.6000000000022</v>
      </c>
      <c r="Q228" s="18">
        <f t="shared" si="24"/>
        <v>0.1</v>
      </c>
      <c r="R228" s="18">
        <f t="shared" si="25"/>
        <v>14457.090000000002</v>
      </c>
      <c r="S228" s="18" t="str">
        <f>IF(Table13[[#This Row],[Quantity]]&lt;=3,"Small",IF(Table13[[#This Row],[Quantity]]&lt;=6,"Medium","Bulk"))</f>
        <v>Bulk</v>
      </c>
      <c r="T228" s="18" t="str">
        <f t="shared" si="26"/>
        <v>Normal</v>
      </c>
      <c r="U228" s="18" t="str">
        <f t="shared" si="27"/>
        <v>Medium Value</v>
      </c>
    </row>
    <row r="229" spans="1:21" x14ac:dyDescent="0.3">
      <c r="A229" t="s">
        <v>237</v>
      </c>
      <c r="B229" s="1">
        <v>45238</v>
      </c>
      <c r="C229" t="s">
        <v>1212</v>
      </c>
      <c r="D229" t="s">
        <v>1214</v>
      </c>
      <c r="E229" t="s">
        <v>1220</v>
      </c>
      <c r="F229" t="s">
        <v>1225</v>
      </c>
      <c r="G229" s="6">
        <v>3</v>
      </c>
      <c r="H229">
        <v>861</v>
      </c>
      <c r="I229">
        <v>2583</v>
      </c>
      <c r="J229" s="2">
        <v>352.56</v>
      </c>
      <c r="K229" s="16">
        <f>Table13[[#This Row],[Profit]]/Table13[[#This Row],[Sales]]</f>
        <v>0.13649245063879209</v>
      </c>
      <c r="L229" s="17" t="str">
        <f t="shared" si="21"/>
        <v>Low</v>
      </c>
      <c r="M229" s="17" t="str">
        <f t="shared" si="22"/>
        <v>Nov</v>
      </c>
      <c r="N229" s="18">
        <f>YEAR(Table13[[#This Row],[Order_Date]])</f>
        <v>2023</v>
      </c>
      <c r="O229" s="18">
        <f>Table13[[#This Row],[Price]]*0.7</f>
        <v>602.69999999999993</v>
      </c>
      <c r="P229" s="18">
        <f t="shared" si="23"/>
        <v>774.90000000000009</v>
      </c>
      <c r="Q229" s="18">
        <f t="shared" si="24"/>
        <v>0.05</v>
      </c>
      <c r="R229" s="18">
        <f t="shared" si="25"/>
        <v>2230.44</v>
      </c>
      <c r="S229" s="18" t="str">
        <f>IF(Table13[[#This Row],[Quantity]]&lt;=3,"Small",IF(Table13[[#This Row],[Quantity]]&lt;=6,"Medium","Bulk"))</f>
        <v>Small</v>
      </c>
      <c r="T229" s="18" t="str">
        <f t="shared" si="26"/>
        <v>High Demand</v>
      </c>
      <c r="U229" s="18" t="str">
        <f t="shared" si="27"/>
        <v>low Value</v>
      </c>
    </row>
    <row r="230" spans="1:21" x14ac:dyDescent="0.3">
      <c r="A230" t="s">
        <v>238</v>
      </c>
      <c r="B230" s="1">
        <v>45133</v>
      </c>
      <c r="C230" t="s">
        <v>1212</v>
      </c>
      <c r="D230" t="s">
        <v>1216</v>
      </c>
      <c r="E230" t="s">
        <v>1219</v>
      </c>
      <c r="F230" t="s">
        <v>1223</v>
      </c>
      <c r="G230" s="6">
        <v>3</v>
      </c>
      <c r="H230">
        <v>4330</v>
      </c>
      <c r="I230">
        <v>12990</v>
      </c>
      <c r="J230" s="2">
        <v>1526.27</v>
      </c>
      <c r="K230" s="16">
        <f>Table13[[#This Row],[Profit]]/Table13[[#This Row],[Sales]]</f>
        <v>0.11749576597382602</v>
      </c>
      <c r="L230" s="17" t="str">
        <f t="shared" si="21"/>
        <v>Medium</v>
      </c>
      <c r="M230" s="17" t="str">
        <f t="shared" si="22"/>
        <v>Jul</v>
      </c>
      <c r="N230" s="18">
        <f>YEAR(Table13[[#This Row],[Order_Date]])</f>
        <v>2023</v>
      </c>
      <c r="O230" s="18">
        <f>Table13[[#This Row],[Price]]*0.7</f>
        <v>3031</v>
      </c>
      <c r="P230" s="18">
        <f t="shared" si="23"/>
        <v>3897</v>
      </c>
      <c r="Q230" s="18">
        <f t="shared" si="24"/>
        <v>0.05</v>
      </c>
      <c r="R230" s="18">
        <f t="shared" si="25"/>
        <v>11463.73</v>
      </c>
      <c r="S230" s="18" t="str">
        <f>IF(Table13[[#This Row],[Quantity]]&lt;=3,"Small",IF(Table13[[#This Row],[Quantity]]&lt;=6,"Medium","Bulk"))</f>
        <v>Small</v>
      </c>
      <c r="T230" s="18" t="str">
        <f t="shared" si="26"/>
        <v>High Demand</v>
      </c>
      <c r="U230" s="18" t="str">
        <f t="shared" si="27"/>
        <v>Medium Value</v>
      </c>
    </row>
    <row r="231" spans="1:21" x14ac:dyDescent="0.3">
      <c r="A231" t="s">
        <v>239</v>
      </c>
      <c r="B231" s="1">
        <v>44950</v>
      </c>
      <c r="C231" t="s">
        <v>1213</v>
      </c>
      <c r="D231" t="s">
        <v>1215</v>
      </c>
      <c r="E231" t="s">
        <v>1222</v>
      </c>
      <c r="F231" t="s">
        <v>1230</v>
      </c>
      <c r="G231" s="6">
        <v>5</v>
      </c>
      <c r="H231">
        <v>358</v>
      </c>
      <c r="I231">
        <v>1790</v>
      </c>
      <c r="J231" s="2">
        <v>269.76</v>
      </c>
      <c r="K231" s="16">
        <f>Table13[[#This Row],[Profit]]/Table13[[#This Row],[Sales]]</f>
        <v>0.15070391061452512</v>
      </c>
      <c r="L231" s="17" t="str">
        <f t="shared" si="21"/>
        <v>Low</v>
      </c>
      <c r="M231" s="17" t="str">
        <f t="shared" si="22"/>
        <v>Jan</v>
      </c>
      <c r="N231" s="18">
        <f>YEAR(Table13[[#This Row],[Order_Date]])</f>
        <v>2023</v>
      </c>
      <c r="O231" s="18">
        <f>Table13[[#This Row],[Price]]*0.7</f>
        <v>250.6</v>
      </c>
      <c r="P231" s="18">
        <f t="shared" si="23"/>
        <v>537</v>
      </c>
      <c r="Q231" s="18">
        <f t="shared" si="24"/>
        <v>0.05</v>
      </c>
      <c r="R231" s="18">
        <f t="shared" si="25"/>
        <v>1520.24</v>
      </c>
      <c r="S231" s="18" t="str">
        <f>IF(Table13[[#This Row],[Quantity]]&lt;=3,"Small",IF(Table13[[#This Row],[Quantity]]&lt;=6,"Medium","Bulk"))</f>
        <v>Medium</v>
      </c>
      <c r="T231" s="18" t="str">
        <f t="shared" si="26"/>
        <v>Normal</v>
      </c>
      <c r="U231" s="18" t="str">
        <f t="shared" si="27"/>
        <v>low Value</v>
      </c>
    </row>
    <row r="232" spans="1:21" x14ac:dyDescent="0.3">
      <c r="A232" t="s">
        <v>240</v>
      </c>
      <c r="B232" s="1">
        <v>45103</v>
      </c>
      <c r="C232" t="s">
        <v>1210</v>
      </c>
      <c r="D232" t="s">
        <v>1218</v>
      </c>
      <c r="E232" t="s">
        <v>1221</v>
      </c>
      <c r="F232" t="s">
        <v>1226</v>
      </c>
      <c r="G232" s="6">
        <v>4</v>
      </c>
      <c r="H232">
        <v>1155</v>
      </c>
      <c r="I232">
        <v>4620</v>
      </c>
      <c r="J232" s="2">
        <v>401.1</v>
      </c>
      <c r="K232" s="16">
        <f>Table13[[#This Row],[Profit]]/Table13[[#This Row],[Sales]]</f>
        <v>8.6818181818181822E-2</v>
      </c>
      <c r="L232" s="17" t="str">
        <f t="shared" si="21"/>
        <v>Low</v>
      </c>
      <c r="M232" s="17" t="str">
        <f t="shared" si="22"/>
        <v>Jun</v>
      </c>
      <c r="N232" s="18">
        <f>YEAR(Table13[[#This Row],[Order_Date]])</f>
        <v>2023</v>
      </c>
      <c r="O232" s="18">
        <f>Table13[[#This Row],[Price]]*0.7</f>
        <v>808.5</v>
      </c>
      <c r="P232" s="18">
        <f t="shared" si="23"/>
        <v>1386</v>
      </c>
      <c r="Q232" s="18">
        <f t="shared" si="24"/>
        <v>0.05</v>
      </c>
      <c r="R232" s="18">
        <f t="shared" si="25"/>
        <v>4218.9000000000005</v>
      </c>
      <c r="S232" s="18" t="str">
        <f>IF(Table13[[#This Row],[Quantity]]&lt;=3,"Small",IF(Table13[[#This Row],[Quantity]]&lt;=6,"Medium","Bulk"))</f>
        <v>Medium</v>
      </c>
      <c r="T232" s="18" t="str">
        <f t="shared" si="26"/>
        <v>Normal</v>
      </c>
      <c r="U232" s="18" t="str">
        <f t="shared" si="27"/>
        <v>low Value</v>
      </c>
    </row>
    <row r="233" spans="1:21" x14ac:dyDescent="0.3">
      <c r="A233" t="s">
        <v>241</v>
      </c>
      <c r="B233" s="1">
        <v>45188</v>
      </c>
      <c r="C233" t="s">
        <v>1210</v>
      </c>
      <c r="D233" t="s">
        <v>1217</v>
      </c>
      <c r="E233" t="s">
        <v>1221</v>
      </c>
      <c r="F233" t="s">
        <v>1229</v>
      </c>
      <c r="G233" s="6">
        <v>5</v>
      </c>
      <c r="H233">
        <v>4011</v>
      </c>
      <c r="I233">
        <v>20055</v>
      </c>
      <c r="J233" s="2">
        <v>4582.21</v>
      </c>
      <c r="K233" s="16">
        <f>Table13[[#This Row],[Profit]]/Table13[[#This Row],[Sales]]</f>
        <v>0.22848217402144103</v>
      </c>
      <c r="L233" s="17" t="str">
        <f t="shared" si="21"/>
        <v>High</v>
      </c>
      <c r="M233" s="17" t="str">
        <f t="shared" si="22"/>
        <v>Sep</v>
      </c>
      <c r="N233" s="18">
        <f>YEAR(Table13[[#This Row],[Order_Date]])</f>
        <v>2023</v>
      </c>
      <c r="O233" s="18">
        <f>Table13[[#This Row],[Price]]*0.7</f>
        <v>2807.7</v>
      </c>
      <c r="P233" s="18">
        <f t="shared" si="23"/>
        <v>6016.5</v>
      </c>
      <c r="Q233" s="18">
        <f t="shared" si="24"/>
        <v>0.05</v>
      </c>
      <c r="R233" s="18">
        <f t="shared" si="25"/>
        <v>15472.79</v>
      </c>
      <c r="S233" s="18" t="str">
        <f>IF(Table13[[#This Row],[Quantity]]&lt;=3,"Small",IF(Table13[[#This Row],[Quantity]]&lt;=6,"Medium","Bulk"))</f>
        <v>Medium</v>
      </c>
      <c r="T233" s="18" t="str">
        <f t="shared" si="26"/>
        <v>Normal</v>
      </c>
      <c r="U233" s="18" t="str">
        <f t="shared" si="27"/>
        <v>High Value</v>
      </c>
    </row>
    <row r="234" spans="1:21" x14ac:dyDescent="0.3">
      <c r="A234" t="s">
        <v>242</v>
      </c>
      <c r="B234" s="1">
        <v>45163</v>
      </c>
      <c r="C234" t="s">
        <v>1211</v>
      </c>
      <c r="D234" t="s">
        <v>1215</v>
      </c>
      <c r="E234" t="s">
        <v>1219</v>
      </c>
      <c r="F234" t="s">
        <v>1238</v>
      </c>
      <c r="G234" s="6">
        <v>6</v>
      </c>
      <c r="H234">
        <v>4932</v>
      </c>
      <c r="I234">
        <v>29592</v>
      </c>
      <c r="J234" s="2">
        <v>3427.13</v>
      </c>
      <c r="K234" s="16">
        <f>Table13[[#This Row],[Profit]]/Table13[[#This Row],[Sales]]</f>
        <v>0.11581271965396053</v>
      </c>
      <c r="L234" s="17" t="str">
        <f t="shared" si="21"/>
        <v>High</v>
      </c>
      <c r="M234" s="17" t="str">
        <f t="shared" si="22"/>
        <v>Aug</v>
      </c>
      <c r="N234" s="18">
        <f>YEAR(Table13[[#This Row],[Order_Date]])</f>
        <v>2023</v>
      </c>
      <c r="O234" s="18">
        <f>Table13[[#This Row],[Price]]*0.7</f>
        <v>3452.3999999999996</v>
      </c>
      <c r="P234" s="18">
        <f t="shared" si="23"/>
        <v>8877.6000000000022</v>
      </c>
      <c r="Q234" s="18">
        <f t="shared" si="24"/>
        <v>0.1</v>
      </c>
      <c r="R234" s="18">
        <f t="shared" si="25"/>
        <v>26164.87</v>
      </c>
      <c r="S234" s="18" t="str">
        <f>IF(Table13[[#This Row],[Quantity]]&lt;=3,"Small",IF(Table13[[#This Row],[Quantity]]&lt;=6,"Medium","Bulk"))</f>
        <v>Medium</v>
      </c>
      <c r="T234" s="18" t="str">
        <f t="shared" si="26"/>
        <v>Normal</v>
      </c>
      <c r="U234" s="18" t="str">
        <f t="shared" si="27"/>
        <v>High Value</v>
      </c>
    </row>
    <row r="235" spans="1:21" x14ac:dyDescent="0.3">
      <c r="A235" t="s">
        <v>243</v>
      </c>
      <c r="B235" s="1">
        <v>45013</v>
      </c>
      <c r="C235" t="s">
        <v>1211</v>
      </c>
      <c r="D235" t="s">
        <v>1216</v>
      </c>
      <c r="E235" t="s">
        <v>1219</v>
      </c>
      <c r="F235" t="s">
        <v>1232</v>
      </c>
      <c r="G235" s="6">
        <v>3</v>
      </c>
      <c r="H235">
        <v>3791</v>
      </c>
      <c r="I235">
        <v>11373</v>
      </c>
      <c r="J235" s="2">
        <v>1693.47</v>
      </c>
      <c r="K235" s="16">
        <f>Table13[[#This Row],[Profit]]/Table13[[#This Row],[Sales]]</f>
        <v>0.14890266420469533</v>
      </c>
      <c r="L235" s="17" t="str">
        <f t="shared" si="21"/>
        <v>Medium</v>
      </c>
      <c r="M235" s="17" t="str">
        <f t="shared" si="22"/>
        <v>Mar</v>
      </c>
      <c r="N235" s="18">
        <f>YEAR(Table13[[#This Row],[Order_Date]])</f>
        <v>2023</v>
      </c>
      <c r="O235" s="18">
        <f>Table13[[#This Row],[Price]]*0.7</f>
        <v>2653.7</v>
      </c>
      <c r="P235" s="18">
        <f t="shared" si="23"/>
        <v>3411.9000000000005</v>
      </c>
      <c r="Q235" s="18">
        <f t="shared" si="24"/>
        <v>0.05</v>
      </c>
      <c r="R235" s="18">
        <f t="shared" si="25"/>
        <v>9679.5300000000007</v>
      </c>
      <c r="S235" s="18" t="str">
        <f>IF(Table13[[#This Row],[Quantity]]&lt;=3,"Small",IF(Table13[[#This Row],[Quantity]]&lt;=6,"Medium","Bulk"))</f>
        <v>Small</v>
      </c>
      <c r="T235" s="18" t="str">
        <f t="shared" si="26"/>
        <v>Normal</v>
      </c>
      <c r="U235" s="18" t="str">
        <f t="shared" si="27"/>
        <v>Medium Value</v>
      </c>
    </row>
    <row r="236" spans="1:21" x14ac:dyDescent="0.3">
      <c r="A236" t="s">
        <v>244</v>
      </c>
      <c r="B236" s="1">
        <v>44967</v>
      </c>
      <c r="C236" t="s">
        <v>1211</v>
      </c>
      <c r="D236" t="s">
        <v>1216</v>
      </c>
      <c r="E236" t="s">
        <v>1220</v>
      </c>
      <c r="F236" t="s">
        <v>1225</v>
      </c>
      <c r="G236" s="6">
        <v>2</v>
      </c>
      <c r="H236">
        <v>574</v>
      </c>
      <c r="I236">
        <v>1148</v>
      </c>
      <c r="J236" s="2">
        <v>172.45</v>
      </c>
      <c r="K236" s="16">
        <f>Table13[[#This Row],[Profit]]/Table13[[#This Row],[Sales]]</f>
        <v>0.15021777003484318</v>
      </c>
      <c r="L236" s="17" t="str">
        <f t="shared" si="21"/>
        <v>Low</v>
      </c>
      <c r="M236" s="17" t="str">
        <f t="shared" si="22"/>
        <v>Feb</v>
      </c>
      <c r="N236" s="18">
        <f>YEAR(Table13[[#This Row],[Order_Date]])</f>
        <v>2023</v>
      </c>
      <c r="O236" s="18">
        <f>Table13[[#This Row],[Price]]*0.7</f>
        <v>401.79999999999995</v>
      </c>
      <c r="P236" s="18">
        <f t="shared" si="23"/>
        <v>344.40000000000009</v>
      </c>
      <c r="Q236" s="18">
        <f t="shared" si="24"/>
        <v>0.05</v>
      </c>
      <c r="R236" s="18">
        <f t="shared" si="25"/>
        <v>975.55000000000007</v>
      </c>
      <c r="S236" s="18" t="str">
        <f>IF(Table13[[#This Row],[Quantity]]&lt;=3,"Small",IF(Table13[[#This Row],[Quantity]]&lt;=6,"Medium","Bulk"))</f>
        <v>Small</v>
      </c>
      <c r="T236" s="18" t="str">
        <f t="shared" si="26"/>
        <v>Normal</v>
      </c>
      <c r="U236" s="18" t="str">
        <f t="shared" si="27"/>
        <v>low Value</v>
      </c>
    </row>
    <row r="237" spans="1:21" x14ac:dyDescent="0.3">
      <c r="A237" t="s">
        <v>245</v>
      </c>
      <c r="B237" s="1">
        <v>45056</v>
      </c>
      <c r="C237" t="s">
        <v>1210</v>
      </c>
      <c r="D237" t="s">
        <v>1218</v>
      </c>
      <c r="E237" t="s">
        <v>1222</v>
      </c>
      <c r="F237" t="s">
        <v>1227</v>
      </c>
      <c r="G237" s="6">
        <v>8</v>
      </c>
      <c r="H237">
        <v>2478</v>
      </c>
      <c r="I237">
        <v>19824</v>
      </c>
      <c r="J237" s="2">
        <v>2796.57</v>
      </c>
      <c r="K237" s="16">
        <f>Table13[[#This Row],[Profit]]/Table13[[#This Row],[Sales]]</f>
        <v>0.14106991525423729</v>
      </c>
      <c r="L237" s="17" t="str">
        <f t="shared" si="21"/>
        <v>Medium</v>
      </c>
      <c r="M237" s="17" t="str">
        <f t="shared" si="22"/>
        <v>May</v>
      </c>
      <c r="N237" s="18">
        <f>YEAR(Table13[[#This Row],[Order_Date]])</f>
        <v>2023</v>
      </c>
      <c r="O237" s="18">
        <f>Table13[[#This Row],[Price]]*0.7</f>
        <v>1734.6</v>
      </c>
      <c r="P237" s="18">
        <f t="shared" si="23"/>
        <v>5947.2000000000007</v>
      </c>
      <c r="Q237" s="18">
        <f t="shared" si="24"/>
        <v>0.1</v>
      </c>
      <c r="R237" s="18">
        <f t="shared" si="25"/>
        <v>17027.43</v>
      </c>
      <c r="S237" s="18" t="str">
        <f>IF(Table13[[#This Row],[Quantity]]&lt;=3,"Small",IF(Table13[[#This Row],[Quantity]]&lt;=6,"Medium","Bulk"))</f>
        <v>Bulk</v>
      </c>
      <c r="T237" s="18" t="str">
        <f t="shared" si="26"/>
        <v>Normal</v>
      </c>
      <c r="U237" s="18" t="str">
        <f t="shared" si="27"/>
        <v>Medium Value</v>
      </c>
    </row>
    <row r="238" spans="1:21" x14ac:dyDescent="0.3">
      <c r="A238" t="s">
        <v>246</v>
      </c>
      <c r="B238" s="1">
        <v>45155</v>
      </c>
      <c r="C238" t="s">
        <v>1212</v>
      </c>
      <c r="D238" t="s">
        <v>1218</v>
      </c>
      <c r="E238" t="s">
        <v>1219</v>
      </c>
      <c r="F238" t="s">
        <v>1232</v>
      </c>
      <c r="G238" s="6">
        <v>9</v>
      </c>
      <c r="H238">
        <v>227</v>
      </c>
      <c r="I238">
        <v>2043</v>
      </c>
      <c r="J238" s="2">
        <v>253.09</v>
      </c>
      <c r="K238" s="16">
        <f>Table13[[#This Row],[Profit]]/Table13[[#This Row],[Sales]]</f>
        <v>0.12388154674498288</v>
      </c>
      <c r="L238" s="17" t="str">
        <f t="shared" si="21"/>
        <v>Low</v>
      </c>
      <c r="M238" s="17" t="str">
        <f t="shared" si="22"/>
        <v>Aug</v>
      </c>
      <c r="N238" s="18">
        <f>YEAR(Table13[[#This Row],[Order_Date]])</f>
        <v>2023</v>
      </c>
      <c r="O238" s="18">
        <f>Table13[[#This Row],[Price]]*0.7</f>
        <v>158.89999999999998</v>
      </c>
      <c r="P238" s="18">
        <f t="shared" si="23"/>
        <v>612.90000000000009</v>
      </c>
      <c r="Q238" s="18">
        <f t="shared" si="24"/>
        <v>0.1</v>
      </c>
      <c r="R238" s="18">
        <f t="shared" si="25"/>
        <v>1789.91</v>
      </c>
      <c r="S238" s="18" t="str">
        <f>IF(Table13[[#This Row],[Quantity]]&lt;=3,"Small",IF(Table13[[#This Row],[Quantity]]&lt;=6,"Medium","Bulk"))</f>
        <v>Bulk</v>
      </c>
      <c r="T238" s="18" t="str">
        <f t="shared" si="26"/>
        <v>High Demand</v>
      </c>
      <c r="U238" s="18" t="str">
        <f t="shared" si="27"/>
        <v>low Value</v>
      </c>
    </row>
    <row r="239" spans="1:21" x14ac:dyDescent="0.3">
      <c r="A239" t="s">
        <v>247</v>
      </c>
      <c r="B239" s="1">
        <v>45213</v>
      </c>
      <c r="C239" t="s">
        <v>1210</v>
      </c>
      <c r="D239" t="s">
        <v>1217</v>
      </c>
      <c r="E239" t="s">
        <v>1221</v>
      </c>
      <c r="F239" t="s">
        <v>1226</v>
      </c>
      <c r="G239" s="6">
        <v>8</v>
      </c>
      <c r="H239">
        <v>4596</v>
      </c>
      <c r="I239">
        <v>36768</v>
      </c>
      <c r="J239" s="2">
        <v>4423</v>
      </c>
      <c r="K239" s="16">
        <f>Table13[[#This Row],[Profit]]/Table13[[#This Row],[Sales]]</f>
        <v>0.12029482158398608</v>
      </c>
      <c r="L239" s="17" t="str">
        <f t="shared" si="21"/>
        <v>High</v>
      </c>
      <c r="M239" s="17" t="str">
        <f t="shared" si="22"/>
        <v>Oct</v>
      </c>
      <c r="N239" s="18">
        <f>YEAR(Table13[[#This Row],[Order_Date]])</f>
        <v>2023</v>
      </c>
      <c r="O239" s="18">
        <f>Table13[[#This Row],[Price]]*0.7</f>
        <v>3217.2</v>
      </c>
      <c r="P239" s="18">
        <f t="shared" si="23"/>
        <v>11030.400000000001</v>
      </c>
      <c r="Q239" s="18">
        <f t="shared" si="24"/>
        <v>0.1</v>
      </c>
      <c r="R239" s="18">
        <f t="shared" si="25"/>
        <v>32345</v>
      </c>
      <c r="S239" s="18" t="str">
        <f>IF(Table13[[#This Row],[Quantity]]&lt;=3,"Small",IF(Table13[[#This Row],[Quantity]]&lt;=6,"Medium","Bulk"))</f>
        <v>Bulk</v>
      </c>
      <c r="T239" s="18" t="str">
        <f t="shared" si="26"/>
        <v>Normal</v>
      </c>
      <c r="U239" s="18" t="str">
        <f t="shared" si="27"/>
        <v>High Value</v>
      </c>
    </row>
    <row r="240" spans="1:21" x14ac:dyDescent="0.3">
      <c r="A240" t="s">
        <v>248</v>
      </c>
      <c r="B240" s="1">
        <v>45190</v>
      </c>
      <c r="C240" t="s">
        <v>1210</v>
      </c>
      <c r="D240" t="s">
        <v>1216</v>
      </c>
      <c r="E240" t="s">
        <v>1219</v>
      </c>
      <c r="F240" t="s">
        <v>1233</v>
      </c>
      <c r="G240" s="6">
        <v>9</v>
      </c>
      <c r="H240">
        <v>1480</v>
      </c>
      <c r="I240">
        <v>13320</v>
      </c>
      <c r="J240" s="2">
        <v>2083.3000000000002</v>
      </c>
      <c r="K240" s="16">
        <f>Table13[[#This Row],[Profit]]/Table13[[#This Row],[Sales]]</f>
        <v>0.15640390390390391</v>
      </c>
      <c r="L240" s="17" t="str">
        <f t="shared" si="21"/>
        <v>Medium</v>
      </c>
      <c r="M240" s="17" t="str">
        <f t="shared" si="22"/>
        <v>Sep</v>
      </c>
      <c r="N240" s="18">
        <f>YEAR(Table13[[#This Row],[Order_Date]])</f>
        <v>2023</v>
      </c>
      <c r="O240" s="18">
        <f>Table13[[#This Row],[Price]]*0.7</f>
        <v>1036</v>
      </c>
      <c r="P240" s="18">
        <f t="shared" si="23"/>
        <v>3996</v>
      </c>
      <c r="Q240" s="18">
        <f t="shared" si="24"/>
        <v>0.1</v>
      </c>
      <c r="R240" s="18">
        <f t="shared" si="25"/>
        <v>11236.7</v>
      </c>
      <c r="S240" s="18" t="str">
        <f>IF(Table13[[#This Row],[Quantity]]&lt;=3,"Small",IF(Table13[[#This Row],[Quantity]]&lt;=6,"Medium","Bulk"))</f>
        <v>Bulk</v>
      </c>
      <c r="T240" s="18" t="str">
        <f t="shared" si="26"/>
        <v>Normal</v>
      </c>
      <c r="U240" s="18" t="str">
        <f t="shared" si="27"/>
        <v>Medium Value</v>
      </c>
    </row>
    <row r="241" spans="1:21" x14ac:dyDescent="0.3">
      <c r="A241" t="s">
        <v>249</v>
      </c>
      <c r="B241" s="1">
        <v>45101</v>
      </c>
      <c r="C241" t="s">
        <v>1212</v>
      </c>
      <c r="D241" t="s">
        <v>1216</v>
      </c>
      <c r="E241" t="s">
        <v>1222</v>
      </c>
      <c r="F241" t="s">
        <v>1234</v>
      </c>
      <c r="G241" s="6">
        <v>6</v>
      </c>
      <c r="H241">
        <v>1507</v>
      </c>
      <c r="I241">
        <v>9042</v>
      </c>
      <c r="J241" s="2">
        <v>779.73</v>
      </c>
      <c r="K241" s="16">
        <f>Table13[[#This Row],[Profit]]/Table13[[#This Row],[Sales]]</f>
        <v>8.6234240212342397E-2</v>
      </c>
      <c r="L241" s="17" t="str">
        <f t="shared" si="21"/>
        <v>Low</v>
      </c>
      <c r="M241" s="17" t="str">
        <f t="shared" si="22"/>
        <v>Jun</v>
      </c>
      <c r="N241" s="18">
        <f>YEAR(Table13[[#This Row],[Order_Date]])</f>
        <v>2023</v>
      </c>
      <c r="O241" s="18">
        <f>Table13[[#This Row],[Price]]*0.7</f>
        <v>1054.8999999999999</v>
      </c>
      <c r="P241" s="18">
        <f t="shared" si="23"/>
        <v>2712.6000000000004</v>
      </c>
      <c r="Q241" s="18">
        <f t="shared" si="24"/>
        <v>0.1</v>
      </c>
      <c r="R241" s="18">
        <f t="shared" si="25"/>
        <v>8262.27</v>
      </c>
      <c r="S241" s="18" t="str">
        <f>IF(Table13[[#This Row],[Quantity]]&lt;=3,"Small",IF(Table13[[#This Row],[Quantity]]&lt;=6,"Medium","Bulk"))</f>
        <v>Medium</v>
      </c>
      <c r="T241" s="18" t="str">
        <f t="shared" si="26"/>
        <v>High Demand</v>
      </c>
      <c r="U241" s="18" t="str">
        <f t="shared" si="27"/>
        <v>low Value</v>
      </c>
    </row>
    <row r="242" spans="1:21" x14ac:dyDescent="0.3">
      <c r="A242" t="s">
        <v>250</v>
      </c>
      <c r="B242" s="1">
        <v>45082</v>
      </c>
      <c r="C242" t="s">
        <v>1210</v>
      </c>
      <c r="D242" t="s">
        <v>1216</v>
      </c>
      <c r="E242" t="s">
        <v>1222</v>
      </c>
      <c r="F242" t="s">
        <v>1234</v>
      </c>
      <c r="G242" s="6">
        <v>1</v>
      </c>
      <c r="H242">
        <v>1855</v>
      </c>
      <c r="I242">
        <v>1855</v>
      </c>
      <c r="J242" s="2">
        <v>402.47</v>
      </c>
      <c r="K242" s="16">
        <f>Table13[[#This Row],[Profit]]/Table13[[#This Row],[Sales]]</f>
        <v>0.21696495956873316</v>
      </c>
      <c r="L242" s="17" t="str">
        <f t="shared" si="21"/>
        <v>Low</v>
      </c>
      <c r="M242" s="17" t="str">
        <f t="shared" si="22"/>
        <v>Jun</v>
      </c>
      <c r="N242" s="18">
        <f>YEAR(Table13[[#This Row],[Order_Date]])</f>
        <v>2023</v>
      </c>
      <c r="O242" s="18">
        <f>Table13[[#This Row],[Price]]*0.7</f>
        <v>1298.5</v>
      </c>
      <c r="P242" s="18">
        <f t="shared" si="23"/>
        <v>556.5</v>
      </c>
      <c r="Q242" s="18">
        <f t="shared" si="24"/>
        <v>0.05</v>
      </c>
      <c r="R242" s="18">
        <f t="shared" si="25"/>
        <v>1452.53</v>
      </c>
      <c r="S242" s="18" t="str">
        <f>IF(Table13[[#This Row],[Quantity]]&lt;=3,"Small",IF(Table13[[#This Row],[Quantity]]&lt;=6,"Medium","Bulk"))</f>
        <v>Small</v>
      </c>
      <c r="T242" s="18" t="str">
        <f t="shared" si="26"/>
        <v>Normal</v>
      </c>
      <c r="U242" s="18" t="str">
        <f t="shared" si="27"/>
        <v>low Value</v>
      </c>
    </row>
    <row r="243" spans="1:21" x14ac:dyDescent="0.3">
      <c r="A243" t="s">
        <v>251</v>
      </c>
      <c r="B243" s="1">
        <v>45219</v>
      </c>
      <c r="C243" t="s">
        <v>1213</v>
      </c>
      <c r="D243" t="s">
        <v>1217</v>
      </c>
      <c r="E243" t="s">
        <v>1219</v>
      </c>
      <c r="F243" t="s">
        <v>1232</v>
      </c>
      <c r="G243" s="6">
        <v>4</v>
      </c>
      <c r="H243">
        <v>4153</v>
      </c>
      <c r="I243">
        <v>16612</v>
      </c>
      <c r="J243" s="2">
        <v>4115.42</v>
      </c>
      <c r="K243" s="16">
        <f>Table13[[#This Row],[Profit]]/Table13[[#This Row],[Sales]]</f>
        <v>0.24773777991813148</v>
      </c>
      <c r="L243" s="17" t="str">
        <f t="shared" si="21"/>
        <v>Medium</v>
      </c>
      <c r="M243" s="17" t="str">
        <f t="shared" si="22"/>
        <v>Oct</v>
      </c>
      <c r="N243" s="18">
        <f>YEAR(Table13[[#This Row],[Order_Date]])</f>
        <v>2023</v>
      </c>
      <c r="O243" s="18">
        <f>Table13[[#This Row],[Price]]*0.7</f>
        <v>2907.1</v>
      </c>
      <c r="P243" s="18">
        <f t="shared" si="23"/>
        <v>4983.6000000000004</v>
      </c>
      <c r="Q243" s="18">
        <f t="shared" si="24"/>
        <v>0.05</v>
      </c>
      <c r="R243" s="18">
        <f t="shared" si="25"/>
        <v>12496.58</v>
      </c>
      <c r="S243" s="18" t="str">
        <f>IF(Table13[[#This Row],[Quantity]]&lt;=3,"Small",IF(Table13[[#This Row],[Quantity]]&lt;=6,"Medium","Bulk"))</f>
        <v>Medium</v>
      </c>
      <c r="T243" s="18" t="str">
        <f t="shared" si="26"/>
        <v>Normal</v>
      </c>
      <c r="U243" s="18" t="str">
        <f t="shared" si="27"/>
        <v>Medium Value</v>
      </c>
    </row>
    <row r="244" spans="1:21" x14ac:dyDescent="0.3">
      <c r="A244" t="s">
        <v>252</v>
      </c>
      <c r="B244" s="1">
        <v>45171</v>
      </c>
      <c r="C244" t="s">
        <v>1210</v>
      </c>
      <c r="D244" t="s">
        <v>1239</v>
      </c>
      <c r="E244" t="s">
        <v>1222</v>
      </c>
      <c r="F244" t="s">
        <v>1234</v>
      </c>
      <c r="G244" s="6">
        <v>7</v>
      </c>
      <c r="H244">
        <v>1258</v>
      </c>
      <c r="I244">
        <v>8806</v>
      </c>
      <c r="J244" s="2">
        <v>1381.43</v>
      </c>
      <c r="K244" s="16">
        <f>Table13[[#This Row],[Profit]]/Table13[[#This Row],[Sales]]</f>
        <v>0.15687372246195777</v>
      </c>
      <c r="L244" s="17" t="str">
        <f t="shared" si="21"/>
        <v>Low</v>
      </c>
      <c r="M244" s="17" t="str">
        <f t="shared" si="22"/>
        <v>Sep</v>
      </c>
      <c r="N244" s="18">
        <f>YEAR(Table13[[#This Row],[Order_Date]])</f>
        <v>2023</v>
      </c>
      <c r="O244" s="18">
        <f>Table13[[#This Row],[Price]]*0.7</f>
        <v>880.59999999999991</v>
      </c>
      <c r="P244" s="18">
        <f t="shared" si="23"/>
        <v>2641.8000000000011</v>
      </c>
      <c r="Q244" s="18">
        <f t="shared" si="24"/>
        <v>0.1</v>
      </c>
      <c r="R244" s="18">
        <f t="shared" si="25"/>
        <v>7424.57</v>
      </c>
      <c r="S244" s="18" t="str">
        <f>IF(Table13[[#This Row],[Quantity]]&lt;=3,"Small",IF(Table13[[#This Row],[Quantity]]&lt;=6,"Medium","Bulk"))</f>
        <v>Bulk</v>
      </c>
      <c r="T244" s="18" t="str">
        <f t="shared" si="26"/>
        <v>Normal</v>
      </c>
      <c r="U244" s="18" t="str">
        <f t="shared" si="27"/>
        <v>low Value</v>
      </c>
    </row>
    <row r="245" spans="1:21" x14ac:dyDescent="0.3">
      <c r="A245" t="s">
        <v>253</v>
      </c>
      <c r="B245" s="1">
        <v>45202</v>
      </c>
      <c r="C245" t="s">
        <v>1212</v>
      </c>
      <c r="D245" t="s">
        <v>1217</v>
      </c>
      <c r="E245" t="s">
        <v>1222</v>
      </c>
      <c r="F245" t="s">
        <v>1234</v>
      </c>
      <c r="G245" s="6">
        <v>3</v>
      </c>
      <c r="H245">
        <v>1429</v>
      </c>
      <c r="I245">
        <v>4287</v>
      </c>
      <c r="J245" s="2">
        <v>844.52</v>
      </c>
      <c r="K245" s="16">
        <f>Table13[[#This Row],[Profit]]/Table13[[#This Row],[Sales]]</f>
        <v>0.19699556799626777</v>
      </c>
      <c r="L245" s="17" t="str">
        <f t="shared" si="21"/>
        <v>Low</v>
      </c>
      <c r="M245" s="17" t="str">
        <f t="shared" si="22"/>
        <v>Oct</v>
      </c>
      <c r="N245" s="18">
        <f>YEAR(Table13[[#This Row],[Order_Date]])</f>
        <v>2023</v>
      </c>
      <c r="O245" s="18">
        <f>Table13[[#This Row],[Price]]*0.7</f>
        <v>1000.3</v>
      </c>
      <c r="P245" s="18">
        <f t="shared" si="23"/>
        <v>1286.1000000000004</v>
      </c>
      <c r="Q245" s="18">
        <f t="shared" si="24"/>
        <v>0.05</v>
      </c>
      <c r="R245" s="18">
        <f t="shared" si="25"/>
        <v>3442.48</v>
      </c>
      <c r="S245" s="18" t="str">
        <f>IF(Table13[[#This Row],[Quantity]]&lt;=3,"Small",IF(Table13[[#This Row],[Quantity]]&lt;=6,"Medium","Bulk"))</f>
        <v>Small</v>
      </c>
      <c r="T245" s="18" t="str">
        <f t="shared" si="26"/>
        <v>High Demand</v>
      </c>
      <c r="U245" s="18" t="str">
        <f t="shared" si="27"/>
        <v>low Value</v>
      </c>
    </row>
    <row r="246" spans="1:21" x14ac:dyDescent="0.3">
      <c r="A246" t="s">
        <v>254</v>
      </c>
      <c r="B246" s="1">
        <v>45111</v>
      </c>
      <c r="C246" t="s">
        <v>1210</v>
      </c>
      <c r="D246" t="s">
        <v>1214</v>
      </c>
      <c r="E246" t="s">
        <v>1221</v>
      </c>
      <c r="F246" t="s">
        <v>1235</v>
      </c>
      <c r="G246" s="6">
        <v>2</v>
      </c>
      <c r="H246">
        <v>4512</v>
      </c>
      <c r="I246">
        <v>9024</v>
      </c>
      <c r="J246" s="2">
        <v>1702.38</v>
      </c>
      <c r="K246" s="16">
        <f>Table13[[#This Row],[Profit]]/Table13[[#This Row],[Sales]]</f>
        <v>0.18865026595744683</v>
      </c>
      <c r="L246" s="17" t="str">
        <f t="shared" si="21"/>
        <v>Low</v>
      </c>
      <c r="M246" s="17" t="str">
        <f t="shared" si="22"/>
        <v>Jul</v>
      </c>
      <c r="N246" s="18">
        <f>YEAR(Table13[[#This Row],[Order_Date]])</f>
        <v>2023</v>
      </c>
      <c r="O246" s="18">
        <f>Table13[[#This Row],[Price]]*0.7</f>
        <v>3158.3999999999996</v>
      </c>
      <c r="P246" s="18">
        <f t="shared" si="23"/>
        <v>2707.2000000000007</v>
      </c>
      <c r="Q246" s="18">
        <f t="shared" si="24"/>
        <v>0.05</v>
      </c>
      <c r="R246" s="18">
        <f t="shared" si="25"/>
        <v>7321.62</v>
      </c>
      <c r="S246" s="18" t="str">
        <f>IF(Table13[[#This Row],[Quantity]]&lt;=3,"Small",IF(Table13[[#This Row],[Quantity]]&lt;=6,"Medium","Bulk"))</f>
        <v>Small</v>
      </c>
      <c r="T246" s="18" t="str">
        <f t="shared" si="26"/>
        <v>Normal</v>
      </c>
      <c r="U246" s="18" t="str">
        <f t="shared" si="27"/>
        <v>low Value</v>
      </c>
    </row>
    <row r="247" spans="1:21" x14ac:dyDescent="0.3">
      <c r="A247" t="s">
        <v>255</v>
      </c>
      <c r="B247" s="1">
        <v>45052</v>
      </c>
      <c r="C247" t="s">
        <v>1212</v>
      </c>
      <c r="D247" t="s">
        <v>1216</v>
      </c>
      <c r="E247" t="s">
        <v>1220</v>
      </c>
      <c r="F247" t="s">
        <v>1237</v>
      </c>
      <c r="G247" s="6">
        <v>6</v>
      </c>
      <c r="H247">
        <v>4123</v>
      </c>
      <c r="I247">
        <v>24738</v>
      </c>
      <c r="J247" s="2">
        <v>2507.84</v>
      </c>
      <c r="K247" s="16">
        <f>Table13[[#This Row],[Profit]]/Table13[[#This Row],[Sales]]</f>
        <v>0.10137602069690356</v>
      </c>
      <c r="L247" s="17" t="str">
        <f t="shared" si="21"/>
        <v>High</v>
      </c>
      <c r="M247" s="17" t="str">
        <f t="shared" si="22"/>
        <v>May</v>
      </c>
      <c r="N247" s="18">
        <f>YEAR(Table13[[#This Row],[Order_Date]])</f>
        <v>2023</v>
      </c>
      <c r="O247" s="18">
        <f>Table13[[#This Row],[Price]]*0.7</f>
        <v>2886.1</v>
      </c>
      <c r="P247" s="18">
        <f t="shared" si="23"/>
        <v>7421.4000000000015</v>
      </c>
      <c r="Q247" s="18">
        <f t="shared" si="24"/>
        <v>0.1</v>
      </c>
      <c r="R247" s="18">
        <f t="shared" si="25"/>
        <v>22230.16</v>
      </c>
      <c r="S247" s="18" t="str">
        <f>IF(Table13[[#This Row],[Quantity]]&lt;=3,"Small",IF(Table13[[#This Row],[Quantity]]&lt;=6,"Medium","Bulk"))</f>
        <v>Medium</v>
      </c>
      <c r="T247" s="18" t="str">
        <f t="shared" si="26"/>
        <v>High Demand</v>
      </c>
      <c r="U247" s="18" t="str">
        <f t="shared" si="27"/>
        <v>High Value</v>
      </c>
    </row>
    <row r="248" spans="1:21" x14ac:dyDescent="0.3">
      <c r="A248" t="s">
        <v>256</v>
      </c>
      <c r="B248" s="1">
        <v>45190</v>
      </c>
      <c r="C248" t="s">
        <v>1212</v>
      </c>
      <c r="D248" t="s">
        <v>1215</v>
      </c>
      <c r="E248" t="s">
        <v>1221</v>
      </c>
      <c r="F248" t="s">
        <v>1229</v>
      </c>
      <c r="G248" s="6">
        <v>7</v>
      </c>
      <c r="H248">
        <v>2233</v>
      </c>
      <c r="I248">
        <v>15631</v>
      </c>
      <c r="J248" s="2">
        <v>1750.97</v>
      </c>
      <c r="K248" s="16">
        <f>Table13[[#This Row],[Profit]]/Table13[[#This Row],[Sales]]</f>
        <v>0.1120190646791632</v>
      </c>
      <c r="L248" s="17" t="str">
        <f t="shared" si="21"/>
        <v>Medium</v>
      </c>
      <c r="M248" s="17" t="str">
        <f t="shared" si="22"/>
        <v>Sep</v>
      </c>
      <c r="N248" s="18">
        <f>YEAR(Table13[[#This Row],[Order_Date]])</f>
        <v>2023</v>
      </c>
      <c r="O248" s="18">
        <f>Table13[[#This Row],[Price]]*0.7</f>
        <v>1563.1</v>
      </c>
      <c r="P248" s="18">
        <f t="shared" si="23"/>
        <v>4689.3000000000011</v>
      </c>
      <c r="Q248" s="18">
        <f t="shared" si="24"/>
        <v>0.1</v>
      </c>
      <c r="R248" s="18">
        <f t="shared" si="25"/>
        <v>13880.029999999999</v>
      </c>
      <c r="S248" s="18" t="str">
        <f>IF(Table13[[#This Row],[Quantity]]&lt;=3,"Small",IF(Table13[[#This Row],[Quantity]]&lt;=6,"Medium","Bulk"))</f>
        <v>Bulk</v>
      </c>
      <c r="T248" s="18" t="str">
        <f t="shared" si="26"/>
        <v>High Demand</v>
      </c>
      <c r="U248" s="18" t="str">
        <f t="shared" si="27"/>
        <v>Medium Value</v>
      </c>
    </row>
    <row r="249" spans="1:21" x14ac:dyDescent="0.3">
      <c r="A249" t="s">
        <v>257</v>
      </c>
      <c r="B249" s="1">
        <v>45040</v>
      </c>
      <c r="C249" t="s">
        <v>1211</v>
      </c>
      <c r="D249" t="s">
        <v>1218</v>
      </c>
      <c r="E249" t="s">
        <v>1219</v>
      </c>
      <c r="F249" t="s">
        <v>1239</v>
      </c>
      <c r="G249" s="6">
        <v>2</v>
      </c>
      <c r="H249">
        <v>2674</v>
      </c>
      <c r="I249">
        <v>5348</v>
      </c>
      <c r="J249" s="2">
        <v>1049.02</v>
      </c>
      <c r="K249" s="16">
        <f>Table13[[#This Row],[Profit]]/Table13[[#This Row],[Sales]]</f>
        <v>0.19615183246073298</v>
      </c>
      <c r="L249" s="17" t="str">
        <f t="shared" si="21"/>
        <v>Low</v>
      </c>
      <c r="M249" s="17" t="str">
        <f t="shared" si="22"/>
        <v>Apr</v>
      </c>
      <c r="N249" s="18">
        <f>YEAR(Table13[[#This Row],[Order_Date]])</f>
        <v>2023</v>
      </c>
      <c r="O249" s="18">
        <f>Table13[[#This Row],[Price]]*0.7</f>
        <v>1871.8</v>
      </c>
      <c r="P249" s="18">
        <f t="shared" si="23"/>
        <v>1604.4</v>
      </c>
      <c r="Q249" s="18">
        <f t="shared" si="24"/>
        <v>0.05</v>
      </c>
      <c r="R249" s="18">
        <f t="shared" si="25"/>
        <v>4298.9800000000005</v>
      </c>
      <c r="S249" s="18" t="str">
        <f>IF(Table13[[#This Row],[Quantity]]&lt;=3,"Small",IF(Table13[[#This Row],[Quantity]]&lt;=6,"Medium","Bulk"))</f>
        <v>Small</v>
      </c>
      <c r="T249" s="18" t="str">
        <f t="shared" si="26"/>
        <v>Normal</v>
      </c>
      <c r="U249" s="18" t="str">
        <f t="shared" si="27"/>
        <v>low Value</v>
      </c>
    </row>
    <row r="250" spans="1:21" x14ac:dyDescent="0.3">
      <c r="A250" t="s">
        <v>258</v>
      </c>
      <c r="B250" s="1">
        <v>45254</v>
      </c>
      <c r="C250" t="s">
        <v>1212</v>
      </c>
      <c r="D250" t="s">
        <v>1216</v>
      </c>
      <c r="E250" t="s">
        <v>1220</v>
      </c>
      <c r="F250" t="s">
        <v>1224</v>
      </c>
      <c r="G250" s="6">
        <v>8</v>
      </c>
      <c r="H250">
        <v>4152</v>
      </c>
      <c r="I250">
        <v>33216</v>
      </c>
      <c r="J250" s="2">
        <v>2828.87</v>
      </c>
      <c r="K250" s="16">
        <f>Table13[[#This Row],[Profit]]/Table13[[#This Row],[Sales]]</f>
        <v>8.5165883911368007E-2</v>
      </c>
      <c r="L250" s="17" t="str">
        <f t="shared" si="21"/>
        <v>High</v>
      </c>
      <c r="M250" s="17" t="str">
        <f t="shared" si="22"/>
        <v>Nov</v>
      </c>
      <c r="N250" s="18">
        <f>YEAR(Table13[[#This Row],[Order_Date]])</f>
        <v>2023</v>
      </c>
      <c r="O250" s="18">
        <f>Table13[[#This Row],[Price]]*0.7</f>
        <v>2906.3999999999996</v>
      </c>
      <c r="P250" s="18">
        <f t="shared" si="23"/>
        <v>9964.8000000000029</v>
      </c>
      <c r="Q250" s="18">
        <f t="shared" si="24"/>
        <v>0.1</v>
      </c>
      <c r="R250" s="18">
        <f t="shared" si="25"/>
        <v>30387.13</v>
      </c>
      <c r="S250" s="18" t="str">
        <f>IF(Table13[[#This Row],[Quantity]]&lt;=3,"Small",IF(Table13[[#This Row],[Quantity]]&lt;=6,"Medium","Bulk"))</f>
        <v>Bulk</v>
      </c>
      <c r="T250" s="18" t="str">
        <f t="shared" si="26"/>
        <v>High Demand</v>
      </c>
      <c r="U250" s="18" t="str">
        <f t="shared" si="27"/>
        <v>High Value</v>
      </c>
    </row>
    <row r="251" spans="1:21" x14ac:dyDescent="0.3">
      <c r="A251" t="s">
        <v>259</v>
      </c>
      <c r="B251" s="1">
        <v>45287</v>
      </c>
      <c r="C251" t="s">
        <v>1211</v>
      </c>
      <c r="D251" t="s">
        <v>1216</v>
      </c>
      <c r="E251" t="s">
        <v>1222</v>
      </c>
      <c r="F251" t="s">
        <v>1234</v>
      </c>
      <c r="G251" s="6">
        <v>3</v>
      </c>
      <c r="H251">
        <v>3324</v>
      </c>
      <c r="I251">
        <v>9972</v>
      </c>
      <c r="J251" s="2">
        <v>1928.44</v>
      </c>
      <c r="K251" s="16">
        <f>Table13[[#This Row],[Profit]]/Table13[[#This Row],[Sales]]</f>
        <v>0.19338547934215805</v>
      </c>
      <c r="L251" s="17" t="str">
        <f t="shared" si="21"/>
        <v>Low</v>
      </c>
      <c r="M251" s="17" t="str">
        <f t="shared" si="22"/>
        <v>Dec</v>
      </c>
      <c r="N251" s="18">
        <f>YEAR(Table13[[#This Row],[Order_Date]])</f>
        <v>2023</v>
      </c>
      <c r="O251" s="18">
        <f>Table13[[#This Row],[Price]]*0.7</f>
        <v>2326.7999999999997</v>
      </c>
      <c r="P251" s="18">
        <f t="shared" si="23"/>
        <v>2991.6000000000004</v>
      </c>
      <c r="Q251" s="18">
        <f t="shared" si="24"/>
        <v>0.05</v>
      </c>
      <c r="R251" s="18">
        <f t="shared" si="25"/>
        <v>8043.5599999999995</v>
      </c>
      <c r="S251" s="18" t="str">
        <f>IF(Table13[[#This Row],[Quantity]]&lt;=3,"Small",IF(Table13[[#This Row],[Quantity]]&lt;=6,"Medium","Bulk"))</f>
        <v>Small</v>
      </c>
      <c r="T251" s="18" t="str">
        <f t="shared" si="26"/>
        <v>Normal</v>
      </c>
      <c r="U251" s="18" t="str">
        <f t="shared" si="27"/>
        <v>low Value</v>
      </c>
    </row>
    <row r="252" spans="1:21" x14ac:dyDescent="0.3">
      <c r="A252" t="s">
        <v>260</v>
      </c>
      <c r="B252" s="1">
        <v>45095</v>
      </c>
      <c r="C252" t="s">
        <v>1212</v>
      </c>
      <c r="D252" t="s">
        <v>1215</v>
      </c>
      <c r="E252" t="s">
        <v>1220</v>
      </c>
      <c r="F252" t="s">
        <v>1225</v>
      </c>
      <c r="G252" s="6">
        <v>6</v>
      </c>
      <c r="H252">
        <v>774</v>
      </c>
      <c r="I252">
        <v>4644</v>
      </c>
      <c r="J252" s="2">
        <v>1142.98</v>
      </c>
      <c r="K252" s="16">
        <f>Table13[[#This Row],[Profit]]/Table13[[#This Row],[Sales]]</f>
        <v>0.24611972437553833</v>
      </c>
      <c r="L252" s="17" t="str">
        <f t="shared" si="21"/>
        <v>Low</v>
      </c>
      <c r="M252" s="17" t="str">
        <f t="shared" si="22"/>
        <v>Jun</v>
      </c>
      <c r="N252" s="18">
        <f>YEAR(Table13[[#This Row],[Order_Date]])</f>
        <v>2023</v>
      </c>
      <c r="O252" s="18">
        <f>Table13[[#This Row],[Price]]*0.7</f>
        <v>541.79999999999995</v>
      </c>
      <c r="P252" s="18">
        <f t="shared" si="23"/>
        <v>1393.2000000000003</v>
      </c>
      <c r="Q252" s="18">
        <f t="shared" si="24"/>
        <v>0.1</v>
      </c>
      <c r="R252" s="18">
        <f t="shared" si="25"/>
        <v>3501.02</v>
      </c>
      <c r="S252" s="18" t="str">
        <f>IF(Table13[[#This Row],[Quantity]]&lt;=3,"Small",IF(Table13[[#This Row],[Quantity]]&lt;=6,"Medium","Bulk"))</f>
        <v>Medium</v>
      </c>
      <c r="T252" s="18" t="str">
        <f t="shared" si="26"/>
        <v>High Demand</v>
      </c>
      <c r="U252" s="18" t="str">
        <f t="shared" si="27"/>
        <v>low Value</v>
      </c>
    </row>
    <row r="253" spans="1:21" x14ac:dyDescent="0.3">
      <c r="A253" t="s">
        <v>261</v>
      </c>
      <c r="B253" s="1">
        <v>45028</v>
      </c>
      <c r="C253" t="s">
        <v>1211</v>
      </c>
      <c r="D253" t="s">
        <v>1216</v>
      </c>
      <c r="E253" t="s">
        <v>1222</v>
      </c>
      <c r="F253" t="s">
        <v>1234</v>
      </c>
      <c r="G253" s="6">
        <v>9</v>
      </c>
      <c r="H253">
        <v>1547</v>
      </c>
      <c r="I253">
        <v>13923</v>
      </c>
      <c r="J253" s="2">
        <v>2653.54</v>
      </c>
      <c r="K253" s="16">
        <f>Table13[[#This Row],[Profit]]/Table13[[#This Row],[Sales]]</f>
        <v>0.19058679882209295</v>
      </c>
      <c r="L253" s="17" t="str">
        <f t="shared" si="21"/>
        <v>Medium</v>
      </c>
      <c r="M253" s="17" t="str">
        <f t="shared" si="22"/>
        <v>Apr</v>
      </c>
      <c r="N253" s="18">
        <f>YEAR(Table13[[#This Row],[Order_Date]])</f>
        <v>2023</v>
      </c>
      <c r="O253" s="18">
        <f>Table13[[#This Row],[Price]]*0.7</f>
        <v>1082.8999999999999</v>
      </c>
      <c r="P253" s="18">
        <f t="shared" si="23"/>
        <v>4176.9000000000015</v>
      </c>
      <c r="Q253" s="18">
        <f t="shared" si="24"/>
        <v>0.1</v>
      </c>
      <c r="R253" s="18">
        <f t="shared" si="25"/>
        <v>11269.46</v>
      </c>
      <c r="S253" s="18" t="str">
        <f>IF(Table13[[#This Row],[Quantity]]&lt;=3,"Small",IF(Table13[[#This Row],[Quantity]]&lt;=6,"Medium","Bulk"))</f>
        <v>Bulk</v>
      </c>
      <c r="T253" s="18" t="str">
        <f t="shared" si="26"/>
        <v>Normal</v>
      </c>
      <c r="U253" s="18" t="str">
        <f t="shared" si="27"/>
        <v>Medium Value</v>
      </c>
    </row>
    <row r="254" spans="1:21" x14ac:dyDescent="0.3">
      <c r="A254" t="s">
        <v>262</v>
      </c>
      <c r="B254" s="1">
        <v>45205</v>
      </c>
      <c r="C254" t="s">
        <v>1210</v>
      </c>
      <c r="D254" t="s">
        <v>1215</v>
      </c>
      <c r="E254" t="s">
        <v>1220</v>
      </c>
      <c r="F254" t="s">
        <v>1237</v>
      </c>
      <c r="G254" s="6">
        <v>6</v>
      </c>
      <c r="H254">
        <v>3753</v>
      </c>
      <c r="I254">
        <v>22518</v>
      </c>
      <c r="J254" s="2">
        <v>4719.51</v>
      </c>
      <c r="K254" s="16">
        <f>Table13[[#This Row],[Profit]]/Table13[[#This Row],[Sales]]</f>
        <v>0.20958832933653079</v>
      </c>
      <c r="L254" s="17" t="str">
        <f t="shared" si="21"/>
        <v>High</v>
      </c>
      <c r="M254" s="17" t="str">
        <f t="shared" si="22"/>
        <v>Oct</v>
      </c>
      <c r="N254" s="18">
        <f>YEAR(Table13[[#This Row],[Order_Date]])</f>
        <v>2023</v>
      </c>
      <c r="O254" s="18">
        <f>Table13[[#This Row],[Price]]*0.7</f>
        <v>2627.1</v>
      </c>
      <c r="P254" s="18">
        <f t="shared" si="23"/>
        <v>6755.4000000000015</v>
      </c>
      <c r="Q254" s="18">
        <f t="shared" si="24"/>
        <v>0.1</v>
      </c>
      <c r="R254" s="18">
        <f t="shared" si="25"/>
        <v>17798.489999999998</v>
      </c>
      <c r="S254" s="18" t="str">
        <f>IF(Table13[[#This Row],[Quantity]]&lt;=3,"Small",IF(Table13[[#This Row],[Quantity]]&lt;=6,"Medium","Bulk"))</f>
        <v>Medium</v>
      </c>
      <c r="T254" s="18" t="str">
        <f t="shared" si="26"/>
        <v>Normal</v>
      </c>
      <c r="U254" s="18" t="str">
        <f t="shared" si="27"/>
        <v>High Value</v>
      </c>
    </row>
    <row r="255" spans="1:21" x14ac:dyDescent="0.3">
      <c r="A255" t="s">
        <v>263</v>
      </c>
      <c r="B255" s="1">
        <v>45139</v>
      </c>
      <c r="C255" t="s">
        <v>1210</v>
      </c>
      <c r="D255" t="s">
        <v>1218</v>
      </c>
      <c r="E255" t="s">
        <v>1219</v>
      </c>
      <c r="F255" t="s">
        <v>1232</v>
      </c>
      <c r="G255" s="6">
        <v>8</v>
      </c>
      <c r="H255">
        <v>1021</v>
      </c>
      <c r="I255">
        <v>8168</v>
      </c>
      <c r="J255" s="2">
        <v>1554.72</v>
      </c>
      <c r="K255" s="16">
        <f>Table13[[#This Row],[Profit]]/Table13[[#This Row],[Sales]]</f>
        <v>0.19034280117531832</v>
      </c>
      <c r="L255" s="17" t="str">
        <f t="shared" si="21"/>
        <v>Low</v>
      </c>
      <c r="M255" s="17" t="str">
        <f t="shared" si="22"/>
        <v>Aug</v>
      </c>
      <c r="N255" s="18">
        <f>YEAR(Table13[[#This Row],[Order_Date]])</f>
        <v>2023</v>
      </c>
      <c r="O255" s="18">
        <f>Table13[[#This Row],[Price]]*0.7</f>
        <v>714.69999999999993</v>
      </c>
      <c r="P255" s="18">
        <f t="shared" si="23"/>
        <v>2450.4000000000005</v>
      </c>
      <c r="Q255" s="18">
        <f t="shared" si="24"/>
        <v>0.1</v>
      </c>
      <c r="R255" s="18">
        <f t="shared" si="25"/>
        <v>6613.28</v>
      </c>
      <c r="S255" s="18" t="str">
        <f>IF(Table13[[#This Row],[Quantity]]&lt;=3,"Small",IF(Table13[[#This Row],[Quantity]]&lt;=6,"Medium","Bulk"))</f>
        <v>Bulk</v>
      </c>
      <c r="T255" s="18" t="str">
        <f t="shared" si="26"/>
        <v>Normal</v>
      </c>
      <c r="U255" s="18" t="str">
        <f t="shared" si="27"/>
        <v>low Value</v>
      </c>
    </row>
    <row r="256" spans="1:21" x14ac:dyDescent="0.3">
      <c r="A256" t="s">
        <v>264</v>
      </c>
      <c r="B256" s="1">
        <v>45242</v>
      </c>
      <c r="C256" t="s">
        <v>1212</v>
      </c>
      <c r="D256" t="s">
        <v>1218</v>
      </c>
      <c r="E256" t="s">
        <v>1221</v>
      </c>
      <c r="F256" t="s">
        <v>1229</v>
      </c>
      <c r="G256" s="6">
        <v>7</v>
      </c>
      <c r="H256">
        <v>2390</v>
      </c>
      <c r="I256">
        <v>16730</v>
      </c>
      <c r="J256" s="2">
        <v>3316.38</v>
      </c>
      <c r="K256" s="16">
        <f>Table13[[#This Row],[Profit]]/Table13[[#This Row],[Sales]]</f>
        <v>0.19822952779438135</v>
      </c>
      <c r="L256" s="17" t="str">
        <f t="shared" si="21"/>
        <v>Medium</v>
      </c>
      <c r="M256" s="17" t="str">
        <f t="shared" si="22"/>
        <v>Nov</v>
      </c>
      <c r="N256" s="18">
        <f>YEAR(Table13[[#This Row],[Order_Date]])</f>
        <v>2023</v>
      </c>
      <c r="O256" s="18">
        <f>Table13[[#This Row],[Price]]*0.7</f>
        <v>1673</v>
      </c>
      <c r="P256" s="18">
        <f t="shared" si="23"/>
        <v>5019</v>
      </c>
      <c r="Q256" s="18">
        <f t="shared" si="24"/>
        <v>0.1</v>
      </c>
      <c r="R256" s="18">
        <f t="shared" si="25"/>
        <v>13413.62</v>
      </c>
      <c r="S256" s="18" t="str">
        <f>IF(Table13[[#This Row],[Quantity]]&lt;=3,"Small",IF(Table13[[#This Row],[Quantity]]&lt;=6,"Medium","Bulk"))</f>
        <v>Bulk</v>
      </c>
      <c r="T256" s="18" t="str">
        <f t="shared" si="26"/>
        <v>High Demand</v>
      </c>
      <c r="U256" s="18" t="str">
        <f t="shared" si="27"/>
        <v>Medium Value</v>
      </c>
    </row>
    <row r="257" spans="1:21" x14ac:dyDescent="0.3">
      <c r="A257" t="s">
        <v>265</v>
      </c>
      <c r="B257" s="1">
        <v>45036</v>
      </c>
      <c r="C257" t="s">
        <v>1211</v>
      </c>
      <c r="D257" t="s">
        <v>1217</v>
      </c>
      <c r="E257" t="s">
        <v>1222</v>
      </c>
      <c r="F257" t="s">
        <v>1234</v>
      </c>
      <c r="G257" s="6">
        <v>1</v>
      </c>
      <c r="H257">
        <v>3538</v>
      </c>
      <c r="I257">
        <v>3538</v>
      </c>
      <c r="J257" s="2">
        <v>645.99</v>
      </c>
      <c r="K257" s="16">
        <f>Table13[[#This Row],[Profit]]/Table13[[#This Row],[Sales]]</f>
        <v>0.18258620689655172</v>
      </c>
      <c r="L257" s="17" t="str">
        <f t="shared" si="21"/>
        <v>Low</v>
      </c>
      <c r="M257" s="17" t="str">
        <f t="shared" si="22"/>
        <v>Apr</v>
      </c>
      <c r="N257" s="18">
        <f>YEAR(Table13[[#This Row],[Order_Date]])</f>
        <v>2023</v>
      </c>
      <c r="O257" s="18">
        <f>Table13[[#This Row],[Price]]*0.7</f>
        <v>2476.6</v>
      </c>
      <c r="P257" s="18">
        <f t="shared" si="23"/>
        <v>1061.4000000000001</v>
      </c>
      <c r="Q257" s="18">
        <f t="shared" si="24"/>
        <v>0.05</v>
      </c>
      <c r="R257" s="18">
        <f t="shared" si="25"/>
        <v>2892.01</v>
      </c>
      <c r="S257" s="18" t="str">
        <f>IF(Table13[[#This Row],[Quantity]]&lt;=3,"Small",IF(Table13[[#This Row],[Quantity]]&lt;=6,"Medium","Bulk"))</f>
        <v>Small</v>
      </c>
      <c r="T257" s="18" t="str">
        <f t="shared" si="26"/>
        <v>Normal</v>
      </c>
      <c r="U257" s="18" t="str">
        <f t="shared" si="27"/>
        <v>low Value</v>
      </c>
    </row>
    <row r="258" spans="1:21" x14ac:dyDescent="0.3">
      <c r="A258" t="s">
        <v>266</v>
      </c>
      <c r="B258" s="1">
        <v>45254</v>
      </c>
      <c r="C258" t="s">
        <v>1213</v>
      </c>
      <c r="D258" t="s">
        <v>1217</v>
      </c>
      <c r="E258" t="s">
        <v>1220</v>
      </c>
      <c r="F258" t="s">
        <v>1225</v>
      </c>
      <c r="G258" s="6">
        <v>9</v>
      </c>
      <c r="H258">
        <v>1226</v>
      </c>
      <c r="I258">
        <v>11034</v>
      </c>
      <c r="J258" s="2">
        <v>1900.07</v>
      </c>
      <c r="K258" s="16">
        <f>Table13[[#This Row],[Profit]]/Table13[[#This Row],[Sales]]</f>
        <v>0.17220137756026827</v>
      </c>
      <c r="L258" s="17" t="str">
        <f t="shared" ref="L258:L321" si="28">IF(I258&gt;20000,"High",IF(I258&gt;10000,"Medium","Low"))</f>
        <v>Medium</v>
      </c>
      <c r="M258" s="17" t="str">
        <f t="shared" ref="M258:M321" si="29">TEXT(B258,"mmm")</f>
        <v>Nov</v>
      </c>
      <c r="N258" s="18">
        <f>YEAR(Table13[[#This Row],[Order_Date]])</f>
        <v>2023</v>
      </c>
      <c r="O258" s="18">
        <f>Table13[[#This Row],[Price]]*0.7</f>
        <v>858.19999999999993</v>
      </c>
      <c r="P258" s="18">
        <f t="shared" ref="P258:P321" si="30">I258 - (G258 *O258)</f>
        <v>3310.2000000000007</v>
      </c>
      <c r="Q258" s="18">
        <f t="shared" ref="Q258:Q321" si="31">IF(G258&gt;5,0.1,0.05)</f>
        <v>0.1</v>
      </c>
      <c r="R258" s="18">
        <f t="shared" ref="R258:R321" si="32">I258*(1-K258)</f>
        <v>9133.93</v>
      </c>
      <c r="S258" s="18" t="str">
        <f>IF(Table13[[#This Row],[Quantity]]&lt;=3,"Small",IF(Table13[[#This Row],[Quantity]]&lt;=6,"Medium","Bulk"))</f>
        <v>Bulk</v>
      </c>
      <c r="T258" s="18" t="str">
        <f t="shared" ref="T258:T321" si="33">IF(C258="North","High Demand","Normal")</f>
        <v>Normal</v>
      </c>
      <c r="U258" s="18" t="str">
        <f t="shared" ref="U258:U321" si="34">IF(I258&gt;20000,"High Value",IF(I258&gt;10000,"Medium Value","low Value"))</f>
        <v>Medium Value</v>
      </c>
    </row>
    <row r="259" spans="1:21" x14ac:dyDescent="0.3">
      <c r="A259" t="s">
        <v>267</v>
      </c>
      <c r="B259" s="1">
        <v>45059</v>
      </c>
      <c r="C259" t="s">
        <v>1211</v>
      </c>
      <c r="D259" t="s">
        <v>1215</v>
      </c>
      <c r="E259" t="s">
        <v>1220</v>
      </c>
      <c r="F259" t="s">
        <v>1224</v>
      </c>
      <c r="G259" s="6">
        <v>5</v>
      </c>
      <c r="H259">
        <v>1377</v>
      </c>
      <c r="I259">
        <v>6885</v>
      </c>
      <c r="J259" s="2">
        <v>678.28</v>
      </c>
      <c r="K259" s="16">
        <f>Table13[[#This Row],[Profit]]/Table13[[#This Row],[Sales]]</f>
        <v>9.8515613652868553E-2</v>
      </c>
      <c r="L259" s="17" t="str">
        <f t="shared" si="28"/>
        <v>Low</v>
      </c>
      <c r="M259" s="17" t="str">
        <f t="shared" si="29"/>
        <v>May</v>
      </c>
      <c r="N259" s="18">
        <f>YEAR(Table13[[#This Row],[Order_Date]])</f>
        <v>2023</v>
      </c>
      <c r="O259" s="18">
        <f>Table13[[#This Row],[Price]]*0.7</f>
        <v>963.9</v>
      </c>
      <c r="P259" s="18">
        <f t="shared" si="30"/>
        <v>2065.5</v>
      </c>
      <c r="Q259" s="18">
        <f t="shared" si="31"/>
        <v>0.05</v>
      </c>
      <c r="R259" s="18">
        <f t="shared" si="32"/>
        <v>6206.72</v>
      </c>
      <c r="S259" s="18" t="str">
        <f>IF(Table13[[#This Row],[Quantity]]&lt;=3,"Small",IF(Table13[[#This Row],[Quantity]]&lt;=6,"Medium","Bulk"))</f>
        <v>Medium</v>
      </c>
      <c r="T259" s="18" t="str">
        <f t="shared" si="33"/>
        <v>Normal</v>
      </c>
      <c r="U259" s="18" t="str">
        <f t="shared" si="34"/>
        <v>low Value</v>
      </c>
    </row>
    <row r="260" spans="1:21" x14ac:dyDescent="0.3">
      <c r="A260" t="s">
        <v>268</v>
      </c>
      <c r="B260" s="1">
        <v>45269</v>
      </c>
      <c r="C260" t="s">
        <v>1211</v>
      </c>
      <c r="D260" t="s">
        <v>1217</v>
      </c>
      <c r="E260" t="s">
        <v>1219</v>
      </c>
      <c r="F260" t="s">
        <v>1223</v>
      </c>
      <c r="G260" s="6">
        <v>4</v>
      </c>
      <c r="H260">
        <v>3030</v>
      </c>
      <c r="I260">
        <v>12120</v>
      </c>
      <c r="J260" s="2">
        <v>1782.15</v>
      </c>
      <c r="K260" s="16">
        <f>Table13[[#This Row],[Profit]]/Table13[[#This Row],[Sales]]</f>
        <v>0.14704207920792081</v>
      </c>
      <c r="L260" s="17" t="str">
        <f t="shared" si="28"/>
        <v>Medium</v>
      </c>
      <c r="M260" s="17" t="str">
        <f t="shared" si="29"/>
        <v>Dec</v>
      </c>
      <c r="N260" s="18">
        <f>YEAR(Table13[[#This Row],[Order_Date]])</f>
        <v>2023</v>
      </c>
      <c r="O260" s="18">
        <f>Table13[[#This Row],[Price]]*0.7</f>
        <v>2121</v>
      </c>
      <c r="P260" s="18">
        <f t="shared" si="30"/>
        <v>3636</v>
      </c>
      <c r="Q260" s="18">
        <f t="shared" si="31"/>
        <v>0.05</v>
      </c>
      <c r="R260" s="18">
        <f t="shared" si="32"/>
        <v>10337.85</v>
      </c>
      <c r="S260" s="18" t="str">
        <f>IF(Table13[[#This Row],[Quantity]]&lt;=3,"Small",IF(Table13[[#This Row],[Quantity]]&lt;=6,"Medium","Bulk"))</f>
        <v>Medium</v>
      </c>
      <c r="T260" s="18" t="str">
        <f t="shared" si="33"/>
        <v>Normal</v>
      </c>
      <c r="U260" s="18" t="str">
        <f t="shared" si="34"/>
        <v>Medium Value</v>
      </c>
    </row>
    <row r="261" spans="1:21" x14ac:dyDescent="0.3">
      <c r="A261" t="s">
        <v>269</v>
      </c>
      <c r="B261" s="1">
        <v>45262</v>
      </c>
      <c r="C261" t="s">
        <v>1210</v>
      </c>
      <c r="D261" t="s">
        <v>1215</v>
      </c>
      <c r="E261" t="s">
        <v>1221</v>
      </c>
      <c r="F261" t="s">
        <v>1235</v>
      </c>
      <c r="G261" s="6">
        <v>5</v>
      </c>
      <c r="H261">
        <v>606</v>
      </c>
      <c r="I261">
        <v>3030</v>
      </c>
      <c r="J261" s="2">
        <v>464.34</v>
      </c>
      <c r="K261" s="16">
        <f>Table13[[#This Row],[Profit]]/Table13[[#This Row],[Sales]]</f>
        <v>0.15324752475247524</v>
      </c>
      <c r="L261" s="17" t="str">
        <f t="shared" si="28"/>
        <v>Low</v>
      </c>
      <c r="M261" s="17" t="str">
        <f t="shared" si="29"/>
        <v>Dec</v>
      </c>
      <c r="N261" s="18">
        <f>YEAR(Table13[[#This Row],[Order_Date]])</f>
        <v>2023</v>
      </c>
      <c r="O261" s="18">
        <f>Table13[[#This Row],[Price]]*0.7</f>
        <v>424.2</v>
      </c>
      <c r="P261" s="18">
        <f t="shared" si="30"/>
        <v>909</v>
      </c>
      <c r="Q261" s="18">
        <f t="shared" si="31"/>
        <v>0.05</v>
      </c>
      <c r="R261" s="18">
        <f t="shared" si="32"/>
        <v>2565.66</v>
      </c>
      <c r="S261" s="18" t="str">
        <f>IF(Table13[[#This Row],[Quantity]]&lt;=3,"Small",IF(Table13[[#This Row],[Quantity]]&lt;=6,"Medium","Bulk"))</f>
        <v>Medium</v>
      </c>
      <c r="T261" s="18" t="str">
        <f t="shared" si="33"/>
        <v>Normal</v>
      </c>
      <c r="U261" s="18" t="str">
        <f t="shared" si="34"/>
        <v>low Value</v>
      </c>
    </row>
    <row r="262" spans="1:21" x14ac:dyDescent="0.3">
      <c r="A262" t="s">
        <v>270</v>
      </c>
      <c r="B262" s="1">
        <v>45250</v>
      </c>
      <c r="C262" t="s">
        <v>1212</v>
      </c>
      <c r="D262" t="s">
        <v>1215</v>
      </c>
      <c r="E262" t="s">
        <v>1221</v>
      </c>
      <c r="F262" t="s">
        <v>1235</v>
      </c>
      <c r="G262" s="6">
        <v>9</v>
      </c>
      <c r="H262">
        <v>914</v>
      </c>
      <c r="I262">
        <v>8226</v>
      </c>
      <c r="J262" s="2">
        <v>1189.58</v>
      </c>
      <c r="K262" s="16">
        <f>Table13[[#This Row],[Profit]]/Table13[[#This Row],[Sales]]</f>
        <v>0.14461220520301482</v>
      </c>
      <c r="L262" s="17" t="str">
        <f t="shared" si="28"/>
        <v>Low</v>
      </c>
      <c r="M262" s="17" t="str">
        <f t="shared" si="29"/>
        <v>Nov</v>
      </c>
      <c r="N262" s="18">
        <f>YEAR(Table13[[#This Row],[Order_Date]])</f>
        <v>2023</v>
      </c>
      <c r="O262" s="18">
        <f>Table13[[#This Row],[Price]]*0.7</f>
        <v>639.79999999999995</v>
      </c>
      <c r="P262" s="18">
        <f t="shared" si="30"/>
        <v>2467.8000000000002</v>
      </c>
      <c r="Q262" s="18">
        <f t="shared" si="31"/>
        <v>0.1</v>
      </c>
      <c r="R262" s="18">
        <f t="shared" si="32"/>
        <v>7036.420000000001</v>
      </c>
      <c r="S262" s="18" t="str">
        <f>IF(Table13[[#This Row],[Quantity]]&lt;=3,"Small",IF(Table13[[#This Row],[Quantity]]&lt;=6,"Medium","Bulk"))</f>
        <v>Bulk</v>
      </c>
      <c r="T262" s="18" t="str">
        <f t="shared" si="33"/>
        <v>High Demand</v>
      </c>
      <c r="U262" s="18" t="str">
        <f t="shared" si="34"/>
        <v>low Value</v>
      </c>
    </row>
    <row r="263" spans="1:21" x14ac:dyDescent="0.3">
      <c r="A263" t="s">
        <v>271</v>
      </c>
      <c r="B263" s="1">
        <v>44978</v>
      </c>
      <c r="C263" t="s">
        <v>1211</v>
      </c>
      <c r="D263" t="s">
        <v>1214</v>
      </c>
      <c r="E263" t="s">
        <v>1220</v>
      </c>
      <c r="F263" t="s">
        <v>1237</v>
      </c>
      <c r="G263" s="6">
        <v>2</v>
      </c>
      <c r="H263">
        <v>1163</v>
      </c>
      <c r="I263">
        <v>2326</v>
      </c>
      <c r="J263" s="2">
        <v>287.61</v>
      </c>
      <c r="K263" s="16">
        <f>Table13[[#This Row],[Profit]]/Table13[[#This Row],[Sales]]</f>
        <v>0.1236500429922614</v>
      </c>
      <c r="L263" s="17" t="str">
        <f t="shared" si="28"/>
        <v>Low</v>
      </c>
      <c r="M263" s="17" t="str">
        <f t="shared" si="29"/>
        <v>Feb</v>
      </c>
      <c r="N263" s="18">
        <f>YEAR(Table13[[#This Row],[Order_Date]])</f>
        <v>2023</v>
      </c>
      <c r="O263" s="18">
        <f>Table13[[#This Row],[Price]]*0.7</f>
        <v>814.09999999999991</v>
      </c>
      <c r="P263" s="18">
        <f t="shared" si="30"/>
        <v>697.80000000000018</v>
      </c>
      <c r="Q263" s="18">
        <f t="shared" si="31"/>
        <v>0.05</v>
      </c>
      <c r="R263" s="18">
        <f t="shared" si="32"/>
        <v>2038.39</v>
      </c>
      <c r="S263" s="18" t="str">
        <f>IF(Table13[[#This Row],[Quantity]]&lt;=3,"Small",IF(Table13[[#This Row],[Quantity]]&lt;=6,"Medium","Bulk"))</f>
        <v>Small</v>
      </c>
      <c r="T263" s="18" t="str">
        <f t="shared" si="33"/>
        <v>Normal</v>
      </c>
      <c r="U263" s="18" t="str">
        <f t="shared" si="34"/>
        <v>low Value</v>
      </c>
    </row>
    <row r="264" spans="1:21" x14ac:dyDescent="0.3">
      <c r="A264" t="s">
        <v>272</v>
      </c>
      <c r="B264" s="1">
        <v>45072</v>
      </c>
      <c r="C264" t="s">
        <v>1211</v>
      </c>
      <c r="D264" t="s">
        <v>1218</v>
      </c>
      <c r="E264" t="s">
        <v>1222</v>
      </c>
      <c r="F264" t="s">
        <v>1227</v>
      </c>
      <c r="G264" s="6">
        <v>3</v>
      </c>
      <c r="H264">
        <v>305</v>
      </c>
      <c r="I264">
        <v>915</v>
      </c>
      <c r="J264" s="2">
        <v>168.14</v>
      </c>
      <c r="K264" s="16">
        <f>Table13[[#This Row],[Profit]]/Table13[[#This Row],[Sales]]</f>
        <v>0.18375956284153003</v>
      </c>
      <c r="L264" s="17" t="str">
        <f t="shared" si="28"/>
        <v>Low</v>
      </c>
      <c r="M264" s="17" t="str">
        <f t="shared" si="29"/>
        <v>May</v>
      </c>
      <c r="N264" s="18">
        <f>YEAR(Table13[[#This Row],[Order_Date]])</f>
        <v>2023</v>
      </c>
      <c r="O264" s="18">
        <f>Table13[[#This Row],[Price]]*0.7</f>
        <v>213.5</v>
      </c>
      <c r="P264" s="18">
        <f t="shared" si="30"/>
        <v>274.5</v>
      </c>
      <c r="Q264" s="18">
        <f t="shared" si="31"/>
        <v>0.05</v>
      </c>
      <c r="R264" s="18">
        <f t="shared" si="32"/>
        <v>746.86</v>
      </c>
      <c r="S264" s="18" t="str">
        <f>IF(Table13[[#This Row],[Quantity]]&lt;=3,"Small",IF(Table13[[#This Row],[Quantity]]&lt;=6,"Medium","Bulk"))</f>
        <v>Small</v>
      </c>
      <c r="T264" s="18" t="str">
        <f t="shared" si="33"/>
        <v>Normal</v>
      </c>
      <c r="U264" s="18" t="str">
        <f t="shared" si="34"/>
        <v>low Value</v>
      </c>
    </row>
    <row r="265" spans="1:21" x14ac:dyDescent="0.3">
      <c r="A265" t="s">
        <v>273</v>
      </c>
      <c r="B265" s="1">
        <v>45277</v>
      </c>
      <c r="C265" t="s">
        <v>1213</v>
      </c>
      <c r="D265" t="s">
        <v>1217</v>
      </c>
      <c r="E265" t="s">
        <v>1222</v>
      </c>
      <c r="F265" t="s">
        <v>1236</v>
      </c>
      <c r="G265" s="6">
        <v>9</v>
      </c>
      <c r="H265">
        <v>4645</v>
      </c>
      <c r="I265">
        <v>41805</v>
      </c>
      <c r="J265" s="2">
        <v>4631.8</v>
      </c>
      <c r="K265" s="16">
        <f>Table13[[#This Row],[Profit]]/Table13[[#This Row],[Sales]]</f>
        <v>0.11079535940676953</v>
      </c>
      <c r="L265" s="17" t="str">
        <f t="shared" si="28"/>
        <v>High</v>
      </c>
      <c r="M265" s="17" t="str">
        <f t="shared" si="29"/>
        <v>Dec</v>
      </c>
      <c r="N265" s="18">
        <f>YEAR(Table13[[#This Row],[Order_Date]])</f>
        <v>2023</v>
      </c>
      <c r="O265" s="18">
        <f>Table13[[#This Row],[Price]]*0.7</f>
        <v>3251.5</v>
      </c>
      <c r="P265" s="18">
        <f t="shared" si="30"/>
        <v>12541.5</v>
      </c>
      <c r="Q265" s="18">
        <f t="shared" si="31"/>
        <v>0.1</v>
      </c>
      <c r="R265" s="18">
        <f t="shared" si="32"/>
        <v>37173.199999999997</v>
      </c>
      <c r="S265" s="18" t="str">
        <f>IF(Table13[[#This Row],[Quantity]]&lt;=3,"Small",IF(Table13[[#This Row],[Quantity]]&lt;=6,"Medium","Bulk"))</f>
        <v>Bulk</v>
      </c>
      <c r="T265" s="18" t="str">
        <f t="shared" si="33"/>
        <v>Normal</v>
      </c>
      <c r="U265" s="18" t="str">
        <f t="shared" si="34"/>
        <v>High Value</v>
      </c>
    </row>
    <row r="266" spans="1:21" x14ac:dyDescent="0.3">
      <c r="A266" t="s">
        <v>274</v>
      </c>
      <c r="B266" s="1">
        <v>45224</v>
      </c>
      <c r="C266" t="s">
        <v>1213</v>
      </c>
      <c r="D266" t="s">
        <v>1216</v>
      </c>
      <c r="E266" t="s">
        <v>1219</v>
      </c>
      <c r="F266" t="s">
        <v>1232</v>
      </c>
      <c r="G266" s="6">
        <v>7</v>
      </c>
      <c r="H266">
        <v>2559</v>
      </c>
      <c r="I266">
        <v>17913</v>
      </c>
      <c r="J266" s="2">
        <v>3849.13</v>
      </c>
      <c r="K266" s="16">
        <f>Table13[[#This Row],[Profit]]/Table13[[#This Row],[Sales]]</f>
        <v>0.21487913805616032</v>
      </c>
      <c r="L266" s="17" t="str">
        <f t="shared" si="28"/>
        <v>Medium</v>
      </c>
      <c r="M266" s="17" t="str">
        <f t="shared" si="29"/>
        <v>Oct</v>
      </c>
      <c r="N266" s="18">
        <f>YEAR(Table13[[#This Row],[Order_Date]])</f>
        <v>2023</v>
      </c>
      <c r="O266" s="18">
        <f>Table13[[#This Row],[Price]]*0.7</f>
        <v>1791.3</v>
      </c>
      <c r="P266" s="18">
        <f t="shared" si="30"/>
        <v>5373.9</v>
      </c>
      <c r="Q266" s="18">
        <f t="shared" si="31"/>
        <v>0.1</v>
      </c>
      <c r="R266" s="18">
        <f t="shared" si="32"/>
        <v>14063.87</v>
      </c>
      <c r="S266" s="18" t="str">
        <f>IF(Table13[[#This Row],[Quantity]]&lt;=3,"Small",IF(Table13[[#This Row],[Quantity]]&lt;=6,"Medium","Bulk"))</f>
        <v>Bulk</v>
      </c>
      <c r="T266" s="18" t="str">
        <f t="shared" si="33"/>
        <v>Normal</v>
      </c>
      <c r="U266" s="18" t="str">
        <f t="shared" si="34"/>
        <v>Medium Value</v>
      </c>
    </row>
    <row r="267" spans="1:21" x14ac:dyDescent="0.3">
      <c r="A267" t="s">
        <v>275</v>
      </c>
      <c r="B267" s="1">
        <v>45098</v>
      </c>
      <c r="C267" t="s">
        <v>1213</v>
      </c>
      <c r="D267" t="s">
        <v>1215</v>
      </c>
      <c r="E267" t="s">
        <v>1221</v>
      </c>
      <c r="F267" t="s">
        <v>1226</v>
      </c>
      <c r="G267" s="6">
        <v>6</v>
      </c>
      <c r="H267">
        <v>1998</v>
      </c>
      <c r="I267">
        <v>11988</v>
      </c>
      <c r="J267" s="2">
        <v>2621.5</v>
      </c>
      <c r="K267" s="16">
        <f>Table13[[#This Row],[Profit]]/Table13[[#This Row],[Sales]]</f>
        <v>0.21867701034367701</v>
      </c>
      <c r="L267" s="17" t="str">
        <f t="shared" si="28"/>
        <v>Medium</v>
      </c>
      <c r="M267" s="17" t="str">
        <f t="shared" si="29"/>
        <v>Jun</v>
      </c>
      <c r="N267" s="18">
        <f>YEAR(Table13[[#This Row],[Order_Date]])</f>
        <v>2023</v>
      </c>
      <c r="O267" s="18">
        <f>Table13[[#This Row],[Price]]*0.7</f>
        <v>1398.6</v>
      </c>
      <c r="P267" s="18">
        <f t="shared" si="30"/>
        <v>3596.4000000000015</v>
      </c>
      <c r="Q267" s="18">
        <f t="shared" si="31"/>
        <v>0.1</v>
      </c>
      <c r="R267" s="18">
        <f t="shared" si="32"/>
        <v>9366.5</v>
      </c>
      <c r="S267" s="18" t="str">
        <f>IF(Table13[[#This Row],[Quantity]]&lt;=3,"Small",IF(Table13[[#This Row],[Quantity]]&lt;=6,"Medium","Bulk"))</f>
        <v>Medium</v>
      </c>
      <c r="T267" s="18" t="str">
        <f t="shared" si="33"/>
        <v>Normal</v>
      </c>
      <c r="U267" s="18" t="str">
        <f t="shared" si="34"/>
        <v>Medium Value</v>
      </c>
    </row>
    <row r="268" spans="1:21" x14ac:dyDescent="0.3">
      <c r="A268" t="s">
        <v>276</v>
      </c>
      <c r="B268" s="1">
        <v>44952</v>
      </c>
      <c r="C268" t="s">
        <v>1212</v>
      </c>
      <c r="D268" t="s">
        <v>1217</v>
      </c>
      <c r="E268" t="s">
        <v>1220</v>
      </c>
      <c r="F268" t="s">
        <v>1237</v>
      </c>
      <c r="G268" s="6">
        <v>7</v>
      </c>
      <c r="H268">
        <v>1500</v>
      </c>
      <c r="I268">
        <v>10500</v>
      </c>
      <c r="J268" s="2">
        <v>2418.31</v>
      </c>
      <c r="K268" s="16">
        <f>Table13[[#This Row],[Profit]]/Table13[[#This Row],[Sales]]</f>
        <v>0.2303152380952381</v>
      </c>
      <c r="L268" s="17" t="str">
        <f t="shared" si="28"/>
        <v>Medium</v>
      </c>
      <c r="M268" s="17" t="str">
        <f t="shared" si="29"/>
        <v>Jan</v>
      </c>
      <c r="N268" s="18">
        <f>YEAR(Table13[[#This Row],[Order_Date]])</f>
        <v>2023</v>
      </c>
      <c r="O268" s="18">
        <f>Table13[[#This Row],[Price]]*0.7</f>
        <v>1050</v>
      </c>
      <c r="P268" s="18">
        <f t="shared" si="30"/>
        <v>3150</v>
      </c>
      <c r="Q268" s="18">
        <f t="shared" si="31"/>
        <v>0.1</v>
      </c>
      <c r="R268" s="18">
        <f t="shared" si="32"/>
        <v>8081.69</v>
      </c>
      <c r="S268" s="18" t="str">
        <f>IF(Table13[[#This Row],[Quantity]]&lt;=3,"Small",IF(Table13[[#This Row],[Quantity]]&lt;=6,"Medium","Bulk"))</f>
        <v>Bulk</v>
      </c>
      <c r="T268" s="18" t="str">
        <f t="shared" si="33"/>
        <v>High Demand</v>
      </c>
      <c r="U268" s="18" t="str">
        <f t="shared" si="34"/>
        <v>Medium Value</v>
      </c>
    </row>
    <row r="269" spans="1:21" x14ac:dyDescent="0.3">
      <c r="A269" t="s">
        <v>277</v>
      </c>
      <c r="B269" s="1">
        <v>45078</v>
      </c>
      <c r="C269" t="s">
        <v>1213</v>
      </c>
      <c r="D269" t="s">
        <v>1218</v>
      </c>
      <c r="E269" t="s">
        <v>1221</v>
      </c>
      <c r="F269" t="s">
        <v>1229</v>
      </c>
      <c r="G269" s="6">
        <v>9</v>
      </c>
      <c r="H269">
        <v>1860</v>
      </c>
      <c r="I269">
        <v>16740</v>
      </c>
      <c r="J269" s="2">
        <v>3917.18</v>
      </c>
      <c r="K269" s="16">
        <f>Table13[[#This Row],[Profit]]/Table13[[#This Row],[Sales]]</f>
        <v>0.23400119474313022</v>
      </c>
      <c r="L269" s="17" t="str">
        <f t="shared" si="28"/>
        <v>Medium</v>
      </c>
      <c r="M269" s="17" t="str">
        <f t="shared" si="29"/>
        <v>Jun</v>
      </c>
      <c r="N269" s="18">
        <f>YEAR(Table13[[#This Row],[Order_Date]])</f>
        <v>2023</v>
      </c>
      <c r="O269" s="18">
        <f>Table13[[#This Row],[Price]]*0.7</f>
        <v>1302</v>
      </c>
      <c r="P269" s="18">
        <f t="shared" si="30"/>
        <v>5022</v>
      </c>
      <c r="Q269" s="18">
        <f t="shared" si="31"/>
        <v>0.1</v>
      </c>
      <c r="R269" s="18">
        <f t="shared" si="32"/>
        <v>12822.82</v>
      </c>
      <c r="S269" s="18" t="str">
        <f>IF(Table13[[#This Row],[Quantity]]&lt;=3,"Small",IF(Table13[[#This Row],[Quantity]]&lt;=6,"Medium","Bulk"))</f>
        <v>Bulk</v>
      </c>
      <c r="T269" s="18" t="str">
        <f t="shared" si="33"/>
        <v>Normal</v>
      </c>
      <c r="U269" s="18" t="str">
        <f t="shared" si="34"/>
        <v>Medium Value</v>
      </c>
    </row>
    <row r="270" spans="1:21" x14ac:dyDescent="0.3">
      <c r="A270" t="s">
        <v>278</v>
      </c>
      <c r="B270" s="1">
        <v>45026</v>
      </c>
      <c r="C270" t="s">
        <v>1213</v>
      </c>
      <c r="D270" t="s">
        <v>1217</v>
      </c>
      <c r="E270" t="s">
        <v>1220</v>
      </c>
      <c r="F270" t="s">
        <v>1237</v>
      </c>
      <c r="G270" s="6">
        <v>5</v>
      </c>
      <c r="H270">
        <v>4345</v>
      </c>
      <c r="I270">
        <v>21725</v>
      </c>
      <c r="J270" s="2">
        <v>4441.3</v>
      </c>
      <c r="K270" s="16">
        <f>Table13[[#This Row],[Profit]]/Table13[[#This Row],[Sales]]</f>
        <v>0.20443268124280783</v>
      </c>
      <c r="L270" s="17" t="str">
        <f t="shared" si="28"/>
        <v>High</v>
      </c>
      <c r="M270" s="17" t="str">
        <f t="shared" si="29"/>
        <v>Apr</v>
      </c>
      <c r="N270" s="18">
        <f>YEAR(Table13[[#This Row],[Order_Date]])</f>
        <v>2023</v>
      </c>
      <c r="O270" s="18">
        <f>Table13[[#This Row],[Price]]*0.7</f>
        <v>3041.5</v>
      </c>
      <c r="P270" s="18">
        <f t="shared" si="30"/>
        <v>6517.5</v>
      </c>
      <c r="Q270" s="18">
        <f t="shared" si="31"/>
        <v>0.05</v>
      </c>
      <c r="R270" s="18">
        <f t="shared" si="32"/>
        <v>17283.699999999997</v>
      </c>
      <c r="S270" s="18" t="str">
        <f>IF(Table13[[#This Row],[Quantity]]&lt;=3,"Small",IF(Table13[[#This Row],[Quantity]]&lt;=6,"Medium","Bulk"))</f>
        <v>Medium</v>
      </c>
      <c r="T270" s="18" t="str">
        <f t="shared" si="33"/>
        <v>Normal</v>
      </c>
      <c r="U270" s="18" t="str">
        <f t="shared" si="34"/>
        <v>High Value</v>
      </c>
    </row>
    <row r="271" spans="1:21" x14ac:dyDescent="0.3">
      <c r="A271" t="s">
        <v>279</v>
      </c>
      <c r="B271" s="1">
        <v>44995</v>
      </c>
      <c r="C271" t="s">
        <v>1210</v>
      </c>
      <c r="D271" t="s">
        <v>1218</v>
      </c>
      <c r="E271" t="s">
        <v>1222</v>
      </c>
      <c r="F271" t="s">
        <v>1230</v>
      </c>
      <c r="G271" s="6">
        <v>3</v>
      </c>
      <c r="H271">
        <v>3240</v>
      </c>
      <c r="I271">
        <v>9720</v>
      </c>
      <c r="J271" s="2">
        <v>1478.13</v>
      </c>
      <c r="K271" s="16">
        <f>Table13[[#This Row],[Profit]]/Table13[[#This Row],[Sales]]</f>
        <v>0.152070987654321</v>
      </c>
      <c r="L271" s="17" t="str">
        <f t="shared" si="28"/>
        <v>Low</v>
      </c>
      <c r="M271" s="17" t="str">
        <f t="shared" si="29"/>
        <v>Mar</v>
      </c>
      <c r="N271" s="18">
        <f>YEAR(Table13[[#This Row],[Order_Date]])</f>
        <v>2023</v>
      </c>
      <c r="O271" s="18">
        <f>Table13[[#This Row],[Price]]*0.7</f>
        <v>2268</v>
      </c>
      <c r="P271" s="18">
        <f t="shared" si="30"/>
        <v>2916</v>
      </c>
      <c r="Q271" s="18">
        <f t="shared" si="31"/>
        <v>0.05</v>
      </c>
      <c r="R271" s="18">
        <f t="shared" si="32"/>
        <v>8241.869999999999</v>
      </c>
      <c r="S271" s="18" t="str">
        <f>IF(Table13[[#This Row],[Quantity]]&lt;=3,"Small",IF(Table13[[#This Row],[Quantity]]&lt;=6,"Medium","Bulk"))</f>
        <v>Small</v>
      </c>
      <c r="T271" s="18" t="str">
        <f t="shared" si="33"/>
        <v>Normal</v>
      </c>
      <c r="U271" s="18" t="str">
        <f t="shared" si="34"/>
        <v>low Value</v>
      </c>
    </row>
    <row r="272" spans="1:21" x14ac:dyDescent="0.3">
      <c r="A272" t="s">
        <v>280</v>
      </c>
      <c r="B272" s="1">
        <v>45076</v>
      </c>
      <c r="C272" t="s">
        <v>1213</v>
      </c>
      <c r="D272" t="s">
        <v>1215</v>
      </c>
      <c r="E272" t="s">
        <v>1219</v>
      </c>
      <c r="F272" t="s">
        <v>1223</v>
      </c>
      <c r="G272" s="6">
        <v>2</v>
      </c>
      <c r="H272">
        <v>4968</v>
      </c>
      <c r="I272">
        <v>9936</v>
      </c>
      <c r="J272" s="2">
        <v>1160.98</v>
      </c>
      <c r="K272" s="16">
        <f>Table13[[#This Row],[Profit]]/Table13[[#This Row],[Sales]]</f>
        <v>0.11684581320450886</v>
      </c>
      <c r="L272" s="17" t="str">
        <f t="shared" si="28"/>
        <v>Low</v>
      </c>
      <c r="M272" s="17" t="str">
        <f t="shared" si="29"/>
        <v>May</v>
      </c>
      <c r="N272" s="18">
        <f>YEAR(Table13[[#This Row],[Order_Date]])</f>
        <v>2023</v>
      </c>
      <c r="O272" s="18">
        <f>Table13[[#This Row],[Price]]*0.7</f>
        <v>3477.6</v>
      </c>
      <c r="P272" s="18">
        <f t="shared" si="30"/>
        <v>2980.8</v>
      </c>
      <c r="Q272" s="18">
        <f t="shared" si="31"/>
        <v>0.05</v>
      </c>
      <c r="R272" s="18">
        <f t="shared" si="32"/>
        <v>8775.02</v>
      </c>
      <c r="S272" s="18" t="str">
        <f>IF(Table13[[#This Row],[Quantity]]&lt;=3,"Small",IF(Table13[[#This Row],[Quantity]]&lt;=6,"Medium","Bulk"))</f>
        <v>Small</v>
      </c>
      <c r="T272" s="18" t="str">
        <f t="shared" si="33"/>
        <v>Normal</v>
      </c>
      <c r="U272" s="18" t="str">
        <f t="shared" si="34"/>
        <v>low Value</v>
      </c>
    </row>
    <row r="273" spans="1:21" x14ac:dyDescent="0.3">
      <c r="A273" t="s">
        <v>281</v>
      </c>
      <c r="B273" s="1">
        <v>45004</v>
      </c>
      <c r="C273" t="s">
        <v>1212</v>
      </c>
      <c r="D273" t="s">
        <v>1215</v>
      </c>
      <c r="E273" t="s">
        <v>1219</v>
      </c>
      <c r="F273" t="s">
        <v>1238</v>
      </c>
      <c r="G273" s="6">
        <v>7</v>
      </c>
      <c r="H273">
        <v>1746</v>
      </c>
      <c r="I273">
        <v>12222</v>
      </c>
      <c r="J273" s="2">
        <v>1459.69</v>
      </c>
      <c r="K273" s="16">
        <f>Table13[[#This Row],[Profit]]/Table13[[#This Row],[Sales]]</f>
        <v>0.11943135329733268</v>
      </c>
      <c r="L273" s="17" t="str">
        <f t="shared" si="28"/>
        <v>Medium</v>
      </c>
      <c r="M273" s="17" t="str">
        <f t="shared" si="29"/>
        <v>Mar</v>
      </c>
      <c r="N273" s="18">
        <f>YEAR(Table13[[#This Row],[Order_Date]])</f>
        <v>2023</v>
      </c>
      <c r="O273" s="18">
        <f>Table13[[#This Row],[Price]]*0.7</f>
        <v>1222.1999999999998</v>
      </c>
      <c r="P273" s="18">
        <f t="shared" si="30"/>
        <v>3666.6000000000022</v>
      </c>
      <c r="Q273" s="18">
        <f t="shared" si="31"/>
        <v>0.1</v>
      </c>
      <c r="R273" s="18">
        <f t="shared" si="32"/>
        <v>10762.31</v>
      </c>
      <c r="S273" s="18" t="str">
        <f>IF(Table13[[#This Row],[Quantity]]&lt;=3,"Small",IF(Table13[[#This Row],[Quantity]]&lt;=6,"Medium","Bulk"))</f>
        <v>Bulk</v>
      </c>
      <c r="T273" s="18" t="str">
        <f t="shared" si="33"/>
        <v>High Demand</v>
      </c>
      <c r="U273" s="18" t="str">
        <f t="shared" si="34"/>
        <v>Medium Value</v>
      </c>
    </row>
    <row r="274" spans="1:21" x14ac:dyDescent="0.3">
      <c r="A274" t="s">
        <v>282</v>
      </c>
      <c r="B274" s="1">
        <v>45189</v>
      </c>
      <c r="C274" t="s">
        <v>1212</v>
      </c>
      <c r="D274" t="s">
        <v>1217</v>
      </c>
      <c r="E274" t="s">
        <v>1222</v>
      </c>
      <c r="F274" t="s">
        <v>1230</v>
      </c>
      <c r="G274" s="6">
        <v>9</v>
      </c>
      <c r="H274">
        <v>969</v>
      </c>
      <c r="I274">
        <v>8721</v>
      </c>
      <c r="J274" s="2">
        <v>1104.71</v>
      </c>
      <c r="K274" s="16">
        <f>Table13[[#This Row],[Profit]]/Table13[[#This Row],[Sales]]</f>
        <v>0.12667239995413371</v>
      </c>
      <c r="L274" s="17" t="str">
        <f t="shared" si="28"/>
        <v>Low</v>
      </c>
      <c r="M274" s="17" t="str">
        <f t="shared" si="29"/>
        <v>Sep</v>
      </c>
      <c r="N274" s="18">
        <f>YEAR(Table13[[#This Row],[Order_Date]])</f>
        <v>2023</v>
      </c>
      <c r="O274" s="18">
        <f>Table13[[#This Row],[Price]]*0.7</f>
        <v>678.3</v>
      </c>
      <c r="P274" s="18">
        <f t="shared" si="30"/>
        <v>2616.3000000000002</v>
      </c>
      <c r="Q274" s="18">
        <f t="shared" si="31"/>
        <v>0.1</v>
      </c>
      <c r="R274" s="18">
        <f t="shared" si="32"/>
        <v>7616.29</v>
      </c>
      <c r="S274" s="18" t="str">
        <f>IF(Table13[[#This Row],[Quantity]]&lt;=3,"Small",IF(Table13[[#This Row],[Quantity]]&lt;=6,"Medium","Bulk"))</f>
        <v>Bulk</v>
      </c>
      <c r="T274" s="18" t="str">
        <f t="shared" si="33"/>
        <v>High Demand</v>
      </c>
      <c r="U274" s="18" t="str">
        <f t="shared" si="34"/>
        <v>low Value</v>
      </c>
    </row>
    <row r="275" spans="1:21" x14ac:dyDescent="0.3">
      <c r="A275" t="s">
        <v>283</v>
      </c>
      <c r="B275" s="1">
        <v>45206</v>
      </c>
      <c r="C275" t="s">
        <v>1213</v>
      </c>
      <c r="D275" t="s">
        <v>1214</v>
      </c>
      <c r="E275" t="s">
        <v>1219</v>
      </c>
      <c r="F275" t="s">
        <v>1233</v>
      </c>
      <c r="G275" s="6">
        <v>6</v>
      </c>
      <c r="H275">
        <v>4208</v>
      </c>
      <c r="I275">
        <v>25248</v>
      </c>
      <c r="J275" s="2">
        <v>4991.8900000000003</v>
      </c>
      <c r="K275" s="16">
        <f>Table13[[#This Row],[Profit]]/Table13[[#This Row],[Sales]]</f>
        <v>0.19771427439797212</v>
      </c>
      <c r="L275" s="17" t="str">
        <f t="shared" si="28"/>
        <v>High</v>
      </c>
      <c r="M275" s="17" t="str">
        <f t="shared" si="29"/>
        <v>Oct</v>
      </c>
      <c r="N275" s="18">
        <f>YEAR(Table13[[#This Row],[Order_Date]])</f>
        <v>2023</v>
      </c>
      <c r="O275" s="18">
        <f>Table13[[#This Row],[Price]]*0.7</f>
        <v>2945.6</v>
      </c>
      <c r="P275" s="18">
        <f t="shared" si="30"/>
        <v>7574.4000000000015</v>
      </c>
      <c r="Q275" s="18">
        <f t="shared" si="31"/>
        <v>0.1</v>
      </c>
      <c r="R275" s="18">
        <f t="shared" si="32"/>
        <v>20256.11</v>
      </c>
      <c r="S275" s="18" t="str">
        <f>IF(Table13[[#This Row],[Quantity]]&lt;=3,"Small",IF(Table13[[#This Row],[Quantity]]&lt;=6,"Medium","Bulk"))</f>
        <v>Medium</v>
      </c>
      <c r="T275" s="18" t="str">
        <f t="shared" si="33"/>
        <v>Normal</v>
      </c>
      <c r="U275" s="18" t="str">
        <f t="shared" si="34"/>
        <v>High Value</v>
      </c>
    </row>
    <row r="276" spans="1:21" x14ac:dyDescent="0.3">
      <c r="A276" t="s">
        <v>284</v>
      </c>
      <c r="B276" s="1">
        <v>45035</v>
      </c>
      <c r="C276" t="s">
        <v>1211</v>
      </c>
      <c r="D276" t="s">
        <v>1216</v>
      </c>
      <c r="E276" t="s">
        <v>1221</v>
      </c>
      <c r="F276" t="s">
        <v>1239</v>
      </c>
      <c r="G276" s="6">
        <v>6</v>
      </c>
      <c r="H276">
        <v>2801</v>
      </c>
      <c r="I276">
        <v>16806</v>
      </c>
      <c r="J276" s="2">
        <v>3931.58</v>
      </c>
      <c r="K276" s="16">
        <f>Table13[[#This Row],[Profit]]/Table13[[#This Row],[Sales]]</f>
        <v>0.23393906937998332</v>
      </c>
      <c r="L276" s="17" t="str">
        <f t="shared" si="28"/>
        <v>Medium</v>
      </c>
      <c r="M276" s="17" t="str">
        <f t="shared" si="29"/>
        <v>Apr</v>
      </c>
      <c r="N276" s="18">
        <f>YEAR(Table13[[#This Row],[Order_Date]])</f>
        <v>2023</v>
      </c>
      <c r="O276" s="18">
        <f>Table13[[#This Row],[Price]]*0.7</f>
        <v>1960.6999999999998</v>
      </c>
      <c r="P276" s="18">
        <f t="shared" si="30"/>
        <v>5041.8000000000011</v>
      </c>
      <c r="Q276" s="18">
        <f t="shared" si="31"/>
        <v>0.1</v>
      </c>
      <c r="R276" s="18">
        <f t="shared" si="32"/>
        <v>12874.42</v>
      </c>
      <c r="S276" s="18" t="str">
        <f>IF(Table13[[#This Row],[Quantity]]&lt;=3,"Small",IF(Table13[[#This Row],[Quantity]]&lt;=6,"Medium","Bulk"))</f>
        <v>Medium</v>
      </c>
      <c r="T276" s="18" t="str">
        <f t="shared" si="33"/>
        <v>Normal</v>
      </c>
      <c r="U276" s="18" t="str">
        <f t="shared" si="34"/>
        <v>Medium Value</v>
      </c>
    </row>
    <row r="277" spans="1:21" x14ac:dyDescent="0.3">
      <c r="A277" t="s">
        <v>285</v>
      </c>
      <c r="B277" s="1">
        <v>44996</v>
      </c>
      <c r="C277" t="s">
        <v>1212</v>
      </c>
      <c r="D277" t="s">
        <v>1216</v>
      </c>
      <c r="E277" t="s">
        <v>1221</v>
      </c>
      <c r="F277" t="s">
        <v>1231</v>
      </c>
      <c r="G277" s="6">
        <v>1</v>
      </c>
      <c r="H277">
        <v>272</v>
      </c>
      <c r="I277">
        <v>272</v>
      </c>
      <c r="J277" s="2">
        <v>36.71</v>
      </c>
      <c r="K277" s="16">
        <f>Table13[[#This Row],[Profit]]/Table13[[#This Row],[Sales]]</f>
        <v>0.13496323529411766</v>
      </c>
      <c r="L277" s="17" t="str">
        <f t="shared" si="28"/>
        <v>Low</v>
      </c>
      <c r="M277" s="17" t="str">
        <f t="shared" si="29"/>
        <v>Mar</v>
      </c>
      <c r="N277" s="18">
        <f>YEAR(Table13[[#This Row],[Order_Date]])</f>
        <v>2023</v>
      </c>
      <c r="O277" s="18">
        <f>Table13[[#This Row],[Price]]*0.7</f>
        <v>190.39999999999998</v>
      </c>
      <c r="P277" s="18">
        <f t="shared" si="30"/>
        <v>81.600000000000023</v>
      </c>
      <c r="Q277" s="18">
        <f t="shared" si="31"/>
        <v>0.05</v>
      </c>
      <c r="R277" s="18">
        <f t="shared" si="32"/>
        <v>235.29</v>
      </c>
      <c r="S277" s="18" t="str">
        <f>IF(Table13[[#This Row],[Quantity]]&lt;=3,"Small",IF(Table13[[#This Row],[Quantity]]&lt;=6,"Medium","Bulk"))</f>
        <v>Small</v>
      </c>
      <c r="T277" s="18" t="str">
        <f t="shared" si="33"/>
        <v>High Demand</v>
      </c>
      <c r="U277" s="18" t="str">
        <f t="shared" si="34"/>
        <v>low Value</v>
      </c>
    </row>
    <row r="278" spans="1:21" x14ac:dyDescent="0.3">
      <c r="A278" t="s">
        <v>286</v>
      </c>
      <c r="B278" s="1">
        <v>45086</v>
      </c>
      <c r="C278" t="s">
        <v>1212</v>
      </c>
      <c r="D278" t="s">
        <v>1217</v>
      </c>
      <c r="E278" t="s">
        <v>1222</v>
      </c>
      <c r="F278" t="s">
        <v>1234</v>
      </c>
      <c r="G278" s="6">
        <v>2</v>
      </c>
      <c r="H278">
        <v>2764</v>
      </c>
      <c r="I278">
        <v>5528</v>
      </c>
      <c r="J278" s="2">
        <v>507.96</v>
      </c>
      <c r="K278" s="16">
        <f>Table13[[#This Row],[Profit]]/Table13[[#This Row],[Sales]]</f>
        <v>9.1888567293777132E-2</v>
      </c>
      <c r="L278" s="17" t="str">
        <f t="shared" si="28"/>
        <v>Low</v>
      </c>
      <c r="M278" s="17" t="str">
        <f t="shared" si="29"/>
        <v>Jun</v>
      </c>
      <c r="N278" s="18">
        <f>YEAR(Table13[[#This Row],[Order_Date]])</f>
        <v>2023</v>
      </c>
      <c r="O278" s="18">
        <f>Table13[[#This Row],[Price]]*0.7</f>
        <v>1934.8</v>
      </c>
      <c r="P278" s="18">
        <f t="shared" si="30"/>
        <v>1658.4</v>
      </c>
      <c r="Q278" s="18">
        <f t="shared" si="31"/>
        <v>0.05</v>
      </c>
      <c r="R278" s="18">
        <f t="shared" si="32"/>
        <v>5020.04</v>
      </c>
      <c r="S278" s="18" t="str">
        <f>IF(Table13[[#This Row],[Quantity]]&lt;=3,"Small",IF(Table13[[#This Row],[Quantity]]&lt;=6,"Medium","Bulk"))</f>
        <v>Small</v>
      </c>
      <c r="T278" s="18" t="str">
        <f t="shared" si="33"/>
        <v>High Demand</v>
      </c>
      <c r="U278" s="18" t="str">
        <f t="shared" si="34"/>
        <v>low Value</v>
      </c>
    </row>
    <row r="279" spans="1:21" x14ac:dyDescent="0.3">
      <c r="A279" t="s">
        <v>287</v>
      </c>
      <c r="B279" s="1">
        <v>45141</v>
      </c>
      <c r="C279" t="s">
        <v>1213</v>
      </c>
      <c r="D279" t="s">
        <v>1217</v>
      </c>
      <c r="E279" t="s">
        <v>1219</v>
      </c>
      <c r="F279" t="s">
        <v>1233</v>
      </c>
      <c r="G279" s="6">
        <v>3</v>
      </c>
      <c r="H279">
        <v>541</v>
      </c>
      <c r="I279">
        <v>1623</v>
      </c>
      <c r="J279" s="2">
        <v>314.56</v>
      </c>
      <c r="K279" s="16">
        <f>Table13[[#This Row],[Profit]]/Table13[[#This Row],[Sales]]</f>
        <v>0.1938139248305607</v>
      </c>
      <c r="L279" s="17" t="str">
        <f t="shared" si="28"/>
        <v>Low</v>
      </c>
      <c r="M279" s="17" t="str">
        <f t="shared" si="29"/>
        <v>Aug</v>
      </c>
      <c r="N279" s="18">
        <f>YEAR(Table13[[#This Row],[Order_Date]])</f>
        <v>2023</v>
      </c>
      <c r="O279" s="18">
        <f>Table13[[#This Row],[Price]]*0.7</f>
        <v>378.7</v>
      </c>
      <c r="P279" s="18">
        <f t="shared" si="30"/>
        <v>486.90000000000009</v>
      </c>
      <c r="Q279" s="18">
        <f t="shared" si="31"/>
        <v>0.05</v>
      </c>
      <c r="R279" s="18">
        <f t="shared" si="32"/>
        <v>1308.44</v>
      </c>
      <c r="S279" s="18" t="str">
        <f>IF(Table13[[#This Row],[Quantity]]&lt;=3,"Small",IF(Table13[[#This Row],[Quantity]]&lt;=6,"Medium","Bulk"))</f>
        <v>Small</v>
      </c>
      <c r="T279" s="18" t="str">
        <f t="shared" si="33"/>
        <v>Normal</v>
      </c>
      <c r="U279" s="18" t="str">
        <f t="shared" si="34"/>
        <v>low Value</v>
      </c>
    </row>
    <row r="280" spans="1:21" x14ac:dyDescent="0.3">
      <c r="A280" t="s">
        <v>288</v>
      </c>
      <c r="B280" s="1">
        <v>45042</v>
      </c>
      <c r="C280" t="s">
        <v>1213</v>
      </c>
      <c r="D280" t="s">
        <v>1216</v>
      </c>
      <c r="E280" t="s">
        <v>1220</v>
      </c>
      <c r="F280" t="s">
        <v>1228</v>
      </c>
      <c r="G280" s="6">
        <v>3</v>
      </c>
      <c r="H280">
        <v>2601</v>
      </c>
      <c r="I280">
        <v>7803</v>
      </c>
      <c r="J280" s="2">
        <v>1216.33</v>
      </c>
      <c r="K280" s="16">
        <f>Table13[[#This Row],[Profit]]/Table13[[#This Row],[Sales]]</f>
        <v>0.15587978982442649</v>
      </c>
      <c r="L280" s="17" t="str">
        <f t="shared" si="28"/>
        <v>Low</v>
      </c>
      <c r="M280" s="17" t="str">
        <f t="shared" si="29"/>
        <v>Apr</v>
      </c>
      <c r="N280" s="18">
        <f>YEAR(Table13[[#This Row],[Order_Date]])</f>
        <v>2023</v>
      </c>
      <c r="O280" s="18">
        <f>Table13[[#This Row],[Price]]*0.7</f>
        <v>1820.6999999999998</v>
      </c>
      <c r="P280" s="18">
        <f t="shared" si="30"/>
        <v>2340.9000000000005</v>
      </c>
      <c r="Q280" s="18">
        <f t="shared" si="31"/>
        <v>0.05</v>
      </c>
      <c r="R280" s="18">
        <f t="shared" si="32"/>
        <v>6586.67</v>
      </c>
      <c r="S280" s="18" t="str">
        <f>IF(Table13[[#This Row],[Quantity]]&lt;=3,"Small",IF(Table13[[#This Row],[Quantity]]&lt;=6,"Medium","Bulk"))</f>
        <v>Small</v>
      </c>
      <c r="T280" s="18" t="str">
        <f t="shared" si="33"/>
        <v>Normal</v>
      </c>
      <c r="U280" s="18" t="str">
        <f t="shared" si="34"/>
        <v>low Value</v>
      </c>
    </row>
    <row r="281" spans="1:21" x14ac:dyDescent="0.3">
      <c r="A281" t="s">
        <v>289</v>
      </c>
      <c r="B281" s="1">
        <v>45229</v>
      </c>
      <c r="C281" t="s">
        <v>1212</v>
      </c>
      <c r="D281" t="s">
        <v>1217</v>
      </c>
      <c r="E281" t="s">
        <v>1220</v>
      </c>
      <c r="F281" t="s">
        <v>1224</v>
      </c>
      <c r="G281" s="6">
        <v>5</v>
      </c>
      <c r="H281">
        <v>2068</v>
      </c>
      <c r="I281">
        <v>10340</v>
      </c>
      <c r="J281" s="2">
        <v>1943.33</v>
      </c>
      <c r="K281" s="16">
        <f>Table13[[#This Row],[Profit]]/Table13[[#This Row],[Sales]]</f>
        <v>0.18794294003868472</v>
      </c>
      <c r="L281" s="17" t="str">
        <f t="shared" si="28"/>
        <v>Medium</v>
      </c>
      <c r="M281" s="17" t="str">
        <f t="shared" si="29"/>
        <v>Oct</v>
      </c>
      <c r="N281" s="18">
        <f>YEAR(Table13[[#This Row],[Order_Date]])</f>
        <v>2023</v>
      </c>
      <c r="O281" s="18">
        <f>Table13[[#This Row],[Price]]*0.7</f>
        <v>1447.6</v>
      </c>
      <c r="P281" s="18">
        <f t="shared" si="30"/>
        <v>3102</v>
      </c>
      <c r="Q281" s="18">
        <f t="shared" si="31"/>
        <v>0.05</v>
      </c>
      <c r="R281" s="18">
        <f t="shared" si="32"/>
        <v>8396.67</v>
      </c>
      <c r="S281" s="18" t="str">
        <f>IF(Table13[[#This Row],[Quantity]]&lt;=3,"Small",IF(Table13[[#This Row],[Quantity]]&lt;=6,"Medium","Bulk"))</f>
        <v>Medium</v>
      </c>
      <c r="T281" s="18" t="str">
        <f t="shared" si="33"/>
        <v>High Demand</v>
      </c>
      <c r="U281" s="18" t="str">
        <f t="shared" si="34"/>
        <v>Medium Value</v>
      </c>
    </row>
    <row r="282" spans="1:21" x14ac:dyDescent="0.3">
      <c r="A282" t="s">
        <v>290</v>
      </c>
      <c r="B282" s="1">
        <v>45071</v>
      </c>
      <c r="C282" t="s">
        <v>1213</v>
      </c>
      <c r="D282" t="s">
        <v>1216</v>
      </c>
      <c r="E282" t="s">
        <v>1220</v>
      </c>
      <c r="F282" t="s">
        <v>1225</v>
      </c>
      <c r="G282" s="6">
        <v>9</v>
      </c>
      <c r="H282">
        <v>2302</v>
      </c>
      <c r="I282">
        <v>20718</v>
      </c>
      <c r="J282" s="2">
        <v>4320.6899999999996</v>
      </c>
      <c r="K282" s="16">
        <f>Table13[[#This Row],[Profit]]/Table13[[#This Row],[Sales]]</f>
        <v>0.20854763973356499</v>
      </c>
      <c r="L282" s="17" t="str">
        <f t="shared" si="28"/>
        <v>High</v>
      </c>
      <c r="M282" s="17" t="str">
        <f t="shared" si="29"/>
        <v>May</v>
      </c>
      <c r="N282" s="18">
        <f>YEAR(Table13[[#This Row],[Order_Date]])</f>
        <v>2023</v>
      </c>
      <c r="O282" s="18">
        <f>Table13[[#This Row],[Price]]*0.7</f>
        <v>1611.3999999999999</v>
      </c>
      <c r="P282" s="18">
        <f t="shared" si="30"/>
        <v>6215.4000000000015</v>
      </c>
      <c r="Q282" s="18">
        <f t="shared" si="31"/>
        <v>0.1</v>
      </c>
      <c r="R282" s="18">
        <f t="shared" si="32"/>
        <v>16397.309999999998</v>
      </c>
      <c r="S282" s="18" t="str">
        <f>IF(Table13[[#This Row],[Quantity]]&lt;=3,"Small",IF(Table13[[#This Row],[Quantity]]&lt;=6,"Medium","Bulk"))</f>
        <v>Bulk</v>
      </c>
      <c r="T282" s="18" t="str">
        <f t="shared" si="33"/>
        <v>Normal</v>
      </c>
      <c r="U282" s="18" t="str">
        <f t="shared" si="34"/>
        <v>High Value</v>
      </c>
    </row>
    <row r="283" spans="1:21" x14ac:dyDescent="0.3">
      <c r="A283" t="s">
        <v>291</v>
      </c>
      <c r="B283" s="1">
        <v>45205</v>
      </c>
      <c r="C283" t="s">
        <v>1213</v>
      </c>
      <c r="D283" t="s">
        <v>1214</v>
      </c>
      <c r="E283" t="s">
        <v>1221</v>
      </c>
      <c r="F283" t="s">
        <v>1226</v>
      </c>
      <c r="G283" s="6">
        <v>3</v>
      </c>
      <c r="H283">
        <v>1879</v>
      </c>
      <c r="I283">
        <v>5637</v>
      </c>
      <c r="J283" s="2">
        <v>817.53</v>
      </c>
      <c r="K283" s="16">
        <f>Table13[[#This Row],[Profit]]/Table13[[#This Row],[Sales]]</f>
        <v>0.14502927088877063</v>
      </c>
      <c r="L283" s="17" t="str">
        <f t="shared" si="28"/>
        <v>Low</v>
      </c>
      <c r="M283" s="17" t="str">
        <f t="shared" si="29"/>
        <v>Oct</v>
      </c>
      <c r="N283" s="18">
        <f>YEAR(Table13[[#This Row],[Order_Date]])</f>
        <v>2023</v>
      </c>
      <c r="O283" s="18">
        <f>Table13[[#This Row],[Price]]*0.7</f>
        <v>1315.3</v>
      </c>
      <c r="P283" s="18">
        <f t="shared" si="30"/>
        <v>1691.1000000000004</v>
      </c>
      <c r="Q283" s="18">
        <f t="shared" si="31"/>
        <v>0.05</v>
      </c>
      <c r="R283" s="18">
        <f t="shared" si="32"/>
        <v>4819.47</v>
      </c>
      <c r="S283" s="18" t="str">
        <f>IF(Table13[[#This Row],[Quantity]]&lt;=3,"Small",IF(Table13[[#This Row],[Quantity]]&lt;=6,"Medium","Bulk"))</f>
        <v>Small</v>
      </c>
      <c r="T283" s="18" t="str">
        <f t="shared" si="33"/>
        <v>Normal</v>
      </c>
      <c r="U283" s="18" t="str">
        <f t="shared" si="34"/>
        <v>low Value</v>
      </c>
    </row>
    <row r="284" spans="1:21" x14ac:dyDescent="0.3">
      <c r="A284" t="s">
        <v>292</v>
      </c>
      <c r="B284" s="1">
        <v>45247</v>
      </c>
      <c r="C284" t="s">
        <v>1212</v>
      </c>
      <c r="D284" t="s">
        <v>1215</v>
      </c>
      <c r="E284" t="s">
        <v>1221</v>
      </c>
      <c r="F284" t="s">
        <v>1229</v>
      </c>
      <c r="G284" s="6">
        <v>5</v>
      </c>
      <c r="H284">
        <v>4143</v>
      </c>
      <c r="I284">
        <v>20715</v>
      </c>
      <c r="J284" s="2">
        <v>4363.8599999999997</v>
      </c>
      <c r="K284" s="16">
        <f>Table13[[#This Row],[Profit]]/Table13[[#This Row],[Sales]]</f>
        <v>0.2106618392469225</v>
      </c>
      <c r="L284" s="17" t="str">
        <f t="shared" si="28"/>
        <v>High</v>
      </c>
      <c r="M284" s="17" t="str">
        <f t="shared" si="29"/>
        <v>Nov</v>
      </c>
      <c r="N284" s="18">
        <f>YEAR(Table13[[#This Row],[Order_Date]])</f>
        <v>2023</v>
      </c>
      <c r="O284" s="18">
        <f>Table13[[#This Row],[Price]]*0.7</f>
        <v>2900.1</v>
      </c>
      <c r="P284" s="18">
        <f t="shared" si="30"/>
        <v>6214.5</v>
      </c>
      <c r="Q284" s="18">
        <f t="shared" si="31"/>
        <v>0.05</v>
      </c>
      <c r="R284" s="18">
        <f t="shared" si="32"/>
        <v>16351.140000000001</v>
      </c>
      <c r="S284" s="18" t="str">
        <f>IF(Table13[[#This Row],[Quantity]]&lt;=3,"Small",IF(Table13[[#This Row],[Quantity]]&lt;=6,"Medium","Bulk"))</f>
        <v>Medium</v>
      </c>
      <c r="T284" s="18" t="str">
        <f t="shared" si="33"/>
        <v>High Demand</v>
      </c>
      <c r="U284" s="18" t="str">
        <f t="shared" si="34"/>
        <v>High Value</v>
      </c>
    </row>
    <row r="285" spans="1:21" x14ac:dyDescent="0.3">
      <c r="A285" t="s">
        <v>293</v>
      </c>
      <c r="B285" s="1">
        <v>45087</v>
      </c>
      <c r="C285" t="s">
        <v>1212</v>
      </c>
      <c r="D285" t="s">
        <v>1216</v>
      </c>
      <c r="E285" t="s">
        <v>1221</v>
      </c>
      <c r="F285" t="s">
        <v>1229</v>
      </c>
      <c r="G285" s="6">
        <v>6</v>
      </c>
      <c r="H285">
        <v>4751</v>
      </c>
      <c r="I285">
        <v>28506</v>
      </c>
      <c r="J285" s="2">
        <v>5940.54</v>
      </c>
      <c r="K285" s="16">
        <f>Table13[[#This Row],[Profit]]/Table13[[#This Row],[Sales]]</f>
        <v>0.20839612713113029</v>
      </c>
      <c r="L285" s="17" t="str">
        <f t="shared" si="28"/>
        <v>High</v>
      </c>
      <c r="M285" s="17" t="str">
        <f t="shared" si="29"/>
        <v>Jun</v>
      </c>
      <c r="N285" s="18">
        <f>YEAR(Table13[[#This Row],[Order_Date]])</f>
        <v>2023</v>
      </c>
      <c r="O285" s="18">
        <f>Table13[[#This Row],[Price]]*0.7</f>
        <v>3325.7</v>
      </c>
      <c r="P285" s="18">
        <f t="shared" si="30"/>
        <v>8551.8000000000029</v>
      </c>
      <c r="Q285" s="18">
        <f t="shared" si="31"/>
        <v>0.1</v>
      </c>
      <c r="R285" s="18">
        <f t="shared" si="32"/>
        <v>22565.46</v>
      </c>
      <c r="S285" s="18" t="str">
        <f>IF(Table13[[#This Row],[Quantity]]&lt;=3,"Small",IF(Table13[[#This Row],[Quantity]]&lt;=6,"Medium","Bulk"))</f>
        <v>Medium</v>
      </c>
      <c r="T285" s="18" t="str">
        <f t="shared" si="33"/>
        <v>High Demand</v>
      </c>
      <c r="U285" s="18" t="str">
        <f t="shared" si="34"/>
        <v>High Value</v>
      </c>
    </row>
    <row r="286" spans="1:21" x14ac:dyDescent="0.3">
      <c r="A286" t="s">
        <v>294</v>
      </c>
      <c r="B286" s="1">
        <v>45077</v>
      </c>
      <c r="C286" t="s">
        <v>1211</v>
      </c>
      <c r="D286" t="s">
        <v>1215</v>
      </c>
      <c r="E286" t="s">
        <v>1220</v>
      </c>
      <c r="F286" t="s">
        <v>1224</v>
      </c>
      <c r="G286" s="6">
        <v>2</v>
      </c>
      <c r="H286">
        <v>2756</v>
      </c>
      <c r="I286">
        <v>5512</v>
      </c>
      <c r="J286" s="2">
        <v>474.84</v>
      </c>
      <c r="K286" s="16">
        <f>Table13[[#This Row],[Profit]]/Table13[[#This Row],[Sales]]</f>
        <v>8.6146589259796805E-2</v>
      </c>
      <c r="L286" s="17" t="str">
        <f t="shared" si="28"/>
        <v>Low</v>
      </c>
      <c r="M286" s="17" t="str">
        <f t="shared" si="29"/>
        <v>May</v>
      </c>
      <c r="N286" s="18">
        <f>YEAR(Table13[[#This Row],[Order_Date]])</f>
        <v>2023</v>
      </c>
      <c r="O286" s="18">
        <f>Table13[[#This Row],[Price]]*0.7</f>
        <v>1929.1999999999998</v>
      </c>
      <c r="P286" s="18">
        <f t="shared" si="30"/>
        <v>1653.6000000000004</v>
      </c>
      <c r="Q286" s="18">
        <f t="shared" si="31"/>
        <v>0.05</v>
      </c>
      <c r="R286" s="18">
        <f t="shared" si="32"/>
        <v>5037.16</v>
      </c>
      <c r="S286" s="18" t="str">
        <f>IF(Table13[[#This Row],[Quantity]]&lt;=3,"Small",IF(Table13[[#This Row],[Quantity]]&lt;=6,"Medium","Bulk"))</f>
        <v>Small</v>
      </c>
      <c r="T286" s="18" t="str">
        <f t="shared" si="33"/>
        <v>Normal</v>
      </c>
      <c r="U286" s="18" t="str">
        <f t="shared" si="34"/>
        <v>low Value</v>
      </c>
    </row>
    <row r="287" spans="1:21" x14ac:dyDescent="0.3">
      <c r="A287" t="s">
        <v>295</v>
      </c>
      <c r="B287" s="1">
        <v>45257</v>
      </c>
      <c r="C287" t="s">
        <v>1210</v>
      </c>
      <c r="D287" t="s">
        <v>1216</v>
      </c>
      <c r="E287" t="s">
        <v>1220</v>
      </c>
      <c r="F287" t="s">
        <v>1228</v>
      </c>
      <c r="G287" s="6">
        <v>5</v>
      </c>
      <c r="H287">
        <v>3017</v>
      </c>
      <c r="I287">
        <v>15085</v>
      </c>
      <c r="J287" s="2">
        <v>3609.58</v>
      </c>
      <c r="K287" s="16">
        <f>Table13[[#This Row],[Profit]]/Table13[[#This Row],[Sales]]</f>
        <v>0.23928273118992377</v>
      </c>
      <c r="L287" s="17" t="str">
        <f t="shared" si="28"/>
        <v>Medium</v>
      </c>
      <c r="M287" s="17" t="str">
        <f t="shared" si="29"/>
        <v>Nov</v>
      </c>
      <c r="N287" s="18">
        <f>YEAR(Table13[[#This Row],[Order_Date]])</f>
        <v>2023</v>
      </c>
      <c r="O287" s="18">
        <f>Table13[[#This Row],[Price]]*0.7</f>
        <v>2111.9</v>
      </c>
      <c r="P287" s="18">
        <f t="shared" si="30"/>
        <v>4525.5</v>
      </c>
      <c r="Q287" s="18">
        <f t="shared" si="31"/>
        <v>0.05</v>
      </c>
      <c r="R287" s="18">
        <f t="shared" si="32"/>
        <v>11475.42</v>
      </c>
      <c r="S287" s="18" t="str">
        <f>IF(Table13[[#This Row],[Quantity]]&lt;=3,"Small",IF(Table13[[#This Row],[Quantity]]&lt;=6,"Medium","Bulk"))</f>
        <v>Medium</v>
      </c>
      <c r="T287" s="18" t="str">
        <f t="shared" si="33"/>
        <v>Normal</v>
      </c>
      <c r="U287" s="18" t="str">
        <f t="shared" si="34"/>
        <v>Medium Value</v>
      </c>
    </row>
    <row r="288" spans="1:21" x14ac:dyDescent="0.3">
      <c r="A288" t="s">
        <v>296</v>
      </c>
      <c r="B288" s="1">
        <v>45069</v>
      </c>
      <c r="C288" t="s">
        <v>1211</v>
      </c>
      <c r="D288" t="s">
        <v>1216</v>
      </c>
      <c r="E288" t="s">
        <v>1220</v>
      </c>
      <c r="F288" t="s">
        <v>1237</v>
      </c>
      <c r="G288" s="6">
        <v>4</v>
      </c>
      <c r="H288">
        <v>4606</v>
      </c>
      <c r="I288">
        <v>18424</v>
      </c>
      <c r="J288" s="2">
        <v>1980.58</v>
      </c>
      <c r="K288" s="16">
        <f>Table13[[#This Row],[Profit]]/Table13[[#This Row],[Sales]]</f>
        <v>0.1075</v>
      </c>
      <c r="L288" s="17" t="str">
        <f t="shared" si="28"/>
        <v>Medium</v>
      </c>
      <c r="M288" s="17" t="str">
        <f t="shared" si="29"/>
        <v>May</v>
      </c>
      <c r="N288" s="18">
        <f>YEAR(Table13[[#This Row],[Order_Date]])</f>
        <v>2023</v>
      </c>
      <c r="O288" s="18">
        <f>Table13[[#This Row],[Price]]*0.7</f>
        <v>3224.2</v>
      </c>
      <c r="P288" s="18">
        <f t="shared" si="30"/>
        <v>5527.2000000000007</v>
      </c>
      <c r="Q288" s="18">
        <f t="shared" si="31"/>
        <v>0.05</v>
      </c>
      <c r="R288" s="18">
        <f t="shared" si="32"/>
        <v>16443.419999999998</v>
      </c>
      <c r="S288" s="18" t="str">
        <f>IF(Table13[[#This Row],[Quantity]]&lt;=3,"Small",IF(Table13[[#This Row],[Quantity]]&lt;=6,"Medium","Bulk"))</f>
        <v>Medium</v>
      </c>
      <c r="T288" s="18" t="str">
        <f t="shared" si="33"/>
        <v>Normal</v>
      </c>
      <c r="U288" s="18" t="str">
        <f t="shared" si="34"/>
        <v>Medium Value</v>
      </c>
    </row>
    <row r="289" spans="1:21" x14ac:dyDescent="0.3">
      <c r="A289" t="s">
        <v>297</v>
      </c>
      <c r="B289" s="1">
        <v>45217</v>
      </c>
      <c r="C289" t="s">
        <v>1211</v>
      </c>
      <c r="D289" t="s">
        <v>1217</v>
      </c>
      <c r="E289" t="s">
        <v>1222</v>
      </c>
      <c r="F289" t="s">
        <v>1236</v>
      </c>
      <c r="G289" s="6">
        <v>1</v>
      </c>
      <c r="H289">
        <v>4337</v>
      </c>
      <c r="I289">
        <v>4337</v>
      </c>
      <c r="J289" s="2">
        <v>744.9</v>
      </c>
      <c r="K289" s="16">
        <f>Table13[[#This Row],[Profit]]/Table13[[#This Row],[Sales]]</f>
        <v>0.17175466912612405</v>
      </c>
      <c r="L289" s="17" t="str">
        <f t="shared" si="28"/>
        <v>Low</v>
      </c>
      <c r="M289" s="17" t="str">
        <f t="shared" si="29"/>
        <v>Oct</v>
      </c>
      <c r="N289" s="18">
        <f>YEAR(Table13[[#This Row],[Order_Date]])</f>
        <v>2023</v>
      </c>
      <c r="O289" s="18">
        <f>Table13[[#This Row],[Price]]*0.7</f>
        <v>3035.8999999999996</v>
      </c>
      <c r="P289" s="18">
        <f t="shared" si="30"/>
        <v>1301.1000000000004</v>
      </c>
      <c r="Q289" s="18">
        <f t="shared" si="31"/>
        <v>0.05</v>
      </c>
      <c r="R289" s="18">
        <f t="shared" si="32"/>
        <v>3592.1</v>
      </c>
      <c r="S289" s="18" t="str">
        <f>IF(Table13[[#This Row],[Quantity]]&lt;=3,"Small",IF(Table13[[#This Row],[Quantity]]&lt;=6,"Medium","Bulk"))</f>
        <v>Small</v>
      </c>
      <c r="T289" s="18" t="str">
        <f t="shared" si="33"/>
        <v>Normal</v>
      </c>
      <c r="U289" s="18" t="str">
        <f t="shared" si="34"/>
        <v>low Value</v>
      </c>
    </row>
    <row r="290" spans="1:21" x14ac:dyDescent="0.3">
      <c r="A290" t="s">
        <v>298</v>
      </c>
      <c r="B290" s="1">
        <v>44940</v>
      </c>
      <c r="C290" t="s">
        <v>1212</v>
      </c>
      <c r="D290" t="s">
        <v>1215</v>
      </c>
      <c r="E290" t="s">
        <v>1220</v>
      </c>
      <c r="F290" t="s">
        <v>1225</v>
      </c>
      <c r="G290" s="6">
        <v>6</v>
      </c>
      <c r="H290">
        <v>3338</v>
      </c>
      <c r="I290">
        <v>20028</v>
      </c>
      <c r="J290" s="2">
        <v>4292.1000000000004</v>
      </c>
      <c r="K290" s="16">
        <f>Table13[[#This Row],[Profit]]/Table13[[#This Row],[Sales]]</f>
        <v>0.21430497303774718</v>
      </c>
      <c r="L290" s="17" t="str">
        <f t="shared" si="28"/>
        <v>High</v>
      </c>
      <c r="M290" s="17" t="str">
        <f t="shared" si="29"/>
        <v>Jan</v>
      </c>
      <c r="N290" s="18">
        <f>YEAR(Table13[[#This Row],[Order_Date]])</f>
        <v>2023</v>
      </c>
      <c r="O290" s="18">
        <f>Table13[[#This Row],[Price]]*0.7</f>
        <v>2336.6</v>
      </c>
      <c r="P290" s="18">
        <f t="shared" si="30"/>
        <v>6008.4000000000015</v>
      </c>
      <c r="Q290" s="18">
        <f t="shared" si="31"/>
        <v>0.1</v>
      </c>
      <c r="R290" s="18">
        <f t="shared" si="32"/>
        <v>15735.9</v>
      </c>
      <c r="S290" s="18" t="str">
        <f>IF(Table13[[#This Row],[Quantity]]&lt;=3,"Small",IF(Table13[[#This Row],[Quantity]]&lt;=6,"Medium","Bulk"))</f>
        <v>Medium</v>
      </c>
      <c r="T290" s="18" t="str">
        <f t="shared" si="33"/>
        <v>High Demand</v>
      </c>
      <c r="U290" s="18" t="str">
        <f t="shared" si="34"/>
        <v>High Value</v>
      </c>
    </row>
    <row r="291" spans="1:21" x14ac:dyDescent="0.3">
      <c r="A291" t="s">
        <v>299</v>
      </c>
      <c r="B291" s="1">
        <v>45202</v>
      </c>
      <c r="C291" t="s">
        <v>1211</v>
      </c>
      <c r="D291" t="s">
        <v>1217</v>
      </c>
      <c r="E291" t="s">
        <v>1219</v>
      </c>
      <c r="F291" t="s">
        <v>1233</v>
      </c>
      <c r="G291" s="6">
        <v>2</v>
      </c>
      <c r="H291">
        <v>3178</v>
      </c>
      <c r="I291">
        <v>6356</v>
      </c>
      <c r="J291" s="2">
        <v>882.45</v>
      </c>
      <c r="K291" s="16">
        <f>Table13[[#This Row],[Profit]]/Table13[[#This Row],[Sales]]</f>
        <v>0.13883731906859662</v>
      </c>
      <c r="L291" s="17" t="str">
        <f t="shared" si="28"/>
        <v>Low</v>
      </c>
      <c r="M291" s="17" t="str">
        <f t="shared" si="29"/>
        <v>Oct</v>
      </c>
      <c r="N291" s="18">
        <f>YEAR(Table13[[#This Row],[Order_Date]])</f>
        <v>2023</v>
      </c>
      <c r="O291" s="18">
        <f>Table13[[#This Row],[Price]]*0.7</f>
        <v>2224.6</v>
      </c>
      <c r="P291" s="18">
        <f t="shared" si="30"/>
        <v>1906.8000000000002</v>
      </c>
      <c r="Q291" s="18">
        <f t="shared" si="31"/>
        <v>0.05</v>
      </c>
      <c r="R291" s="18">
        <f t="shared" si="32"/>
        <v>5473.55</v>
      </c>
      <c r="S291" s="18" t="str">
        <f>IF(Table13[[#This Row],[Quantity]]&lt;=3,"Small",IF(Table13[[#This Row],[Quantity]]&lt;=6,"Medium","Bulk"))</f>
        <v>Small</v>
      </c>
      <c r="T291" s="18" t="str">
        <f t="shared" si="33"/>
        <v>Normal</v>
      </c>
      <c r="U291" s="18" t="str">
        <f t="shared" si="34"/>
        <v>low Value</v>
      </c>
    </row>
    <row r="292" spans="1:21" x14ac:dyDescent="0.3">
      <c r="A292" t="s">
        <v>300</v>
      </c>
      <c r="B292" s="1">
        <v>45247</v>
      </c>
      <c r="C292" t="s">
        <v>1211</v>
      </c>
      <c r="D292" t="s">
        <v>1215</v>
      </c>
      <c r="E292" t="s">
        <v>1222</v>
      </c>
      <c r="F292" t="s">
        <v>1230</v>
      </c>
      <c r="G292" s="6">
        <v>9</v>
      </c>
      <c r="H292">
        <v>4459</v>
      </c>
      <c r="I292">
        <v>40131</v>
      </c>
      <c r="J292" s="2">
        <v>7347.31</v>
      </c>
      <c r="K292" s="16">
        <f>Table13[[#This Row],[Profit]]/Table13[[#This Row],[Sales]]</f>
        <v>0.18308315267498942</v>
      </c>
      <c r="L292" s="17" t="str">
        <f t="shared" si="28"/>
        <v>High</v>
      </c>
      <c r="M292" s="17" t="str">
        <f t="shared" si="29"/>
        <v>Nov</v>
      </c>
      <c r="N292" s="18">
        <f>YEAR(Table13[[#This Row],[Order_Date]])</f>
        <v>2023</v>
      </c>
      <c r="O292" s="18">
        <f>Table13[[#This Row],[Price]]*0.7</f>
        <v>3121.2999999999997</v>
      </c>
      <c r="P292" s="18">
        <f t="shared" si="30"/>
        <v>12039.300000000003</v>
      </c>
      <c r="Q292" s="18">
        <f t="shared" si="31"/>
        <v>0.1</v>
      </c>
      <c r="R292" s="18">
        <f t="shared" si="32"/>
        <v>32783.69</v>
      </c>
      <c r="S292" s="18" t="str">
        <f>IF(Table13[[#This Row],[Quantity]]&lt;=3,"Small",IF(Table13[[#This Row],[Quantity]]&lt;=6,"Medium","Bulk"))</f>
        <v>Bulk</v>
      </c>
      <c r="T292" s="18" t="str">
        <f t="shared" si="33"/>
        <v>Normal</v>
      </c>
      <c r="U292" s="18" t="str">
        <f t="shared" si="34"/>
        <v>High Value</v>
      </c>
    </row>
    <row r="293" spans="1:21" x14ac:dyDescent="0.3">
      <c r="A293" t="s">
        <v>301</v>
      </c>
      <c r="B293" s="1">
        <v>45067</v>
      </c>
      <c r="C293" t="s">
        <v>1212</v>
      </c>
      <c r="D293" t="s">
        <v>1217</v>
      </c>
      <c r="E293" t="s">
        <v>1221</v>
      </c>
      <c r="F293" t="s">
        <v>1235</v>
      </c>
      <c r="G293" s="6">
        <v>3</v>
      </c>
      <c r="H293">
        <v>2160</v>
      </c>
      <c r="I293">
        <v>6480</v>
      </c>
      <c r="J293" s="2">
        <v>1427.44</v>
      </c>
      <c r="K293" s="16">
        <f>Table13[[#This Row],[Profit]]/Table13[[#This Row],[Sales]]</f>
        <v>0.22028395061728395</v>
      </c>
      <c r="L293" s="17" t="str">
        <f t="shared" si="28"/>
        <v>Low</v>
      </c>
      <c r="M293" s="17" t="str">
        <f t="shared" si="29"/>
        <v>May</v>
      </c>
      <c r="N293" s="18">
        <f>YEAR(Table13[[#This Row],[Order_Date]])</f>
        <v>2023</v>
      </c>
      <c r="O293" s="18">
        <f>Table13[[#This Row],[Price]]*0.7</f>
        <v>1512</v>
      </c>
      <c r="P293" s="18">
        <f t="shared" si="30"/>
        <v>1944</v>
      </c>
      <c r="Q293" s="18">
        <f t="shared" si="31"/>
        <v>0.05</v>
      </c>
      <c r="R293" s="18">
        <f t="shared" si="32"/>
        <v>5052.5599999999995</v>
      </c>
      <c r="S293" s="18" t="str">
        <f>IF(Table13[[#This Row],[Quantity]]&lt;=3,"Small",IF(Table13[[#This Row],[Quantity]]&lt;=6,"Medium","Bulk"))</f>
        <v>Small</v>
      </c>
      <c r="T293" s="18" t="str">
        <f t="shared" si="33"/>
        <v>High Demand</v>
      </c>
      <c r="U293" s="18" t="str">
        <f t="shared" si="34"/>
        <v>low Value</v>
      </c>
    </row>
    <row r="294" spans="1:21" x14ac:dyDescent="0.3">
      <c r="A294" t="s">
        <v>302</v>
      </c>
      <c r="B294" s="1">
        <v>44994</v>
      </c>
      <c r="C294" t="s">
        <v>1212</v>
      </c>
      <c r="D294" t="s">
        <v>1216</v>
      </c>
      <c r="E294" t="s">
        <v>1221</v>
      </c>
      <c r="F294" t="s">
        <v>1231</v>
      </c>
      <c r="G294" s="6">
        <v>2</v>
      </c>
      <c r="H294">
        <v>1163</v>
      </c>
      <c r="I294">
        <v>2326</v>
      </c>
      <c r="J294" s="2">
        <v>239.53</v>
      </c>
      <c r="K294" s="16">
        <f>Table13[[#This Row],[Profit]]/Table13[[#This Row],[Sales]]</f>
        <v>0.10297936371453138</v>
      </c>
      <c r="L294" s="17" t="str">
        <f t="shared" si="28"/>
        <v>Low</v>
      </c>
      <c r="M294" s="17" t="str">
        <f t="shared" si="29"/>
        <v>Mar</v>
      </c>
      <c r="N294" s="18">
        <f>YEAR(Table13[[#This Row],[Order_Date]])</f>
        <v>2023</v>
      </c>
      <c r="O294" s="18">
        <f>Table13[[#This Row],[Price]]*0.7</f>
        <v>814.09999999999991</v>
      </c>
      <c r="P294" s="18">
        <f t="shared" si="30"/>
        <v>697.80000000000018</v>
      </c>
      <c r="Q294" s="18">
        <f t="shared" si="31"/>
        <v>0.05</v>
      </c>
      <c r="R294" s="18">
        <f t="shared" si="32"/>
        <v>2086.4699999999998</v>
      </c>
      <c r="S294" s="18" t="str">
        <f>IF(Table13[[#This Row],[Quantity]]&lt;=3,"Small",IF(Table13[[#This Row],[Quantity]]&lt;=6,"Medium","Bulk"))</f>
        <v>Small</v>
      </c>
      <c r="T294" s="18" t="str">
        <f t="shared" si="33"/>
        <v>High Demand</v>
      </c>
      <c r="U294" s="18" t="str">
        <f t="shared" si="34"/>
        <v>low Value</v>
      </c>
    </row>
    <row r="295" spans="1:21" x14ac:dyDescent="0.3">
      <c r="A295" t="s">
        <v>303</v>
      </c>
      <c r="B295" s="1">
        <v>45086</v>
      </c>
      <c r="C295" t="s">
        <v>1212</v>
      </c>
      <c r="D295" t="s">
        <v>1214</v>
      </c>
      <c r="E295" t="s">
        <v>1221</v>
      </c>
      <c r="F295" t="s">
        <v>1226</v>
      </c>
      <c r="G295" s="6">
        <v>4</v>
      </c>
      <c r="H295">
        <v>3236</v>
      </c>
      <c r="I295">
        <v>12944</v>
      </c>
      <c r="J295" s="2">
        <v>1268.03</v>
      </c>
      <c r="K295" s="16">
        <f>Table13[[#This Row],[Profit]]/Table13[[#This Row],[Sales]]</f>
        <v>9.7962762669962913E-2</v>
      </c>
      <c r="L295" s="17" t="str">
        <f t="shared" si="28"/>
        <v>Medium</v>
      </c>
      <c r="M295" s="17" t="str">
        <f t="shared" si="29"/>
        <v>Jun</v>
      </c>
      <c r="N295" s="18">
        <f>YEAR(Table13[[#This Row],[Order_Date]])</f>
        <v>2023</v>
      </c>
      <c r="O295" s="18">
        <f>Table13[[#This Row],[Price]]*0.7</f>
        <v>2265.1999999999998</v>
      </c>
      <c r="P295" s="18">
        <f t="shared" si="30"/>
        <v>3883.2000000000007</v>
      </c>
      <c r="Q295" s="18">
        <f t="shared" si="31"/>
        <v>0.05</v>
      </c>
      <c r="R295" s="18">
        <f t="shared" si="32"/>
        <v>11675.97</v>
      </c>
      <c r="S295" s="18" t="str">
        <f>IF(Table13[[#This Row],[Quantity]]&lt;=3,"Small",IF(Table13[[#This Row],[Quantity]]&lt;=6,"Medium","Bulk"))</f>
        <v>Medium</v>
      </c>
      <c r="T295" s="18" t="str">
        <f t="shared" si="33"/>
        <v>High Demand</v>
      </c>
      <c r="U295" s="18" t="str">
        <f t="shared" si="34"/>
        <v>Medium Value</v>
      </c>
    </row>
    <row r="296" spans="1:21" x14ac:dyDescent="0.3">
      <c r="A296" t="s">
        <v>304</v>
      </c>
      <c r="B296" s="1">
        <v>45056</v>
      </c>
      <c r="C296" t="s">
        <v>1211</v>
      </c>
      <c r="D296" t="s">
        <v>1214</v>
      </c>
      <c r="E296" t="s">
        <v>1220</v>
      </c>
      <c r="F296" t="s">
        <v>1225</v>
      </c>
      <c r="G296" s="6">
        <v>7</v>
      </c>
      <c r="H296">
        <v>2153</v>
      </c>
      <c r="I296">
        <v>15071</v>
      </c>
      <c r="J296" s="2">
        <v>2383.7199999999998</v>
      </c>
      <c r="K296" s="16">
        <f>Table13[[#This Row],[Profit]]/Table13[[#This Row],[Sales]]</f>
        <v>0.15816601419945589</v>
      </c>
      <c r="L296" s="17" t="str">
        <f t="shared" si="28"/>
        <v>Medium</v>
      </c>
      <c r="M296" s="17" t="str">
        <f t="shared" si="29"/>
        <v>May</v>
      </c>
      <c r="N296" s="18">
        <f>YEAR(Table13[[#This Row],[Order_Date]])</f>
        <v>2023</v>
      </c>
      <c r="O296" s="18">
        <f>Table13[[#This Row],[Price]]*0.7</f>
        <v>1507.1</v>
      </c>
      <c r="P296" s="18">
        <f t="shared" si="30"/>
        <v>4521.3000000000011</v>
      </c>
      <c r="Q296" s="18">
        <f t="shared" si="31"/>
        <v>0.1</v>
      </c>
      <c r="R296" s="18">
        <f t="shared" si="32"/>
        <v>12687.28</v>
      </c>
      <c r="S296" s="18" t="str">
        <f>IF(Table13[[#This Row],[Quantity]]&lt;=3,"Small",IF(Table13[[#This Row],[Quantity]]&lt;=6,"Medium","Bulk"))</f>
        <v>Bulk</v>
      </c>
      <c r="T296" s="18" t="str">
        <f t="shared" si="33"/>
        <v>Normal</v>
      </c>
      <c r="U296" s="18" t="str">
        <f t="shared" si="34"/>
        <v>Medium Value</v>
      </c>
    </row>
    <row r="297" spans="1:21" x14ac:dyDescent="0.3">
      <c r="A297" t="s">
        <v>305</v>
      </c>
      <c r="B297" s="1">
        <v>45025</v>
      </c>
      <c r="C297" t="s">
        <v>1212</v>
      </c>
      <c r="D297" t="s">
        <v>1218</v>
      </c>
      <c r="E297" t="s">
        <v>1220</v>
      </c>
      <c r="F297" t="s">
        <v>1228</v>
      </c>
      <c r="G297" s="6">
        <v>8</v>
      </c>
      <c r="H297">
        <v>656</v>
      </c>
      <c r="I297">
        <v>5248</v>
      </c>
      <c r="J297" s="2">
        <v>803.77</v>
      </c>
      <c r="K297" s="16">
        <f>Table13[[#This Row],[Profit]]/Table13[[#This Row],[Sales]]</f>
        <v>0.15315739329268294</v>
      </c>
      <c r="L297" s="17" t="str">
        <f t="shared" si="28"/>
        <v>Low</v>
      </c>
      <c r="M297" s="17" t="str">
        <f t="shared" si="29"/>
        <v>Apr</v>
      </c>
      <c r="N297" s="18">
        <f>YEAR(Table13[[#This Row],[Order_Date]])</f>
        <v>2023</v>
      </c>
      <c r="O297" s="18">
        <f>Table13[[#This Row],[Price]]*0.7</f>
        <v>459.2</v>
      </c>
      <c r="P297" s="18">
        <f t="shared" si="30"/>
        <v>1574.4</v>
      </c>
      <c r="Q297" s="18">
        <f t="shared" si="31"/>
        <v>0.1</v>
      </c>
      <c r="R297" s="18">
        <f t="shared" si="32"/>
        <v>4444.2299999999996</v>
      </c>
      <c r="S297" s="18" t="str">
        <f>IF(Table13[[#This Row],[Quantity]]&lt;=3,"Small",IF(Table13[[#This Row],[Quantity]]&lt;=6,"Medium","Bulk"))</f>
        <v>Bulk</v>
      </c>
      <c r="T297" s="18" t="str">
        <f t="shared" si="33"/>
        <v>High Demand</v>
      </c>
      <c r="U297" s="18" t="str">
        <f t="shared" si="34"/>
        <v>low Value</v>
      </c>
    </row>
    <row r="298" spans="1:21" x14ac:dyDescent="0.3">
      <c r="A298" t="s">
        <v>306</v>
      </c>
      <c r="B298" s="1">
        <v>45186</v>
      </c>
      <c r="C298" t="s">
        <v>1213</v>
      </c>
      <c r="D298" t="s">
        <v>1218</v>
      </c>
      <c r="E298" t="s">
        <v>1221</v>
      </c>
      <c r="F298" t="s">
        <v>1229</v>
      </c>
      <c r="G298" s="6">
        <v>3</v>
      </c>
      <c r="H298">
        <v>599</v>
      </c>
      <c r="I298">
        <v>1797</v>
      </c>
      <c r="J298" s="2">
        <v>162.79</v>
      </c>
      <c r="K298" s="16">
        <f>Table13[[#This Row],[Profit]]/Table13[[#This Row],[Sales]]</f>
        <v>9.0589872008903727E-2</v>
      </c>
      <c r="L298" s="17" t="str">
        <f t="shared" si="28"/>
        <v>Low</v>
      </c>
      <c r="M298" s="17" t="str">
        <f t="shared" si="29"/>
        <v>Sep</v>
      </c>
      <c r="N298" s="18">
        <f>YEAR(Table13[[#This Row],[Order_Date]])</f>
        <v>2023</v>
      </c>
      <c r="O298" s="18">
        <f>Table13[[#This Row],[Price]]*0.7</f>
        <v>419.29999999999995</v>
      </c>
      <c r="P298" s="18">
        <f t="shared" si="30"/>
        <v>539.10000000000014</v>
      </c>
      <c r="Q298" s="18">
        <f t="shared" si="31"/>
        <v>0.05</v>
      </c>
      <c r="R298" s="18">
        <f t="shared" si="32"/>
        <v>1634.2099999999998</v>
      </c>
      <c r="S298" s="18" t="str">
        <f>IF(Table13[[#This Row],[Quantity]]&lt;=3,"Small",IF(Table13[[#This Row],[Quantity]]&lt;=6,"Medium","Bulk"))</f>
        <v>Small</v>
      </c>
      <c r="T298" s="18" t="str">
        <f t="shared" si="33"/>
        <v>Normal</v>
      </c>
      <c r="U298" s="18" t="str">
        <f t="shared" si="34"/>
        <v>low Value</v>
      </c>
    </row>
    <row r="299" spans="1:21" x14ac:dyDescent="0.3">
      <c r="A299" t="s">
        <v>307</v>
      </c>
      <c r="B299" s="1">
        <v>45050</v>
      </c>
      <c r="C299" t="s">
        <v>1211</v>
      </c>
      <c r="D299" t="s">
        <v>1217</v>
      </c>
      <c r="E299" t="s">
        <v>1222</v>
      </c>
      <c r="F299" t="s">
        <v>1227</v>
      </c>
      <c r="G299" s="6">
        <v>4</v>
      </c>
      <c r="H299">
        <v>3492</v>
      </c>
      <c r="I299">
        <v>13968</v>
      </c>
      <c r="J299" s="2">
        <v>2598.92</v>
      </c>
      <c r="K299" s="16">
        <f>Table13[[#This Row],[Profit]]/Table13[[#This Row],[Sales]]</f>
        <v>0.18606242840778925</v>
      </c>
      <c r="L299" s="17" t="str">
        <f t="shared" si="28"/>
        <v>Medium</v>
      </c>
      <c r="M299" s="17" t="str">
        <f t="shared" si="29"/>
        <v>May</v>
      </c>
      <c r="N299" s="18">
        <f>YEAR(Table13[[#This Row],[Order_Date]])</f>
        <v>2023</v>
      </c>
      <c r="O299" s="18">
        <f>Table13[[#This Row],[Price]]*0.7</f>
        <v>2444.3999999999996</v>
      </c>
      <c r="P299" s="18">
        <f t="shared" si="30"/>
        <v>4190.4000000000015</v>
      </c>
      <c r="Q299" s="18">
        <f t="shared" si="31"/>
        <v>0.05</v>
      </c>
      <c r="R299" s="18">
        <f t="shared" si="32"/>
        <v>11369.08</v>
      </c>
      <c r="S299" s="18" t="str">
        <f>IF(Table13[[#This Row],[Quantity]]&lt;=3,"Small",IF(Table13[[#This Row],[Quantity]]&lt;=6,"Medium","Bulk"))</f>
        <v>Medium</v>
      </c>
      <c r="T299" s="18" t="str">
        <f t="shared" si="33"/>
        <v>Normal</v>
      </c>
      <c r="U299" s="18" t="str">
        <f t="shared" si="34"/>
        <v>Medium Value</v>
      </c>
    </row>
    <row r="300" spans="1:21" x14ac:dyDescent="0.3">
      <c r="A300" t="s">
        <v>308</v>
      </c>
      <c r="B300" s="1">
        <v>44933</v>
      </c>
      <c r="C300" t="s">
        <v>1210</v>
      </c>
      <c r="D300" t="s">
        <v>1216</v>
      </c>
      <c r="E300" t="s">
        <v>1219</v>
      </c>
      <c r="F300" t="s">
        <v>1232</v>
      </c>
      <c r="G300" s="6">
        <v>4</v>
      </c>
      <c r="H300">
        <v>967</v>
      </c>
      <c r="I300">
        <v>3868</v>
      </c>
      <c r="J300" s="2">
        <v>437.42</v>
      </c>
      <c r="K300" s="16">
        <f>Table13[[#This Row],[Profit]]/Table13[[#This Row],[Sales]]</f>
        <v>0.11308686659772493</v>
      </c>
      <c r="L300" s="17" t="str">
        <f t="shared" si="28"/>
        <v>Low</v>
      </c>
      <c r="M300" s="17" t="str">
        <f t="shared" si="29"/>
        <v>Jan</v>
      </c>
      <c r="N300" s="18">
        <f>YEAR(Table13[[#This Row],[Order_Date]])</f>
        <v>2023</v>
      </c>
      <c r="O300" s="18">
        <f>Table13[[#This Row],[Price]]*0.7</f>
        <v>676.9</v>
      </c>
      <c r="P300" s="18">
        <f t="shared" si="30"/>
        <v>1160.4000000000001</v>
      </c>
      <c r="Q300" s="18">
        <f t="shared" si="31"/>
        <v>0.05</v>
      </c>
      <c r="R300" s="18">
        <f t="shared" si="32"/>
        <v>3430.58</v>
      </c>
      <c r="S300" s="18" t="str">
        <f>IF(Table13[[#This Row],[Quantity]]&lt;=3,"Small",IF(Table13[[#This Row],[Quantity]]&lt;=6,"Medium","Bulk"))</f>
        <v>Medium</v>
      </c>
      <c r="T300" s="18" t="str">
        <f t="shared" si="33"/>
        <v>Normal</v>
      </c>
      <c r="U300" s="18" t="str">
        <f t="shared" si="34"/>
        <v>low Value</v>
      </c>
    </row>
    <row r="301" spans="1:21" x14ac:dyDescent="0.3">
      <c r="A301" t="s">
        <v>309</v>
      </c>
      <c r="B301" s="1">
        <v>45059</v>
      </c>
      <c r="C301" t="s">
        <v>1211</v>
      </c>
      <c r="D301" t="s">
        <v>1217</v>
      </c>
      <c r="E301" t="s">
        <v>1220</v>
      </c>
      <c r="F301" t="s">
        <v>1225</v>
      </c>
      <c r="G301" s="6">
        <v>7</v>
      </c>
      <c r="H301">
        <v>1964</v>
      </c>
      <c r="I301">
        <v>13748</v>
      </c>
      <c r="J301" s="2">
        <v>2004.5</v>
      </c>
      <c r="K301" s="16">
        <f>Table13[[#This Row],[Profit]]/Table13[[#This Row],[Sales]]</f>
        <v>0.14580302589467559</v>
      </c>
      <c r="L301" s="17" t="str">
        <f t="shared" si="28"/>
        <v>Medium</v>
      </c>
      <c r="M301" s="17" t="str">
        <f t="shared" si="29"/>
        <v>May</v>
      </c>
      <c r="N301" s="18">
        <f>YEAR(Table13[[#This Row],[Order_Date]])</f>
        <v>2023</v>
      </c>
      <c r="O301" s="18">
        <f>Table13[[#This Row],[Price]]*0.7</f>
        <v>1374.8</v>
      </c>
      <c r="P301" s="18">
        <f t="shared" si="30"/>
        <v>4124.3999999999996</v>
      </c>
      <c r="Q301" s="18">
        <f t="shared" si="31"/>
        <v>0.1</v>
      </c>
      <c r="R301" s="18">
        <f t="shared" si="32"/>
        <v>11743.5</v>
      </c>
      <c r="S301" s="18" t="str">
        <f>IF(Table13[[#This Row],[Quantity]]&lt;=3,"Small",IF(Table13[[#This Row],[Quantity]]&lt;=6,"Medium","Bulk"))</f>
        <v>Bulk</v>
      </c>
      <c r="T301" s="18" t="str">
        <f t="shared" si="33"/>
        <v>Normal</v>
      </c>
      <c r="U301" s="18" t="str">
        <f t="shared" si="34"/>
        <v>Medium Value</v>
      </c>
    </row>
    <row r="302" spans="1:21" x14ac:dyDescent="0.3">
      <c r="A302" t="s">
        <v>310</v>
      </c>
      <c r="B302" s="1">
        <v>45075</v>
      </c>
      <c r="C302" t="s">
        <v>1211</v>
      </c>
      <c r="D302" t="s">
        <v>1217</v>
      </c>
      <c r="E302" t="s">
        <v>1220</v>
      </c>
      <c r="F302" t="s">
        <v>1237</v>
      </c>
      <c r="G302" s="6">
        <v>5</v>
      </c>
      <c r="H302">
        <v>2493</v>
      </c>
      <c r="I302">
        <v>12465</v>
      </c>
      <c r="J302" s="2">
        <v>2671.97</v>
      </c>
      <c r="K302" s="16">
        <f>Table13[[#This Row],[Profit]]/Table13[[#This Row],[Sales]]</f>
        <v>0.21435780184516645</v>
      </c>
      <c r="L302" s="17" t="str">
        <f t="shared" si="28"/>
        <v>Medium</v>
      </c>
      <c r="M302" s="17" t="str">
        <f t="shared" si="29"/>
        <v>May</v>
      </c>
      <c r="N302" s="18">
        <f>YEAR(Table13[[#This Row],[Order_Date]])</f>
        <v>2023</v>
      </c>
      <c r="O302" s="18">
        <f>Table13[[#This Row],[Price]]*0.7</f>
        <v>1745.1</v>
      </c>
      <c r="P302" s="18">
        <f t="shared" si="30"/>
        <v>3739.5</v>
      </c>
      <c r="Q302" s="18">
        <f t="shared" si="31"/>
        <v>0.05</v>
      </c>
      <c r="R302" s="18">
        <f t="shared" si="32"/>
        <v>9793.0300000000007</v>
      </c>
      <c r="S302" s="18" t="str">
        <f>IF(Table13[[#This Row],[Quantity]]&lt;=3,"Small",IF(Table13[[#This Row],[Quantity]]&lt;=6,"Medium","Bulk"))</f>
        <v>Medium</v>
      </c>
      <c r="T302" s="18" t="str">
        <f t="shared" si="33"/>
        <v>Normal</v>
      </c>
      <c r="U302" s="18" t="str">
        <f t="shared" si="34"/>
        <v>Medium Value</v>
      </c>
    </row>
    <row r="303" spans="1:21" x14ac:dyDescent="0.3">
      <c r="A303" t="s">
        <v>311</v>
      </c>
      <c r="B303" s="1">
        <v>45168</v>
      </c>
      <c r="C303" t="s">
        <v>1212</v>
      </c>
      <c r="D303" t="s">
        <v>1239</v>
      </c>
      <c r="E303" t="s">
        <v>1221</v>
      </c>
      <c r="F303" t="s">
        <v>1235</v>
      </c>
      <c r="G303" s="6">
        <v>5</v>
      </c>
      <c r="H303">
        <v>3284</v>
      </c>
      <c r="I303">
        <v>16420</v>
      </c>
      <c r="J303" s="2">
        <v>1347.43</v>
      </c>
      <c r="K303" s="16">
        <f>Table13[[#This Row],[Profit]]/Table13[[#This Row],[Sales]]</f>
        <v>8.2060292326431181E-2</v>
      </c>
      <c r="L303" s="17" t="str">
        <f t="shared" si="28"/>
        <v>Medium</v>
      </c>
      <c r="M303" s="17" t="str">
        <f t="shared" si="29"/>
        <v>Aug</v>
      </c>
      <c r="N303" s="18">
        <f>YEAR(Table13[[#This Row],[Order_Date]])</f>
        <v>2023</v>
      </c>
      <c r="O303" s="18">
        <f>Table13[[#This Row],[Price]]*0.7</f>
        <v>2298.7999999999997</v>
      </c>
      <c r="P303" s="18">
        <f t="shared" si="30"/>
        <v>4926.0000000000018</v>
      </c>
      <c r="Q303" s="18">
        <f t="shared" si="31"/>
        <v>0.05</v>
      </c>
      <c r="R303" s="18">
        <f t="shared" si="32"/>
        <v>15072.57</v>
      </c>
      <c r="S303" s="18" t="str">
        <f>IF(Table13[[#This Row],[Quantity]]&lt;=3,"Small",IF(Table13[[#This Row],[Quantity]]&lt;=6,"Medium","Bulk"))</f>
        <v>Medium</v>
      </c>
      <c r="T303" s="18" t="str">
        <f t="shared" si="33"/>
        <v>High Demand</v>
      </c>
      <c r="U303" s="18" t="str">
        <f t="shared" si="34"/>
        <v>Medium Value</v>
      </c>
    </row>
    <row r="304" spans="1:21" x14ac:dyDescent="0.3">
      <c r="A304" t="s">
        <v>312</v>
      </c>
      <c r="B304" s="1">
        <v>45114</v>
      </c>
      <c r="C304" t="s">
        <v>1210</v>
      </c>
      <c r="D304" t="s">
        <v>1215</v>
      </c>
      <c r="E304" t="s">
        <v>1222</v>
      </c>
      <c r="F304" t="s">
        <v>1230</v>
      </c>
      <c r="G304" s="6">
        <v>5</v>
      </c>
      <c r="H304">
        <v>4468</v>
      </c>
      <c r="I304">
        <v>22340</v>
      </c>
      <c r="J304" s="2">
        <v>1949.11</v>
      </c>
      <c r="K304" s="16">
        <f>Table13[[#This Row],[Profit]]/Table13[[#This Row],[Sales]]</f>
        <v>8.7247538048343773E-2</v>
      </c>
      <c r="L304" s="17" t="str">
        <f t="shared" si="28"/>
        <v>High</v>
      </c>
      <c r="M304" s="17" t="str">
        <f t="shared" si="29"/>
        <v>Jul</v>
      </c>
      <c r="N304" s="18">
        <f>YEAR(Table13[[#This Row],[Order_Date]])</f>
        <v>2023</v>
      </c>
      <c r="O304" s="18">
        <f>Table13[[#This Row],[Price]]*0.7</f>
        <v>3127.6</v>
      </c>
      <c r="P304" s="18">
        <f t="shared" si="30"/>
        <v>6702</v>
      </c>
      <c r="Q304" s="18">
        <f t="shared" si="31"/>
        <v>0.05</v>
      </c>
      <c r="R304" s="18">
        <f t="shared" si="32"/>
        <v>20390.89</v>
      </c>
      <c r="S304" s="18" t="str">
        <f>IF(Table13[[#This Row],[Quantity]]&lt;=3,"Small",IF(Table13[[#This Row],[Quantity]]&lt;=6,"Medium","Bulk"))</f>
        <v>Medium</v>
      </c>
      <c r="T304" s="18" t="str">
        <f t="shared" si="33"/>
        <v>Normal</v>
      </c>
      <c r="U304" s="18" t="str">
        <f t="shared" si="34"/>
        <v>High Value</v>
      </c>
    </row>
    <row r="305" spans="1:21" x14ac:dyDescent="0.3">
      <c r="A305" t="s">
        <v>313</v>
      </c>
      <c r="B305" s="1">
        <v>45122</v>
      </c>
      <c r="C305" t="s">
        <v>1211</v>
      </c>
      <c r="D305" t="s">
        <v>1216</v>
      </c>
      <c r="E305" t="s">
        <v>1221</v>
      </c>
      <c r="F305" t="s">
        <v>1226</v>
      </c>
      <c r="G305" s="6">
        <v>7</v>
      </c>
      <c r="H305">
        <v>4924</v>
      </c>
      <c r="I305">
        <v>34468</v>
      </c>
      <c r="J305" s="2">
        <v>5618.32</v>
      </c>
      <c r="K305" s="16">
        <f>Table13[[#This Row],[Profit]]/Table13[[#This Row],[Sales]]</f>
        <v>0.16300104444702332</v>
      </c>
      <c r="L305" s="17" t="str">
        <f t="shared" si="28"/>
        <v>High</v>
      </c>
      <c r="M305" s="17" t="str">
        <f t="shared" si="29"/>
        <v>Jul</v>
      </c>
      <c r="N305" s="18">
        <f>YEAR(Table13[[#This Row],[Order_Date]])</f>
        <v>2023</v>
      </c>
      <c r="O305" s="18">
        <f>Table13[[#This Row],[Price]]*0.7</f>
        <v>3446.7999999999997</v>
      </c>
      <c r="P305" s="18">
        <f t="shared" si="30"/>
        <v>10340.400000000001</v>
      </c>
      <c r="Q305" s="18">
        <f t="shared" si="31"/>
        <v>0.1</v>
      </c>
      <c r="R305" s="18">
        <f t="shared" si="32"/>
        <v>28849.68</v>
      </c>
      <c r="S305" s="18" t="str">
        <f>IF(Table13[[#This Row],[Quantity]]&lt;=3,"Small",IF(Table13[[#This Row],[Quantity]]&lt;=6,"Medium","Bulk"))</f>
        <v>Bulk</v>
      </c>
      <c r="T305" s="18" t="str">
        <f t="shared" si="33"/>
        <v>Normal</v>
      </c>
      <c r="U305" s="18" t="str">
        <f t="shared" si="34"/>
        <v>High Value</v>
      </c>
    </row>
    <row r="306" spans="1:21" x14ac:dyDescent="0.3">
      <c r="A306" t="s">
        <v>314</v>
      </c>
      <c r="B306" s="1">
        <v>44968</v>
      </c>
      <c r="C306" t="s">
        <v>1212</v>
      </c>
      <c r="D306" t="s">
        <v>1217</v>
      </c>
      <c r="E306" t="s">
        <v>1221</v>
      </c>
      <c r="F306" t="s">
        <v>1226</v>
      </c>
      <c r="G306" s="6">
        <v>2</v>
      </c>
      <c r="H306">
        <v>4004</v>
      </c>
      <c r="I306">
        <v>8008</v>
      </c>
      <c r="J306" s="2">
        <v>1177.6600000000001</v>
      </c>
      <c r="K306" s="16">
        <f>Table13[[#This Row],[Profit]]/Table13[[#This Row],[Sales]]</f>
        <v>0.14706043956043957</v>
      </c>
      <c r="L306" s="17" t="str">
        <f t="shared" si="28"/>
        <v>Low</v>
      </c>
      <c r="M306" s="17" t="str">
        <f t="shared" si="29"/>
        <v>Feb</v>
      </c>
      <c r="N306" s="18">
        <f>YEAR(Table13[[#This Row],[Order_Date]])</f>
        <v>2023</v>
      </c>
      <c r="O306" s="18">
        <f>Table13[[#This Row],[Price]]*0.7</f>
        <v>2802.7999999999997</v>
      </c>
      <c r="P306" s="18">
        <f t="shared" si="30"/>
        <v>2402.4000000000005</v>
      </c>
      <c r="Q306" s="18">
        <f t="shared" si="31"/>
        <v>0.05</v>
      </c>
      <c r="R306" s="18">
        <f t="shared" si="32"/>
        <v>6830.34</v>
      </c>
      <c r="S306" s="18" t="str">
        <f>IF(Table13[[#This Row],[Quantity]]&lt;=3,"Small",IF(Table13[[#This Row],[Quantity]]&lt;=6,"Medium","Bulk"))</f>
        <v>Small</v>
      </c>
      <c r="T306" s="18" t="str">
        <f t="shared" si="33"/>
        <v>High Demand</v>
      </c>
      <c r="U306" s="18" t="str">
        <f t="shared" si="34"/>
        <v>low Value</v>
      </c>
    </row>
    <row r="307" spans="1:21" x14ac:dyDescent="0.3">
      <c r="A307" t="s">
        <v>315</v>
      </c>
      <c r="B307" s="1">
        <v>45055</v>
      </c>
      <c r="C307" t="s">
        <v>1211</v>
      </c>
      <c r="D307" t="s">
        <v>1216</v>
      </c>
      <c r="E307" t="s">
        <v>1222</v>
      </c>
      <c r="F307" t="s">
        <v>1234</v>
      </c>
      <c r="G307" s="6">
        <v>9</v>
      </c>
      <c r="H307">
        <v>216</v>
      </c>
      <c r="I307">
        <v>1944</v>
      </c>
      <c r="J307" s="2">
        <v>373.2</v>
      </c>
      <c r="K307" s="16">
        <f>Table13[[#This Row],[Profit]]/Table13[[#This Row],[Sales]]</f>
        <v>0.19197530864197529</v>
      </c>
      <c r="L307" s="17" t="str">
        <f t="shared" si="28"/>
        <v>Low</v>
      </c>
      <c r="M307" s="17" t="str">
        <f t="shared" si="29"/>
        <v>May</v>
      </c>
      <c r="N307" s="18">
        <f>YEAR(Table13[[#This Row],[Order_Date]])</f>
        <v>2023</v>
      </c>
      <c r="O307" s="18">
        <f>Table13[[#This Row],[Price]]*0.7</f>
        <v>151.19999999999999</v>
      </c>
      <c r="P307" s="18">
        <f t="shared" si="30"/>
        <v>583.20000000000005</v>
      </c>
      <c r="Q307" s="18">
        <f t="shared" si="31"/>
        <v>0.1</v>
      </c>
      <c r="R307" s="18">
        <f t="shared" si="32"/>
        <v>1570.8</v>
      </c>
      <c r="S307" s="18" t="str">
        <f>IF(Table13[[#This Row],[Quantity]]&lt;=3,"Small",IF(Table13[[#This Row],[Quantity]]&lt;=6,"Medium","Bulk"))</f>
        <v>Bulk</v>
      </c>
      <c r="T307" s="18" t="str">
        <f t="shared" si="33"/>
        <v>Normal</v>
      </c>
      <c r="U307" s="18" t="str">
        <f t="shared" si="34"/>
        <v>low Value</v>
      </c>
    </row>
    <row r="308" spans="1:21" x14ac:dyDescent="0.3">
      <c r="A308" t="s">
        <v>316</v>
      </c>
      <c r="B308" s="1">
        <v>45158</v>
      </c>
      <c r="C308" t="s">
        <v>1212</v>
      </c>
      <c r="D308" t="s">
        <v>1216</v>
      </c>
      <c r="E308" t="s">
        <v>1221</v>
      </c>
      <c r="F308" t="s">
        <v>1231</v>
      </c>
      <c r="G308" s="6">
        <v>1</v>
      </c>
      <c r="H308">
        <v>441</v>
      </c>
      <c r="I308">
        <v>441</v>
      </c>
      <c r="J308" s="2">
        <v>38.159999999999997</v>
      </c>
      <c r="K308" s="16">
        <f>Table13[[#This Row],[Profit]]/Table13[[#This Row],[Sales]]</f>
        <v>8.6530612244897956E-2</v>
      </c>
      <c r="L308" s="17" t="str">
        <f t="shared" si="28"/>
        <v>Low</v>
      </c>
      <c r="M308" s="17" t="str">
        <f t="shared" si="29"/>
        <v>Aug</v>
      </c>
      <c r="N308" s="18">
        <f>YEAR(Table13[[#This Row],[Order_Date]])</f>
        <v>2023</v>
      </c>
      <c r="O308" s="18">
        <f>Table13[[#This Row],[Price]]*0.7</f>
        <v>308.7</v>
      </c>
      <c r="P308" s="18">
        <f t="shared" si="30"/>
        <v>132.30000000000001</v>
      </c>
      <c r="Q308" s="18">
        <f t="shared" si="31"/>
        <v>0.05</v>
      </c>
      <c r="R308" s="18">
        <f t="shared" si="32"/>
        <v>402.84</v>
      </c>
      <c r="S308" s="18" t="str">
        <f>IF(Table13[[#This Row],[Quantity]]&lt;=3,"Small",IF(Table13[[#This Row],[Quantity]]&lt;=6,"Medium","Bulk"))</f>
        <v>Small</v>
      </c>
      <c r="T308" s="18" t="str">
        <f t="shared" si="33"/>
        <v>High Demand</v>
      </c>
      <c r="U308" s="18" t="str">
        <f t="shared" si="34"/>
        <v>low Value</v>
      </c>
    </row>
    <row r="309" spans="1:21" x14ac:dyDescent="0.3">
      <c r="A309" t="s">
        <v>317</v>
      </c>
      <c r="B309" s="1">
        <v>45126</v>
      </c>
      <c r="C309" t="s">
        <v>1212</v>
      </c>
      <c r="D309" t="s">
        <v>1218</v>
      </c>
      <c r="E309" t="s">
        <v>1219</v>
      </c>
      <c r="F309" t="s">
        <v>1238</v>
      </c>
      <c r="G309" s="6">
        <v>2</v>
      </c>
      <c r="H309">
        <v>975</v>
      </c>
      <c r="I309">
        <v>1950</v>
      </c>
      <c r="J309" s="2">
        <v>452.73</v>
      </c>
      <c r="K309" s="16">
        <f>Table13[[#This Row],[Profit]]/Table13[[#This Row],[Sales]]</f>
        <v>0.23216923076923077</v>
      </c>
      <c r="L309" s="17" t="str">
        <f t="shared" si="28"/>
        <v>Low</v>
      </c>
      <c r="M309" s="17" t="str">
        <f t="shared" si="29"/>
        <v>Jul</v>
      </c>
      <c r="N309" s="18">
        <f>YEAR(Table13[[#This Row],[Order_Date]])</f>
        <v>2023</v>
      </c>
      <c r="O309" s="18">
        <f>Table13[[#This Row],[Price]]*0.7</f>
        <v>682.5</v>
      </c>
      <c r="P309" s="18">
        <f t="shared" si="30"/>
        <v>585</v>
      </c>
      <c r="Q309" s="18">
        <f t="shared" si="31"/>
        <v>0.05</v>
      </c>
      <c r="R309" s="18">
        <f t="shared" si="32"/>
        <v>1497.27</v>
      </c>
      <c r="S309" s="18" t="str">
        <f>IF(Table13[[#This Row],[Quantity]]&lt;=3,"Small",IF(Table13[[#This Row],[Quantity]]&lt;=6,"Medium","Bulk"))</f>
        <v>Small</v>
      </c>
      <c r="T309" s="18" t="str">
        <f t="shared" si="33"/>
        <v>High Demand</v>
      </c>
      <c r="U309" s="18" t="str">
        <f t="shared" si="34"/>
        <v>low Value</v>
      </c>
    </row>
    <row r="310" spans="1:21" x14ac:dyDescent="0.3">
      <c r="A310" t="s">
        <v>318</v>
      </c>
      <c r="B310" s="1">
        <v>45126</v>
      </c>
      <c r="C310" t="s">
        <v>1212</v>
      </c>
      <c r="D310" t="s">
        <v>1214</v>
      </c>
      <c r="E310" t="s">
        <v>1221</v>
      </c>
      <c r="F310" t="s">
        <v>1235</v>
      </c>
      <c r="G310" s="6">
        <v>8</v>
      </c>
      <c r="H310">
        <v>2348</v>
      </c>
      <c r="I310">
        <v>18784</v>
      </c>
      <c r="J310" s="2">
        <v>1655.46</v>
      </c>
      <c r="K310" s="16">
        <f>Table13[[#This Row],[Profit]]/Table13[[#This Row],[Sales]]</f>
        <v>8.8131388415672918E-2</v>
      </c>
      <c r="L310" s="17" t="str">
        <f t="shared" si="28"/>
        <v>Medium</v>
      </c>
      <c r="M310" s="17" t="str">
        <f t="shared" si="29"/>
        <v>Jul</v>
      </c>
      <c r="N310" s="18">
        <f>YEAR(Table13[[#This Row],[Order_Date]])</f>
        <v>2023</v>
      </c>
      <c r="O310" s="18">
        <f>Table13[[#This Row],[Price]]*0.7</f>
        <v>1643.6</v>
      </c>
      <c r="P310" s="18">
        <f t="shared" si="30"/>
        <v>5635.2000000000007</v>
      </c>
      <c r="Q310" s="18">
        <f t="shared" si="31"/>
        <v>0.1</v>
      </c>
      <c r="R310" s="18">
        <f t="shared" si="32"/>
        <v>17128.54</v>
      </c>
      <c r="S310" s="18" t="str">
        <f>IF(Table13[[#This Row],[Quantity]]&lt;=3,"Small",IF(Table13[[#This Row],[Quantity]]&lt;=6,"Medium","Bulk"))</f>
        <v>Bulk</v>
      </c>
      <c r="T310" s="18" t="str">
        <f t="shared" si="33"/>
        <v>High Demand</v>
      </c>
      <c r="U310" s="18" t="str">
        <f t="shared" si="34"/>
        <v>Medium Value</v>
      </c>
    </row>
    <row r="311" spans="1:21" x14ac:dyDescent="0.3">
      <c r="A311" t="s">
        <v>319</v>
      </c>
      <c r="B311" s="1">
        <v>44943</v>
      </c>
      <c r="C311" t="s">
        <v>1212</v>
      </c>
      <c r="D311" t="s">
        <v>1216</v>
      </c>
      <c r="E311" t="s">
        <v>1222</v>
      </c>
      <c r="F311" t="s">
        <v>1234</v>
      </c>
      <c r="G311" s="6">
        <v>3</v>
      </c>
      <c r="H311">
        <v>607</v>
      </c>
      <c r="I311">
        <v>1821</v>
      </c>
      <c r="J311" s="2">
        <v>178.3</v>
      </c>
      <c r="K311" s="16">
        <f>Table13[[#This Row],[Profit]]/Table13[[#This Row],[Sales]]</f>
        <v>9.7913234486545861E-2</v>
      </c>
      <c r="L311" s="17" t="str">
        <f t="shared" si="28"/>
        <v>Low</v>
      </c>
      <c r="M311" s="17" t="str">
        <f t="shared" si="29"/>
        <v>Jan</v>
      </c>
      <c r="N311" s="18">
        <f>YEAR(Table13[[#This Row],[Order_Date]])</f>
        <v>2023</v>
      </c>
      <c r="O311" s="18">
        <f>Table13[[#This Row],[Price]]*0.7</f>
        <v>424.9</v>
      </c>
      <c r="P311" s="18">
        <f t="shared" si="30"/>
        <v>546.30000000000018</v>
      </c>
      <c r="Q311" s="18">
        <f t="shared" si="31"/>
        <v>0.05</v>
      </c>
      <c r="R311" s="18">
        <f t="shared" si="32"/>
        <v>1642.7</v>
      </c>
      <c r="S311" s="18" t="str">
        <f>IF(Table13[[#This Row],[Quantity]]&lt;=3,"Small",IF(Table13[[#This Row],[Quantity]]&lt;=6,"Medium","Bulk"))</f>
        <v>Small</v>
      </c>
      <c r="T311" s="18" t="str">
        <f t="shared" si="33"/>
        <v>High Demand</v>
      </c>
      <c r="U311" s="18" t="str">
        <f t="shared" si="34"/>
        <v>low Value</v>
      </c>
    </row>
    <row r="312" spans="1:21" x14ac:dyDescent="0.3">
      <c r="A312" t="s">
        <v>320</v>
      </c>
      <c r="B312" s="1">
        <v>45137</v>
      </c>
      <c r="C312" t="s">
        <v>1210</v>
      </c>
      <c r="D312" t="s">
        <v>1214</v>
      </c>
      <c r="E312" t="s">
        <v>1222</v>
      </c>
      <c r="F312" t="s">
        <v>1236</v>
      </c>
      <c r="G312" s="6">
        <v>4</v>
      </c>
      <c r="H312">
        <v>1874</v>
      </c>
      <c r="I312">
        <v>7496</v>
      </c>
      <c r="J312" s="2">
        <v>1836.73</v>
      </c>
      <c r="K312" s="16">
        <f>Table13[[#This Row],[Profit]]/Table13[[#This Row],[Sales]]</f>
        <v>0.24502801494130202</v>
      </c>
      <c r="L312" s="17" t="str">
        <f t="shared" si="28"/>
        <v>Low</v>
      </c>
      <c r="M312" s="17" t="str">
        <f t="shared" si="29"/>
        <v>Jul</v>
      </c>
      <c r="N312" s="18">
        <f>YEAR(Table13[[#This Row],[Order_Date]])</f>
        <v>2023</v>
      </c>
      <c r="O312" s="18">
        <f>Table13[[#This Row],[Price]]*0.7</f>
        <v>1311.8</v>
      </c>
      <c r="P312" s="18">
        <f t="shared" si="30"/>
        <v>2248.8000000000002</v>
      </c>
      <c r="Q312" s="18">
        <f t="shared" si="31"/>
        <v>0.05</v>
      </c>
      <c r="R312" s="18">
        <f t="shared" si="32"/>
        <v>5659.27</v>
      </c>
      <c r="S312" s="18" t="str">
        <f>IF(Table13[[#This Row],[Quantity]]&lt;=3,"Small",IF(Table13[[#This Row],[Quantity]]&lt;=6,"Medium","Bulk"))</f>
        <v>Medium</v>
      </c>
      <c r="T312" s="18" t="str">
        <f t="shared" si="33"/>
        <v>Normal</v>
      </c>
      <c r="U312" s="18" t="str">
        <f t="shared" si="34"/>
        <v>low Value</v>
      </c>
    </row>
    <row r="313" spans="1:21" x14ac:dyDescent="0.3">
      <c r="A313" t="s">
        <v>321</v>
      </c>
      <c r="B313" s="1">
        <v>45278</v>
      </c>
      <c r="C313" t="s">
        <v>1213</v>
      </c>
      <c r="D313" t="s">
        <v>1217</v>
      </c>
      <c r="E313" t="s">
        <v>1221</v>
      </c>
      <c r="F313" t="s">
        <v>1235</v>
      </c>
      <c r="G313" s="6">
        <v>5</v>
      </c>
      <c r="H313">
        <v>972</v>
      </c>
      <c r="I313">
        <v>4860</v>
      </c>
      <c r="J313" s="2">
        <v>934.34</v>
      </c>
      <c r="K313" s="16">
        <f>Table13[[#This Row],[Profit]]/Table13[[#This Row],[Sales]]</f>
        <v>0.19225102880658437</v>
      </c>
      <c r="L313" s="17" t="str">
        <f t="shared" si="28"/>
        <v>Low</v>
      </c>
      <c r="M313" s="17" t="str">
        <f t="shared" si="29"/>
        <v>Dec</v>
      </c>
      <c r="N313" s="18">
        <f>YEAR(Table13[[#This Row],[Order_Date]])</f>
        <v>2023</v>
      </c>
      <c r="O313" s="18">
        <f>Table13[[#This Row],[Price]]*0.7</f>
        <v>680.4</v>
      </c>
      <c r="P313" s="18">
        <f t="shared" si="30"/>
        <v>1458</v>
      </c>
      <c r="Q313" s="18">
        <f t="shared" si="31"/>
        <v>0.05</v>
      </c>
      <c r="R313" s="18">
        <f t="shared" si="32"/>
        <v>3925.66</v>
      </c>
      <c r="S313" s="18" t="str">
        <f>IF(Table13[[#This Row],[Quantity]]&lt;=3,"Small",IF(Table13[[#This Row],[Quantity]]&lt;=6,"Medium","Bulk"))</f>
        <v>Medium</v>
      </c>
      <c r="T313" s="18" t="str">
        <f t="shared" si="33"/>
        <v>Normal</v>
      </c>
      <c r="U313" s="18" t="str">
        <f t="shared" si="34"/>
        <v>low Value</v>
      </c>
    </row>
    <row r="314" spans="1:21" x14ac:dyDescent="0.3">
      <c r="A314" t="s">
        <v>322</v>
      </c>
      <c r="B314" s="1">
        <v>45286</v>
      </c>
      <c r="C314" t="s">
        <v>1212</v>
      </c>
      <c r="D314" t="s">
        <v>1218</v>
      </c>
      <c r="E314" t="s">
        <v>1220</v>
      </c>
      <c r="F314" t="s">
        <v>1237</v>
      </c>
      <c r="G314" s="6">
        <v>1</v>
      </c>
      <c r="H314">
        <v>1446</v>
      </c>
      <c r="I314">
        <v>1446</v>
      </c>
      <c r="J314" s="2">
        <v>308.02999999999997</v>
      </c>
      <c r="K314" s="16">
        <f>Table13[[#This Row],[Profit]]/Table13[[#This Row],[Sales]]</f>
        <v>0.21302213001383125</v>
      </c>
      <c r="L314" s="17" t="str">
        <f t="shared" si="28"/>
        <v>Low</v>
      </c>
      <c r="M314" s="17" t="str">
        <f t="shared" si="29"/>
        <v>Dec</v>
      </c>
      <c r="N314" s="18">
        <f>YEAR(Table13[[#This Row],[Order_Date]])</f>
        <v>2023</v>
      </c>
      <c r="O314" s="18">
        <f>Table13[[#This Row],[Price]]*0.7</f>
        <v>1012.1999999999999</v>
      </c>
      <c r="P314" s="18">
        <f t="shared" si="30"/>
        <v>433.80000000000007</v>
      </c>
      <c r="Q314" s="18">
        <f t="shared" si="31"/>
        <v>0.05</v>
      </c>
      <c r="R314" s="18">
        <f t="shared" si="32"/>
        <v>1137.97</v>
      </c>
      <c r="S314" s="18" t="str">
        <f>IF(Table13[[#This Row],[Quantity]]&lt;=3,"Small",IF(Table13[[#This Row],[Quantity]]&lt;=6,"Medium","Bulk"))</f>
        <v>Small</v>
      </c>
      <c r="T314" s="18" t="str">
        <f t="shared" si="33"/>
        <v>High Demand</v>
      </c>
      <c r="U314" s="18" t="str">
        <f t="shared" si="34"/>
        <v>low Value</v>
      </c>
    </row>
    <row r="315" spans="1:21" x14ac:dyDescent="0.3">
      <c r="A315" t="s">
        <v>323</v>
      </c>
      <c r="B315" s="1">
        <v>45250</v>
      </c>
      <c r="C315" t="s">
        <v>1211</v>
      </c>
      <c r="D315" t="s">
        <v>1218</v>
      </c>
      <c r="E315" t="s">
        <v>1220</v>
      </c>
      <c r="F315" t="s">
        <v>1237</v>
      </c>
      <c r="G315" s="6">
        <v>2</v>
      </c>
      <c r="H315">
        <v>1162</v>
      </c>
      <c r="I315">
        <v>2324</v>
      </c>
      <c r="J315" s="2">
        <v>233.88</v>
      </c>
      <c r="K315" s="16">
        <f>Table13[[#This Row],[Profit]]/Table13[[#This Row],[Sales]]</f>
        <v>0.1006368330464716</v>
      </c>
      <c r="L315" s="17" t="str">
        <f t="shared" si="28"/>
        <v>Low</v>
      </c>
      <c r="M315" s="17" t="str">
        <f t="shared" si="29"/>
        <v>Nov</v>
      </c>
      <c r="N315" s="18">
        <f>YEAR(Table13[[#This Row],[Order_Date]])</f>
        <v>2023</v>
      </c>
      <c r="O315" s="18">
        <f>Table13[[#This Row],[Price]]*0.7</f>
        <v>813.4</v>
      </c>
      <c r="P315" s="18">
        <f t="shared" si="30"/>
        <v>697.2</v>
      </c>
      <c r="Q315" s="18">
        <f t="shared" si="31"/>
        <v>0.05</v>
      </c>
      <c r="R315" s="18">
        <f t="shared" si="32"/>
        <v>2090.12</v>
      </c>
      <c r="S315" s="18" t="str">
        <f>IF(Table13[[#This Row],[Quantity]]&lt;=3,"Small",IF(Table13[[#This Row],[Quantity]]&lt;=6,"Medium","Bulk"))</f>
        <v>Small</v>
      </c>
      <c r="T315" s="18" t="str">
        <f t="shared" si="33"/>
        <v>Normal</v>
      </c>
      <c r="U315" s="18" t="str">
        <f t="shared" si="34"/>
        <v>low Value</v>
      </c>
    </row>
    <row r="316" spans="1:21" x14ac:dyDescent="0.3">
      <c r="A316" t="s">
        <v>324</v>
      </c>
      <c r="B316" s="1">
        <v>45192</v>
      </c>
      <c r="C316" t="s">
        <v>1212</v>
      </c>
      <c r="D316" t="s">
        <v>1216</v>
      </c>
      <c r="E316" t="s">
        <v>1222</v>
      </c>
      <c r="F316" t="s">
        <v>1234</v>
      </c>
      <c r="G316" s="6">
        <v>7</v>
      </c>
      <c r="H316">
        <v>4485</v>
      </c>
      <c r="I316">
        <v>31395</v>
      </c>
      <c r="J316" s="2">
        <v>7292.7</v>
      </c>
      <c r="K316" s="16">
        <f>Table13[[#This Row],[Profit]]/Table13[[#This Row],[Sales]]</f>
        <v>0.23228858098423316</v>
      </c>
      <c r="L316" s="17" t="str">
        <f t="shared" si="28"/>
        <v>High</v>
      </c>
      <c r="M316" s="17" t="str">
        <f t="shared" si="29"/>
        <v>Sep</v>
      </c>
      <c r="N316" s="18">
        <f>YEAR(Table13[[#This Row],[Order_Date]])</f>
        <v>2023</v>
      </c>
      <c r="O316" s="18">
        <f>Table13[[#This Row],[Price]]*0.7</f>
        <v>3139.5</v>
      </c>
      <c r="P316" s="18">
        <f t="shared" si="30"/>
        <v>9418.5</v>
      </c>
      <c r="Q316" s="18">
        <f t="shared" si="31"/>
        <v>0.1</v>
      </c>
      <c r="R316" s="18">
        <f t="shared" si="32"/>
        <v>24102.3</v>
      </c>
      <c r="S316" s="18" t="str">
        <f>IF(Table13[[#This Row],[Quantity]]&lt;=3,"Small",IF(Table13[[#This Row],[Quantity]]&lt;=6,"Medium","Bulk"))</f>
        <v>Bulk</v>
      </c>
      <c r="T316" s="18" t="str">
        <f t="shared" si="33"/>
        <v>High Demand</v>
      </c>
      <c r="U316" s="18" t="str">
        <f t="shared" si="34"/>
        <v>High Value</v>
      </c>
    </row>
    <row r="317" spans="1:21" x14ac:dyDescent="0.3">
      <c r="A317" t="s">
        <v>325</v>
      </c>
      <c r="B317" s="1">
        <v>45107</v>
      </c>
      <c r="C317" t="s">
        <v>1213</v>
      </c>
      <c r="D317" t="s">
        <v>1216</v>
      </c>
      <c r="E317" t="s">
        <v>1221</v>
      </c>
      <c r="F317" t="s">
        <v>1235</v>
      </c>
      <c r="G317" s="6">
        <v>8</v>
      </c>
      <c r="H317">
        <v>969</v>
      </c>
      <c r="I317">
        <v>7752</v>
      </c>
      <c r="J317" s="2">
        <v>1413.34</v>
      </c>
      <c r="K317" s="16">
        <f>Table13[[#This Row],[Profit]]/Table13[[#This Row],[Sales]]</f>
        <v>0.18231940144478842</v>
      </c>
      <c r="L317" s="17" t="str">
        <f t="shared" si="28"/>
        <v>Low</v>
      </c>
      <c r="M317" s="17" t="str">
        <f t="shared" si="29"/>
        <v>Jun</v>
      </c>
      <c r="N317" s="18">
        <f>YEAR(Table13[[#This Row],[Order_Date]])</f>
        <v>2023</v>
      </c>
      <c r="O317" s="18">
        <f>Table13[[#This Row],[Price]]*0.7</f>
        <v>678.3</v>
      </c>
      <c r="P317" s="18">
        <f t="shared" si="30"/>
        <v>2325.6000000000004</v>
      </c>
      <c r="Q317" s="18">
        <f t="shared" si="31"/>
        <v>0.1</v>
      </c>
      <c r="R317" s="18">
        <f t="shared" si="32"/>
        <v>6338.66</v>
      </c>
      <c r="S317" s="18" t="str">
        <f>IF(Table13[[#This Row],[Quantity]]&lt;=3,"Small",IF(Table13[[#This Row],[Quantity]]&lt;=6,"Medium","Bulk"))</f>
        <v>Bulk</v>
      </c>
      <c r="T317" s="18" t="str">
        <f t="shared" si="33"/>
        <v>Normal</v>
      </c>
      <c r="U317" s="18" t="str">
        <f t="shared" si="34"/>
        <v>low Value</v>
      </c>
    </row>
    <row r="318" spans="1:21" x14ac:dyDescent="0.3">
      <c r="A318" t="s">
        <v>326</v>
      </c>
      <c r="B318" s="1">
        <v>45079</v>
      </c>
      <c r="C318" t="s">
        <v>1213</v>
      </c>
      <c r="D318" t="s">
        <v>1214</v>
      </c>
      <c r="E318" t="s">
        <v>1220</v>
      </c>
      <c r="F318" t="s">
        <v>1237</v>
      </c>
      <c r="G318" s="6">
        <v>1</v>
      </c>
      <c r="H318">
        <v>1135</v>
      </c>
      <c r="I318">
        <v>1135</v>
      </c>
      <c r="J318" s="2">
        <v>206.29</v>
      </c>
      <c r="K318" s="16">
        <f>Table13[[#This Row],[Profit]]/Table13[[#This Row],[Sales]]</f>
        <v>0.1817533039647577</v>
      </c>
      <c r="L318" s="17" t="str">
        <f t="shared" si="28"/>
        <v>Low</v>
      </c>
      <c r="M318" s="17" t="str">
        <f t="shared" si="29"/>
        <v>Jun</v>
      </c>
      <c r="N318" s="18">
        <f>YEAR(Table13[[#This Row],[Order_Date]])</f>
        <v>2023</v>
      </c>
      <c r="O318" s="18">
        <f>Table13[[#This Row],[Price]]*0.7</f>
        <v>794.5</v>
      </c>
      <c r="P318" s="18">
        <f t="shared" si="30"/>
        <v>340.5</v>
      </c>
      <c r="Q318" s="18">
        <f t="shared" si="31"/>
        <v>0.05</v>
      </c>
      <c r="R318" s="18">
        <f t="shared" si="32"/>
        <v>928.71</v>
      </c>
      <c r="S318" s="18" t="str">
        <f>IF(Table13[[#This Row],[Quantity]]&lt;=3,"Small",IF(Table13[[#This Row],[Quantity]]&lt;=6,"Medium","Bulk"))</f>
        <v>Small</v>
      </c>
      <c r="T318" s="18" t="str">
        <f t="shared" si="33"/>
        <v>Normal</v>
      </c>
      <c r="U318" s="18" t="str">
        <f t="shared" si="34"/>
        <v>low Value</v>
      </c>
    </row>
    <row r="319" spans="1:21" x14ac:dyDescent="0.3">
      <c r="A319" t="s">
        <v>327</v>
      </c>
      <c r="B319" s="1">
        <v>45139</v>
      </c>
      <c r="C319" t="s">
        <v>1213</v>
      </c>
      <c r="D319" t="s">
        <v>1214</v>
      </c>
      <c r="E319" t="s">
        <v>1220</v>
      </c>
      <c r="F319" t="s">
        <v>1224</v>
      </c>
      <c r="G319" s="6">
        <v>9</v>
      </c>
      <c r="H319">
        <v>3897</v>
      </c>
      <c r="I319">
        <v>35073</v>
      </c>
      <c r="J319" s="2">
        <v>8428.84</v>
      </c>
      <c r="K319" s="16">
        <f>Table13[[#This Row],[Profit]]/Table13[[#This Row],[Sales]]</f>
        <v>0.24032275539588857</v>
      </c>
      <c r="L319" s="17" t="str">
        <f t="shared" si="28"/>
        <v>High</v>
      </c>
      <c r="M319" s="17" t="str">
        <f t="shared" si="29"/>
        <v>Aug</v>
      </c>
      <c r="N319" s="18">
        <f>YEAR(Table13[[#This Row],[Order_Date]])</f>
        <v>2023</v>
      </c>
      <c r="O319" s="18">
        <f>Table13[[#This Row],[Price]]*0.7</f>
        <v>2727.8999999999996</v>
      </c>
      <c r="P319" s="18">
        <f t="shared" si="30"/>
        <v>10521.900000000001</v>
      </c>
      <c r="Q319" s="18">
        <f t="shared" si="31"/>
        <v>0.1</v>
      </c>
      <c r="R319" s="18">
        <f t="shared" si="32"/>
        <v>26644.16</v>
      </c>
      <c r="S319" s="18" t="str">
        <f>IF(Table13[[#This Row],[Quantity]]&lt;=3,"Small",IF(Table13[[#This Row],[Quantity]]&lt;=6,"Medium","Bulk"))</f>
        <v>Bulk</v>
      </c>
      <c r="T319" s="18" t="str">
        <f t="shared" si="33"/>
        <v>Normal</v>
      </c>
      <c r="U319" s="18" t="str">
        <f t="shared" si="34"/>
        <v>High Value</v>
      </c>
    </row>
    <row r="320" spans="1:21" x14ac:dyDescent="0.3">
      <c r="A320" t="s">
        <v>328</v>
      </c>
      <c r="B320" s="1">
        <v>44958</v>
      </c>
      <c r="C320" t="s">
        <v>1211</v>
      </c>
      <c r="D320" t="s">
        <v>1218</v>
      </c>
      <c r="E320" t="s">
        <v>1220</v>
      </c>
      <c r="F320" t="s">
        <v>1228</v>
      </c>
      <c r="G320" s="6">
        <v>8</v>
      </c>
      <c r="H320">
        <v>4188</v>
      </c>
      <c r="I320">
        <v>33504</v>
      </c>
      <c r="J320" s="2">
        <v>4308.75</v>
      </c>
      <c r="K320" s="16">
        <f>Table13[[#This Row],[Profit]]/Table13[[#This Row],[Sales]]</f>
        <v>0.12860404727793695</v>
      </c>
      <c r="L320" s="17" t="str">
        <f t="shared" si="28"/>
        <v>High</v>
      </c>
      <c r="M320" s="17" t="str">
        <f t="shared" si="29"/>
        <v>Feb</v>
      </c>
      <c r="N320" s="18">
        <f>YEAR(Table13[[#This Row],[Order_Date]])</f>
        <v>2023</v>
      </c>
      <c r="O320" s="18">
        <f>Table13[[#This Row],[Price]]*0.7</f>
        <v>2931.6</v>
      </c>
      <c r="P320" s="18">
        <f t="shared" si="30"/>
        <v>10051.200000000001</v>
      </c>
      <c r="Q320" s="18">
        <f t="shared" si="31"/>
        <v>0.1</v>
      </c>
      <c r="R320" s="18">
        <f t="shared" si="32"/>
        <v>29195.25</v>
      </c>
      <c r="S320" s="18" t="str">
        <f>IF(Table13[[#This Row],[Quantity]]&lt;=3,"Small",IF(Table13[[#This Row],[Quantity]]&lt;=6,"Medium","Bulk"))</f>
        <v>Bulk</v>
      </c>
      <c r="T320" s="18" t="str">
        <f t="shared" si="33"/>
        <v>Normal</v>
      </c>
      <c r="U320" s="18" t="str">
        <f t="shared" si="34"/>
        <v>High Value</v>
      </c>
    </row>
    <row r="321" spans="1:21" x14ac:dyDescent="0.3">
      <c r="A321" t="s">
        <v>329</v>
      </c>
      <c r="B321" s="1">
        <v>45075</v>
      </c>
      <c r="C321" t="s">
        <v>1211</v>
      </c>
      <c r="D321" t="s">
        <v>1216</v>
      </c>
      <c r="E321" t="s">
        <v>1221</v>
      </c>
      <c r="F321" t="s">
        <v>1231</v>
      </c>
      <c r="G321" s="6">
        <v>2</v>
      </c>
      <c r="H321">
        <v>2396</v>
      </c>
      <c r="I321">
        <v>4792</v>
      </c>
      <c r="J321" s="2">
        <v>998.45</v>
      </c>
      <c r="K321" s="16">
        <f>Table13[[#This Row],[Profit]]/Table13[[#This Row],[Sales]]</f>
        <v>0.2083576794657763</v>
      </c>
      <c r="L321" s="17" t="str">
        <f t="shared" si="28"/>
        <v>Low</v>
      </c>
      <c r="M321" s="17" t="str">
        <f t="shared" si="29"/>
        <v>May</v>
      </c>
      <c r="N321" s="18">
        <f>YEAR(Table13[[#This Row],[Order_Date]])</f>
        <v>2023</v>
      </c>
      <c r="O321" s="18">
        <f>Table13[[#This Row],[Price]]*0.7</f>
        <v>1677.1999999999998</v>
      </c>
      <c r="P321" s="18">
        <f t="shared" si="30"/>
        <v>1437.6000000000004</v>
      </c>
      <c r="Q321" s="18">
        <f t="shared" si="31"/>
        <v>0.05</v>
      </c>
      <c r="R321" s="18">
        <f t="shared" si="32"/>
        <v>3793.5499999999997</v>
      </c>
      <c r="S321" s="18" t="str">
        <f>IF(Table13[[#This Row],[Quantity]]&lt;=3,"Small",IF(Table13[[#This Row],[Quantity]]&lt;=6,"Medium","Bulk"))</f>
        <v>Small</v>
      </c>
      <c r="T321" s="18" t="str">
        <f t="shared" si="33"/>
        <v>Normal</v>
      </c>
      <c r="U321" s="18" t="str">
        <f t="shared" si="34"/>
        <v>low Value</v>
      </c>
    </row>
    <row r="322" spans="1:21" x14ac:dyDescent="0.3">
      <c r="A322" t="s">
        <v>330</v>
      </c>
      <c r="B322" s="1">
        <v>44948</v>
      </c>
      <c r="C322" t="s">
        <v>1213</v>
      </c>
      <c r="D322" t="s">
        <v>1215</v>
      </c>
      <c r="E322" t="s">
        <v>1221</v>
      </c>
      <c r="F322" t="s">
        <v>1235</v>
      </c>
      <c r="G322" s="6">
        <v>6</v>
      </c>
      <c r="H322">
        <v>861</v>
      </c>
      <c r="I322">
        <v>5166</v>
      </c>
      <c r="J322" s="2">
        <v>1278.04</v>
      </c>
      <c r="K322" s="16">
        <f>Table13[[#This Row],[Profit]]/Table13[[#This Row],[Sales]]</f>
        <v>0.24739450251645373</v>
      </c>
      <c r="L322" s="17" t="str">
        <f t="shared" ref="L322:L385" si="35">IF(I322&gt;20000,"High",IF(I322&gt;10000,"Medium","Low"))</f>
        <v>Low</v>
      </c>
      <c r="M322" s="17" t="str">
        <f t="shared" ref="M322:M385" si="36">TEXT(B322,"mmm")</f>
        <v>Jan</v>
      </c>
      <c r="N322" s="18">
        <f>YEAR(Table13[[#This Row],[Order_Date]])</f>
        <v>2023</v>
      </c>
      <c r="O322" s="18">
        <f>Table13[[#This Row],[Price]]*0.7</f>
        <v>602.69999999999993</v>
      </c>
      <c r="P322" s="18">
        <f t="shared" ref="P322:P385" si="37">I322 - (G322 *O322)</f>
        <v>1549.8000000000002</v>
      </c>
      <c r="Q322" s="18">
        <f t="shared" ref="Q322:Q385" si="38">IF(G322&gt;5,0.1,0.05)</f>
        <v>0.1</v>
      </c>
      <c r="R322" s="18">
        <f t="shared" ref="R322:R385" si="39">I322*(1-K322)</f>
        <v>3887.9600000000005</v>
      </c>
      <c r="S322" s="18" t="str">
        <f>IF(Table13[[#This Row],[Quantity]]&lt;=3,"Small",IF(Table13[[#This Row],[Quantity]]&lt;=6,"Medium","Bulk"))</f>
        <v>Medium</v>
      </c>
      <c r="T322" s="18" t="str">
        <f t="shared" ref="T322:T385" si="40">IF(C322="North","High Demand","Normal")</f>
        <v>Normal</v>
      </c>
      <c r="U322" s="18" t="str">
        <f t="shared" ref="U322:U385" si="41">IF(I322&gt;20000,"High Value",IF(I322&gt;10000,"Medium Value","low Value"))</f>
        <v>low Value</v>
      </c>
    </row>
    <row r="323" spans="1:21" x14ac:dyDescent="0.3">
      <c r="A323" t="s">
        <v>331</v>
      </c>
      <c r="B323" s="1">
        <v>45209</v>
      </c>
      <c r="C323" t="s">
        <v>1211</v>
      </c>
      <c r="D323" t="s">
        <v>1214</v>
      </c>
      <c r="E323" t="s">
        <v>1222</v>
      </c>
      <c r="F323" t="s">
        <v>1230</v>
      </c>
      <c r="G323" s="6">
        <v>2</v>
      </c>
      <c r="H323">
        <v>4508</v>
      </c>
      <c r="I323">
        <v>9016</v>
      </c>
      <c r="J323" s="2">
        <v>1834</v>
      </c>
      <c r="K323" s="16">
        <f>Table13[[#This Row],[Profit]]/Table13[[#This Row],[Sales]]</f>
        <v>0.20341614906832298</v>
      </c>
      <c r="L323" s="17" t="str">
        <f t="shared" si="35"/>
        <v>Low</v>
      </c>
      <c r="M323" s="17" t="str">
        <f t="shared" si="36"/>
        <v>Oct</v>
      </c>
      <c r="N323" s="18">
        <f>YEAR(Table13[[#This Row],[Order_Date]])</f>
        <v>2023</v>
      </c>
      <c r="O323" s="18">
        <f>Table13[[#This Row],[Price]]*0.7</f>
        <v>3155.6</v>
      </c>
      <c r="P323" s="18">
        <f t="shared" si="37"/>
        <v>2704.8</v>
      </c>
      <c r="Q323" s="18">
        <f t="shared" si="38"/>
        <v>0.05</v>
      </c>
      <c r="R323" s="18">
        <f t="shared" si="39"/>
        <v>7182</v>
      </c>
      <c r="S323" s="18" t="str">
        <f>IF(Table13[[#This Row],[Quantity]]&lt;=3,"Small",IF(Table13[[#This Row],[Quantity]]&lt;=6,"Medium","Bulk"))</f>
        <v>Small</v>
      </c>
      <c r="T323" s="18" t="str">
        <f t="shared" si="40"/>
        <v>Normal</v>
      </c>
      <c r="U323" s="18" t="str">
        <f t="shared" si="41"/>
        <v>low Value</v>
      </c>
    </row>
    <row r="324" spans="1:21" x14ac:dyDescent="0.3">
      <c r="A324" t="s">
        <v>332</v>
      </c>
      <c r="B324" s="1">
        <v>45279</v>
      </c>
      <c r="C324" t="s">
        <v>1213</v>
      </c>
      <c r="D324" t="s">
        <v>1214</v>
      </c>
      <c r="E324" t="s">
        <v>1219</v>
      </c>
      <c r="F324" t="s">
        <v>1223</v>
      </c>
      <c r="G324" s="6">
        <v>6</v>
      </c>
      <c r="H324">
        <v>3954</v>
      </c>
      <c r="I324">
        <v>23724</v>
      </c>
      <c r="J324" s="2">
        <v>4955.74</v>
      </c>
      <c r="K324" s="16">
        <f>Table13[[#This Row],[Profit]]/Table13[[#This Row],[Sales]]</f>
        <v>0.2088914179733603</v>
      </c>
      <c r="L324" s="17" t="str">
        <f t="shared" si="35"/>
        <v>High</v>
      </c>
      <c r="M324" s="17" t="str">
        <f t="shared" si="36"/>
        <v>Dec</v>
      </c>
      <c r="N324" s="18">
        <f>YEAR(Table13[[#This Row],[Order_Date]])</f>
        <v>2023</v>
      </c>
      <c r="O324" s="18">
        <f>Table13[[#This Row],[Price]]*0.7</f>
        <v>2767.7999999999997</v>
      </c>
      <c r="P324" s="18">
        <f t="shared" si="37"/>
        <v>7117.2000000000007</v>
      </c>
      <c r="Q324" s="18">
        <f t="shared" si="38"/>
        <v>0.1</v>
      </c>
      <c r="R324" s="18">
        <f t="shared" si="39"/>
        <v>18768.259999999998</v>
      </c>
      <c r="S324" s="18" t="str">
        <f>IF(Table13[[#This Row],[Quantity]]&lt;=3,"Small",IF(Table13[[#This Row],[Quantity]]&lt;=6,"Medium","Bulk"))</f>
        <v>Medium</v>
      </c>
      <c r="T324" s="18" t="str">
        <f t="shared" si="40"/>
        <v>Normal</v>
      </c>
      <c r="U324" s="18" t="str">
        <f t="shared" si="41"/>
        <v>High Value</v>
      </c>
    </row>
    <row r="325" spans="1:21" x14ac:dyDescent="0.3">
      <c r="A325" t="s">
        <v>333</v>
      </c>
      <c r="B325" s="1">
        <v>45221</v>
      </c>
      <c r="C325" t="s">
        <v>1213</v>
      </c>
      <c r="D325" t="s">
        <v>1218</v>
      </c>
      <c r="E325" t="s">
        <v>1219</v>
      </c>
      <c r="F325" t="s">
        <v>1233</v>
      </c>
      <c r="G325" s="6">
        <v>3</v>
      </c>
      <c r="H325">
        <v>222</v>
      </c>
      <c r="I325">
        <v>666</v>
      </c>
      <c r="J325" s="2">
        <v>131.28</v>
      </c>
      <c r="K325" s="16">
        <f>Table13[[#This Row],[Profit]]/Table13[[#This Row],[Sales]]</f>
        <v>0.19711711711711713</v>
      </c>
      <c r="L325" s="17" t="str">
        <f t="shared" si="35"/>
        <v>Low</v>
      </c>
      <c r="M325" s="17" t="str">
        <f t="shared" si="36"/>
        <v>Oct</v>
      </c>
      <c r="N325" s="18">
        <f>YEAR(Table13[[#This Row],[Order_Date]])</f>
        <v>2023</v>
      </c>
      <c r="O325" s="18">
        <f>Table13[[#This Row],[Price]]*0.7</f>
        <v>155.39999999999998</v>
      </c>
      <c r="P325" s="18">
        <f t="shared" si="37"/>
        <v>199.80000000000007</v>
      </c>
      <c r="Q325" s="18">
        <f t="shared" si="38"/>
        <v>0.05</v>
      </c>
      <c r="R325" s="18">
        <f t="shared" si="39"/>
        <v>534.72</v>
      </c>
      <c r="S325" s="18" t="str">
        <f>IF(Table13[[#This Row],[Quantity]]&lt;=3,"Small",IF(Table13[[#This Row],[Quantity]]&lt;=6,"Medium","Bulk"))</f>
        <v>Small</v>
      </c>
      <c r="T325" s="18" t="str">
        <f t="shared" si="40"/>
        <v>Normal</v>
      </c>
      <c r="U325" s="18" t="str">
        <f t="shared" si="41"/>
        <v>low Value</v>
      </c>
    </row>
    <row r="326" spans="1:21" x14ac:dyDescent="0.3">
      <c r="A326" t="s">
        <v>334</v>
      </c>
      <c r="B326" s="1">
        <v>44998</v>
      </c>
      <c r="C326" t="s">
        <v>1212</v>
      </c>
      <c r="D326" t="s">
        <v>1216</v>
      </c>
      <c r="E326" t="s">
        <v>1221</v>
      </c>
      <c r="F326" t="s">
        <v>1231</v>
      </c>
      <c r="G326" s="6">
        <v>8</v>
      </c>
      <c r="H326">
        <v>561</v>
      </c>
      <c r="I326">
        <v>4488</v>
      </c>
      <c r="J326" s="2">
        <v>784.8</v>
      </c>
      <c r="K326" s="16">
        <f>Table13[[#This Row],[Profit]]/Table13[[#This Row],[Sales]]</f>
        <v>0.17486631016042781</v>
      </c>
      <c r="L326" s="17" t="str">
        <f t="shared" si="35"/>
        <v>Low</v>
      </c>
      <c r="M326" s="17" t="str">
        <f t="shared" si="36"/>
        <v>Mar</v>
      </c>
      <c r="N326" s="18">
        <f>YEAR(Table13[[#This Row],[Order_Date]])</f>
        <v>2023</v>
      </c>
      <c r="O326" s="18">
        <f>Table13[[#This Row],[Price]]*0.7</f>
        <v>392.7</v>
      </c>
      <c r="P326" s="18">
        <f t="shared" si="37"/>
        <v>1346.4</v>
      </c>
      <c r="Q326" s="18">
        <f t="shared" si="38"/>
        <v>0.1</v>
      </c>
      <c r="R326" s="18">
        <f t="shared" si="39"/>
        <v>3703.2000000000003</v>
      </c>
      <c r="S326" s="18" t="str">
        <f>IF(Table13[[#This Row],[Quantity]]&lt;=3,"Small",IF(Table13[[#This Row],[Quantity]]&lt;=6,"Medium","Bulk"))</f>
        <v>Bulk</v>
      </c>
      <c r="T326" s="18" t="str">
        <f t="shared" si="40"/>
        <v>High Demand</v>
      </c>
      <c r="U326" s="18" t="str">
        <f t="shared" si="41"/>
        <v>low Value</v>
      </c>
    </row>
    <row r="327" spans="1:21" x14ac:dyDescent="0.3">
      <c r="A327" t="s">
        <v>335</v>
      </c>
      <c r="B327" s="1">
        <v>44936</v>
      </c>
      <c r="C327" t="s">
        <v>1212</v>
      </c>
      <c r="D327" t="s">
        <v>1214</v>
      </c>
      <c r="E327" t="s">
        <v>1222</v>
      </c>
      <c r="F327" t="s">
        <v>1227</v>
      </c>
      <c r="G327" s="6">
        <v>1</v>
      </c>
      <c r="H327">
        <v>2055</v>
      </c>
      <c r="I327">
        <v>2055</v>
      </c>
      <c r="J327" s="2">
        <v>443.9</v>
      </c>
      <c r="K327" s="16">
        <f>Table13[[#This Row],[Profit]]/Table13[[#This Row],[Sales]]</f>
        <v>0.21600973236009732</v>
      </c>
      <c r="L327" s="17" t="str">
        <f t="shared" si="35"/>
        <v>Low</v>
      </c>
      <c r="M327" s="17" t="str">
        <f t="shared" si="36"/>
        <v>Jan</v>
      </c>
      <c r="N327" s="18">
        <f>YEAR(Table13[[#This Row],[Order_Date]])</f>
        <v>2023</v>
      </c>
      <c r="O327" s="18">
        <f>Table13[[#This Row],[Price]]*0.7</f>
        <v>1438.5</v>
      </c>
      <c r="P327" s="18">
        <f t="shared" si="37"/>
        <v>616.5</v>
      </c>
      <c r="Q327" s="18">
        <f t="shared" si="38"/>
        <v>0.05</v>
      </c>
      <c r="R327" s="18">
        <f t="shared" si="39"/>
        <v>1611.1</v>
      </c>
      <c r="S327" s="18" t="str">
        <f>IF(Table13[[#This Row],[Quantity]]&lt;=3,"Small",IF(Table13[[#This Row],[Quantity]]&lt;=6,"Medium","Bulk"))</f>
        <v>Small</v>
      </c>
      <c r="T327" s="18" t="str">
        <f t="shared" si="40"/>
        <v>High Demand</v>
      </c>
      <c r="U327" s="18" t="str">
        <f t="shared" si="41"/>
        <v>low Value</v>
      </c>
    </row>
    <row r="328" spans="1:21" x14ac:dyDescent="0.3">
      <c r="A328" t="s">
        <v>336</v>
      </c>
      <c r="B328" s="1">
        <v>45012</v>
      </c>
      <c r="C328" t="s">
        <v>1211</v>
      </c>
      <c r="D328" t="s">
        <v>1217</v>
      </c>
      <c r="E328" t="s">
        <v>1219</v>
      </c>
      <c r="F328" t="s">
        <v>1233</v>
      </c>
      <c r="G328" s="6">
        <v>9</v>
      </c>
      <c r="H328">
        <v>2359</v>
      </c>
      <c r="I328">
        <v>21231</v>
      </c>
      <c r="J328" s="2">
        <v>4527.3999999999996</v>
      </c>
      <c r="K328" s="16">
        <f>Table13[[#This Row],[Profit]]/Table13[[#This Row],[Sales]]</f>
        <v>0.21324478357119306</v>
      </c>
      <c r="L328" s="17" t="str">
        <f t="shared" si="35"/>
        <v>High</v>
      </c>
      <c r="M328" s="17" t="str">
        <f t="shared" si="36"/>
        <v>Mar</v>
      </c>
      <c r="N328" s="18">
        <f>YEAR(Table13[[#This Row],[Order_Date]])</f>
        <v>2023</v>
      </c>
      <c r="O328" s="18">
        <f>Table13[[#This Row],[Price]]*0.7</f>
        <v>1651.3</v>
      </c>
      <c r="P328" s="18">
        <f t="shared" si="37"/>
        <v>6369.3000000000011</v>
      </c>
      <c r="Q328" s="18">
        <f t="shared" si="38"/>
        <v>0.1</v>
      </c>
      <c r="R328" s="18">
        <f t="shared" si="39"/>
        <v>16703.600000000002</v>
      </c>
      <c r="S328" s="18" t="str">
        <f>IF(Table13[[#This Row],[Quantity]]&lt;=3,"Small",IF(Table13[[#This Row],[Quantity]]&lt;=6,"Medium","Bulk"))</f>
        <v>Bulk</v>
      </c>
      <c r="T328" s="18" t="str">
        <f t="shared" si="40"/>
        <v>Normal</v>
      </c>
      <c r="U328" s="18" t="str">
        <f t="shared" si="41"/>
        <v>High Value</v>
      </c>
    </row>
    <row r="329" spans="1:21" x14ac:dyDescent="0.3">
      <c r="A329" t="s">
        <v>337</v>
      </c>
      <c r="B329" s="1">
        <v>44946</v>
      </c>
      <c r="C329" t="s">
        <v>1210</v>
      </c>
      <c r="D329" t="s">
        <v>1214</v>
      </c>
      <c r="E329" t="s">
        <v>1220</v>
      </c>
      <c r="F329" t="s">
        <v>1239</v>
      </c>
      <c r="G329" s="6">
        <v>1</v>
      </c>
      <c r="H329">
        <v>1237</v>
      </c>
      <c r="I329">
        <v>1237</v>
      </c>
      <c r="J329" s="2">
        <v>256.58</v>
      </c>
      <c r="K329" s="16">
        <f>Table13[[#This Row],[Profit]]/Table13[[#This Row],[Sales]]</f>
        <v>0.20742118027485851</v>
      </c>
      <c r="L329" s="17" t="str">
        <f t="shared" si="35"/>
        <v>Low</v>
      </c>
      <c r="M329" s="17" t="str">
        <f t="shared" si="36"/>
        <v>Jan</v>
      </c>
      <c r="N329" s="18">
        <f>YEAR(Table13[[#This Row],[Order_Date]])</f>
        <v>2023</v>
      </c>
      <c r="O329" s="18">
        <f>Table13[[#This Row],[Price]]*0.7</f>
        <v>865.9</v>
      </c>
      <c r="P329" s="18">
        <f t="shared" si="37"/>
        <v>371.1</v>
      </c>
      <c r="Q329" s="18">
        <f t="shared" si="38"/>
        <v>0.05</v>
      </c>
      <c r="R329" s="18">
        <f t="shared" si="39"/>
        <v>980.42000000000007</v>
      </c>
      <c r="S329" s="18" t="str">
        <f>IF(Table13[[#This Row],[Quantity]]&lt;=3,"Small",IF(Table13[[#This Row],[Quantity]]&lt;=6,"Medium","Bulk"))</f>
        <v>Small</v>
      </c>
      <c r="T329" s="18" t="str">
        <f t="shared" si="40"/>
        <v>Normal</v>
      </c>
      <c r="U329" s="18" t="str">
        <f t="shared" si="41"/>
        <v>low Value</v>
      </c>
    </row>
    <row r="330" spans="1:21" x14ac:dyDescent="0.3">
      <c r="A330" t="s">
        <v>338</v>
      </c>
      <c r="B330" s="1">
        <v>45112</v>
      </c>
      <c r="C330" t="s">
        <v>1213</v>
      </c>
      <c r="D330" t="s">
        <v>1215</v>
      </c>
      <c r="E330" t="s">
        <v>1219</v>
      </c>
      <c r="F330" t="s">
        <v>1238</v>
      </c>
      <c r="G330" s="6">
        <v>6</v>
      </c>
      <c r="H330">
        <v>4095</v>
      </c>
      <c r="I330">
        <v>24570</v>
      </c>
      <c r="J330" s="2">
        <v>4062.61</v>
      </c>
      <c r="K330" s="16">
        <f>Table13[[#This Row],[Profit]]/Table13[[#This Row],[Sales]]</f>
        <v>0.16534839234839235</v>
      </c>
      <c r="L330" s="17" t="str">
        <f t="shared" si="35"/>
        <v>High</v>
      </c>
      <c r="M330" s="17" t="str">
        <f t="shared" si="36"/>
        <v>Jul</v>
      </c>
      <c r="N330" s="18">
        <f>YEAR(Table13[[#This Row],[Order_Date]])</f>
        <v>2023</v>
      </c>
      <c r="O330" s="18">
        <f>Table13[[#This Row],[Price]]*0.7</f>
        <v>2866.5</v>
      </c>
      <c r="P330" s="18">
        <f t="shared" si="37"/>
        <v>7371</v>
      </c>
      <c r="Q330" s="18">
        <f t="shared" si="38"/>
        <v>0.1</v>
      </c>
      <c r="R330" s="18">
        <f t="shared" si="39"/>
        <v>20507.39</v>
      </c>
      <c r="S330" s="18" t="str">
        <f>IF(Table13[[#This Row],[Quantity]]&lt;=3,"Small",IF(Table13[[#This Row],[Quantity]]&lt;=6,"Medium","Bulk"))</f>
        <v>Medium</v>
      </c>
      <c r="T330" s="18" t="str">
        <f t="shared" si="40"/>
        <v>Normal</v>
      </c>
      <c r="U330" s="18" t="str">
        <f t="shared" si="41"/>
        <v>High Value</v>
      </c>
    </row>
    <row r="331" spans="1:21" x14ac:dyDescent="0.3">
      <c r="A331" t="s">
        <v>339</v>
      </c>
      <c r="B331" s="1">
        <v>45219</v>
      </c>
      <c r="C331" t="s">
        <v>1211</v>
      </c>
      <c r="D331" t="s">
        <v>1215</v>
      </c>
      <c r="E331" t="s">
        <v>1221</v>
      </c>
      <c r="F331" t="s">
        <v>1226</v>
      </c>
      <c r="G331" s="6">
        <v>8</v>
      </c>
      <c r="H331">
        <v>1213</v>
      </c>
      <c r="I331">
        <v>9704</v>
      </c>
      <c r="J331" s="2">
        <v>1754.65</v>
      </c>
      <c r="K331" s="16">
        <f>Table13[[#This Row],[Profit]]/Table13[[#This Row],[Sales]]</f>
        <v>0.18081718878812861</v>
      </c>
      <c r="L331" s="17" t="str">
        <f t="shared" si="35"/>
        <v>Low</v>
      </c>
      <c r="M331" s="17" t="str">
        <f t="shared" si="36"/>
        <v>Oct</v>
      </c>
      <c r="N331" s="18">
        <f>YEAR(Table13[[#This Row],[Order_Date]])</f>
        <v>2023</v>
      </c>
      <c r="O331" s="18">
        <f>Table13[[#This Row],[Price]]*0.7</f>
        <v>849.09999999999991</v>
      </c>
      <c r="P331" s="18">
        <f t="shared" si="37"/>
        <v>2911.2000000000007</v>
      </c>
      <c r="Q331" s="18">
        <f t="shared" si="38"/>
        <v>0.1</v>
      </c>
      <c r="R331" s="18">
        <f t="shared" si="39"/>
        <v>7949.35</v>
      </c>
      <c r="S331" s="18" t="str">
        <f>IF(Table13[[#This Row],[Quantity]]&lt;=3,"Small",IF(Table13[[#This Row],[Quantity]]&lt;=6,"Medium","Bulk"))</f>
        <v>Bulk</v>
      </c>
      <c r="T331" s="18" t="str">
        <f t="shared" si="40"/>
        <v>Normal</v>
      </c>
      <c r="U331" s="18" t="str">
        <f t="shared" si="41"/>
        <v>low Value</v>
      </c>
    </row>
    <row r="332" spans="1:21" x14ac:dyDescent="0.3">
      <c r="A332" t="s">
        <v>340</v>
      </c>
      <c r="B332" s="1">
        <v>45186</v>
      </c>
      <c r="C332" t="s">
        <v>1213</v>
      </c>
      <c r="D332" t="s">
        <v>1218</v>
      </c>
      <c r="E332" t="s">
        <v>1220</v>
      </c>
      <c r="F332" t="s">
        <v>1224</v>
      </c>
      <c r="G332" s="6">
        <v>7</v>
      </c>
      <c r="H332">
        <v>2652</v>
      </c>
      <c r="I332">
        <v>18564</v>
      </c>
      <c r="J332" s="2">
        <v>1576.87</v>
      </c>
      <c r="K332" s="16">
        <f>Table13[[#This Row],[Profit]]/Table13[[#This Row],[Sales]]</f>
        <v>8.4942361560008617E-2</v>
      </c>
      <c r="L332" s="17" t="str">
        <f t="shared" si="35"/>
        <v>Medium</v>
      </c>
      <c r="M332" s="17" t="str">
        <f t="shared" si="36"/>
        <v>Sep</v>
      </c>
      <c r="N332" s="18">
        <f>YEAR(Table13[[#This Row],[Order_Date]])</f>
        <v>2023</v>
      </c>
      <c r="O332" s="18">
        <f>Table13[[#This Row],[Price]]*0.7</f>
        <v>1856.3999999999999</v>
      </c>
      <c r="P332" s="18">
        <f t="shared" si="37"/>
        <v>5569.2000000000007</v>
      </c>
      <c r="Q332" s="18">
        <f t="shared" si="38"/>
        <v>0.1</v>
      </c>
      <c r="R332" s="18">
        <f t="shared" si="39"/>
        <v>16987.129999999997</v>
      </c>
      <c r="S332" s="18" t="str">
        <f>IF(Table13[[#This Row],[Quantity]]&lt;=3,"Small",IF(Table13[[#This Row],[Quantity]]&lt;=6,"Medium","Bulk"))</f>
        <v>Bulk</v>
      </c>
      <c r="T332" s="18" t="str">
        <f t="shared" si="40"/>
        <v>Normal</v>
      </c>
      <c r="U332" s="18" t="str">
        <f t="shared" si="41"/>
        <v>Medium Value</v>
      </c>
    </row>
    <row r="333" spans="1:21" x14ac:dyDescent="0.3">
      <c r="A333" t="s">
        <v>341</v>
      </c>
      <c r="B333" s="1">
        <v>45147</v>
      </c>
      <c r="C333" t="s">
        <v>1211</v>
      </c>
      <c r="D333" t="s">
        <v>1214</v>
      </c>
      <c r="E333" t="s">
        <v>1222</v>
      </c>
      <c r="F333" t="s">
        <v>1236</v>
      </c>
      <c r="G333" s="6">
        <v>1</v>
      </c>
      <c r="H333">
        <v>3390</v>
      </c>
      <c r="I333">
        <v>3390</v>
      </c>
      <c r="J333" s="2">
        <v>775.04</v>
      </c>
      <c r="K333" s="16">
        <f>Table13[[#This Row],[Profit]]/Table13[[#This Row],[Sales]]</f>
        <v>0.22862536873156342</v>
      </c>
      <c r="L333" s="17" t="str">
        <f t="shared" si="35"/>
        <v>Low</v>
      </c>
      <c r="M333" s="17" t="str">
        <f t="shared" si="36"/>
        <v>Aug</v>
      </c>
      <c r="N333" s="18">
        <f>YEAR(Table13[[#This Row],[Order_Date]])</f>
        <v>2023</v>
      </c>
      <c r="O333" s="18">
        <f>Table13[[#This Row],[Price]]*0.7</f>
        <v>2373</v>
      </c>
      <c r="P333" s="18">
        <f t="shared" si="37"/>
        <v>1017</v>
      </c>
      <c r="Q333" s="18">
        <f t="shared" si="38"/>
        <v>0.05</v>
      </c>
      <c r="R333" s="18">
        <f t="shared" si="39"/>
        <v>2614.96</v>
      </c>
      <c r="S333" s="18" t="str">
        <f>IF(Table13[[#This Row],[Quantity]]&lt;=3,"Small",IF(Table13[[#This Row],[Quantity]]&lt;=6,"Medium","Bulk"))</f>
        <v>Small</v>
      </c>
      <c r="T333" s="18" t="str">
        <f t="shared" si="40"/>
        <v>Normal</v>
      </c>
      <c r="U333" s="18" t="str">
        <f t="shared" si="41"/>
        <v>low Value</v>
      </c>
    </row>
    <row r="334" spans="1:21" x14ac:dyDescent="0.3">
      <c r="A334" t="s">
        <v>342</v>
      </c>
      <c r="B334" s="1">
        <v>44950</v>
      </c>
      <c r="C334" t="s">
        <v>1211</v>
      </c>
      <c r="D334" t="s">
        <v>1217</v>
      </c>
      <c r="E334" t="s">
        <v>1221</v>
      </c>
      <c r="F334" t="s">
        <v>1231</v>
      </c>
      <c r="G334" s="6">
        <v>7</v>
      </c>
      <c r="H334">
        <v>3147</v>
      </c>
      <c r="I334">
        <v>22029</v>
      </c>
      <c r="J334" s="2">
        <v>1960.07</v>
      </c>
      <c r="K334" s="16">
        <f>Table13[[#This Row],[Profit]]/Table13[[#This Row],[Sales]]</f>
        <v>8.8976803304734661E-2</v>
      </c>
      <c r="L334" s="17" t="str">
        <f t="shared" si="35"/>
        <v>High</v>
      </c>
      <c r="M334" s="17" t="str">
        <f t="shared" si="36"/>
        <v>Jan</v>
      </c>
      <c r="N334" s="18">
        <f>YEAR(Table13[[#This Row],[Order_Date]])</f>
        <v>2023</v>
      </c>
      <c r="O334" s="18">
        <f>Table13[[#This Row],[Price]]*0.7</f>
        <v>2202.8999999999996</v>
      </c>
      <c r="P334" s="18">
        <f t="shared" si="37"/>
        <v>6608.7000000000025</v>
      </c>
      <c r="Q334" s="18">
        <f t="shared" si="38"/>
        <v>0.1</v>
      </c>
      <c r="R334" s="18">
        <f t="shared" si="39"/>
        <v>20068.93</v>
      </c>
      <c r="S334" s="18" t="str">
        <f>IF(Table13[[#This Row],[Quantity]]&lt;=3,"Small",IF(Table13[[#This Row],[Quantity]]&lt;=6,"Medium","Bulk"))</f>
        <v>Bulk</v>
      </c>
      <c r="T334" s="18" t="str">
        <f t="shared" si="40"/>
        <v>Normal</v>
      </c>
      <c r="U334" s="18" t="str">
        <f t="shared" si="41"/>
        <v>High Value</v>
      </c>
    </row>
    <row r="335" spans="1:21" x14ac:dyDescent="0.3">
      <c r="A335" t="s">
        <v>343</v>
      </c>
      <c r="B335" s="1">
        <v>45137</v>
      </c>
      <c r="C335" t="s">
        <v>1211</v>
      </c>
      <c r="D335" t="s">
        <v>1215</v>
      </c>
      <c r="E335" t="s">
        <v>1219</v>
      </c>
      <c r="F335" t="s">
        <v>1238</v>
      </c>
      <c r="G335" s="6">
        <v>3</v>
      </c>
      <c r="H335">
        <v>4088</v>
      </c>
      <c r="I335">
        <v>12264</v>
      </c>
      <c r="J335" s="2">
        <v>2308.13</v>
      </c>
      <c r="K335" s="16">
        <f>Table13[[#This Row],[Profit]]/Table13[[#This Row],[Sales]]</f>
        <v>0.18820368558382258</v>
      </c>
      <c r="L335" s="17" t="str">
        <f t="shared" si="35"/>
        <v>Medium</v>
      </c>
      <c r="M335" s="17" t="str">
        <f t="shared" si="36"/>
        <v>Jul</v>
      </c>
      <c r="N335" s="18">
        <f>YEAR(Table13[[#This Row],[Order_Date]])</f>
        <v>2023</v>
      </c>
      <c r="O335" s="18">
        <f>Table13[[#This Row],[Price]]*0.7</f>
        <v>2861.6</v>
      </c>
      <c r="P335" s="18">
        <f t="shared" si="37"/>
        <v>3679.2000000000007</v>
      </c>
      <c r="Q335" s="18">
        <f t="shared" si="38"/>
        <v>0.05</v>
      </c>
      <c r="R335" s="18">
        <f t="shared" si="39"/>
        <v>9955.869999999999</v>
      </c>
      <c r="S335" s="18" t="str">
        <f>IF(Table13[[#This Row],[Quantity]]&lt;=3,"Small",IF(Table13[[#This Row],[Quantity]]&lt;=6,"Medium","Bulk"))</f>
        <v>Small</v>
      </c>
      <c r="T335" s="18" t="str">
        <f t="shared" si="40"/>
        <v>Normal</v>
      </c>
      <c r="U335" s="18" t="str">
        <f t="shared" si="41"/>
        <v>Medium Value</v>
      </c>
    </row>
    <row r="336" spans="1:21" x14ac:dyDescent="0.3">
      <c r="A336" t="s">
        <v>344</v>
      </c>
      <c r="B336" s="1">
        <v>44945</v>
      </c>
      <c r="C336" t="s">
        <v>1213</v>
      </c>
      <c r="D336" t="s">
        <v>1215</v>
      </c>
      <c r="E336" t="s">
        <v>1221</v>
      </c>
      <c r="F336" t="s">
        <v>1229</v>
      </c>
      <c r="G336" s="6">
        <v>6</v>
      </c>
      <c r="H336">
        <v>3174</v>
      </c>
      <c r="I336">
        <v>19044</v>
      </c>
      <c r="J336" s="2">
        <v>4194.8599999999997</v>
      </c>
      <c r="K336" s="16">
        <f>Table13[[#This Row],[Profit]]/Table13[[#This Row],[Sales]]</f>
        <v>0.22027200168031924</v>
      </c>
      <c r="L336" s="17" t="str">
        <f t="shared" si="35"/>
        <v>Medium</v>
      </c>
      <c r="M336" s="17" t="str">
        <f t="shared" si="36"/>
        <v>Jan</v>
      </c>
      <c r="N336" s="18">
        <f>YEAR(Table13[[#This Row],[Order_Date]])</f>
        <v>2023</v>
      </c>
      <c r="O336" s="18">
        <f>Table13[[#This Row],[Price]]*0.7</f>
        <v>2221.7999999999997</v>
      </c>
      <c r="P336" s="18">
        <f t="shared" si="37"/>
        <v>5713.2000000000007</v>
      </c>
      <c r="Q336" s="18">
        <f t="shared" si="38"/>
        <v>0.1</v>
      </c>
      <c r="R336" s="18">
        <f t="shared" si="39"/>
        <v>14849.140000000001</v>
      </c>
      <c r="S336" s="18" t="str">
        <f>IF(Table13[[#This Row],[Quantity]]&lt;=3,"Small",IF(Table13[[#This Row],[Quantity]]&lt;=6,"Medium","Bulk"))</f>
        <v>Medium</v>
      </c>
      <c r="T336" s="18" t="str">
        <f t="shared" si="40"/>
        <v>Normal</v>
      </c>
      <c r="U336" s="18" t="str">
        <f t="shared" si="41"/>
        <v>Medium Value</v>
      </c>
    </row>
    <row r="337" spans="1:21" x14ac:dyDescent="0.3">
      <c r="A337" t="s">
        <v>345</v>
      </c>
      <c r="B337" s="1">
        <v>45245</v>
      </c>
      <c r="C337" t="s">
        <v>1213</v>
      </c>
      <c r="D337" t="s">
        <v>1218</v>
      </c>
      <c r="E337" t="s">
        <v>1221</v>
      </c>
      <c r="F337" t="s">
        <v>1229</v>
      </c>
      <c r="G337" s="6">
        <v>7</v>
      </c>
      <c r="H337">
        <v>1406</v>
      </c>
      <c r="I337">
        <v>9842</v>
      </c>
      <c r="J337" s="2">
        <v>1181.98</v>
      </c>
      <c r="K337" s="16">
        <f>Table13[[#This Row],[Profit]]/Table13[[#This Row],[Sales]]</f>
        <v>0.12009550904287747</v>
      </c>
      <c r="L337" s="17" t="str">
        <f t="shared" si="35"/>
        <v>Low</v>
      </c>
      <c r="M337" s="17" t="str">
        <f t="shared" si="36"/>
        <v>Nov</v>
      </c>
      <c r="N337" s="18">
        <f>YEAR(Table13[[#This Row],[Order_Date]])</f>
        <v>2023</v>
      </c>
      <c r="O337" s="18">
        <f>Table13[[#This Row],[Price]]*0.7</f>
        <v>984.19999999999993</v>
      </c>
      <c r="P337" s="18">
        <f t="shared" si="37"/>
        <v>2952.6000000000004</v>
      </c>
      <c r="Q337" s="18">
        <f t="shared" si="38"/>
        <v>0.1</v>
      </c>
      <c r="R337" s="18">
        <f t="shared" si="39"/>
        <v>8660.02</v>
      </c>
      <c r="S337" s="18" t="str">
        <f>IF(Table13[[#This Row],[Quantity]]&lt;=3,"Small",IF(Table13[[#This Row],[Quantity]]&lt;=6,"Medium","Bulk"))</f>
        <v>Bulk</v>
      </c>
      <c r="T337" s="18" t="str">
        <f t="shared" si="40"/>
        <v>Normal</v>
      </c>
      <c r="U337" s="18" t="str">
        <f t="shared" si="41"/>
        <v>low Value</v>
      </c>
    </row>
    <row r="338" spans="1:21" x14ac:dyDescent="0.3">
      <c r="A338" t="s">
        <v>346</v>
      </c>
      <c r="B338" s="1">
        <v>45087</v>
      </c>
      <c r="C338" t="s">
        <v>1212</v>
      </c>
      <c r="D338" t="s">
        <v>1216</v>
      </c>
      <c r="E338" t="s">
        <v>1219</v>
      </c>
      <c r="F338" t="s">
        <v>1223</v>
      </c>
      <c r="G338" s="6">
        <v>9</v>
      </c>
      <c r="H338">
        <v>1219</v>
      </c>
      <c r="I338">
        <v>10971</v>
      </c>
      <c r="J338" s="2">
        <v>1436.16</v>
      </c>
      <c r="K338" s="16">
        <f>Table13[[#This Row],[Profit]]/Table13[[#This Row],[Sales]]</f>
        <v>0.13090511348099537</v>
      </c>
      <c r="L338" s="17" t="str">
        <f t="shared" si="35"/>
        <v>Medium</v>
      </c>
      <c r="M338" s="17" t="str">
        <f t="shared" si="36"/>
        <v>Jun</v>
      </c>
      <c r="N338" s="18">
        <f>YEAR(Table13[[#This Row],[Order_Date]])</f>
        <v>2023</v>
      </c>
      <c r="O338" s="18">
        <f>Table13[[#This Row],[Price]]*0.7</f>
        <v>853.3</v>
      </c>
      <c r="P338" s="18">
        <f t="shared" si="37"/>
        <v>3291.3</v>
      </c>
      <c r="Q338" s="18">
        <f t="shared" si="38"/>
        <v>0.1</v>
      </c>
      <c r="R338" s="18">
        <f t="shared" si="39"/>
        <v>9534.84</v>
      </c>
      <c r="S338" s="18" t="str">
        <f>IF(Table13[[#This Row],[Quantity]]&lt;=3,"Small",IF(Table13[[#This Row],[Quantity]]&lt;=6,"Medium","Bulk"))</f>
        <v>Bulk</v>
      </c>
      <c r="T338" s="18" t="str">
        <f t="shared" si="40"/>
        <v>High Demand</v>
      </c>
      <c r="U338" s="18" t="str">
        <f t="shared" si="41"/>
        <v>Medium Value</v>
      </c>
    </row>
    <row r="339" spans="1:21" x14ac:dyDescent="0.3">
      <c r="A339" t="s">
        <v>347</v>
      </c>
      <c r="B339" s="1">
        <v>45285</v>
      </c>
      <c r="C339" t="s">
        <v>1212</v>
      </c>
      <c r="D339" t="s">
        <v>1217</v>
      </c>
      <c r="E339" t="s">
        <v>1221</v>
      </c>
      <c r="F339" t="s">
        <v>1226</v>
      </c>
      <c r="G339" s="6">
        <v>6</v>
      </c>
      <c r="H339">
        <v>2325</v>
      </c>
      <c r="I339">
        <v>13950</v>
      </c>
      <c r="J339" s="2">
        <v>2888.03</v>
      </c>
      <c r="K339" s="16">
        <f>Table13[[#This Row],[Profit]]/Table13[[#This Row],[Sales]]</f>
        <v>0.20702724014336918</v>
      </c>
      <c r="L339" s="17" t="str">
        <f t="shared" si="35"/>
        <v>Medium</v>
      </c>
      <c r="M339" s="17" t="str">
        <f t="shared" si="36"/>
        <v>Dec</v>
      </c>
      <c r="N339" s="18">
        <f>YEAR(Table13[[#This Row],[Order_Date]])</f>
        <v>2023</v>
      </c>
      <c r="O339" s="18">
        <f>Table13[[#This Row],[Price]]*0.7</f>
        <v>1627.5</v>
      </c>
      <c r="P339" s="18">
        <f t="shared" si="37"/>
        <v>4185</v>
      </c>
      <c r="Q339" s="18">
        <f t="shared" si="38"/>
        <v>0.1</v>
      </c>
      <c r="R339" s="18">
        <f t="shared" si="39"/>
        <v>11061.970000000001</v>
      </c>
      <c r="S339" s="18" t="str">
        <f>IF(Table13[[#This Row],[Quantity]]&lt;=3,"Small",IF(Table13[[#This Row],[Quantity]]&lt;=6,"Medium","Bulk"))</f>
        <v>Medium</v>
      </c>
      <c r="T339" s="18" t="str">
        <f t="shared" si="40"/>
        <v>High Demand</v>
      </c>
      <c r="U339" s="18" t="str">
        <f t="shared" si="41"/>
        <v>Medium Value</v>
      </c>
    </row>
    <row r="340" spans="1:21" x14ac:dyDescent="0.3">
      <c r="A340" t="s">
        <v>348</v>
      </c>
      <c r="B340" s="1">
        <v>44976</v>
      </c>
      <c r="C340" t="s">
        <v>1210</v>
      </c>
      <c r="D340" t="s">
        <v>1215</v>
      </c>
      <c r="E340" t="s">
        <v>1221</v>
      </c>
      <c r="F340" t="s">
        <v>1231</v>
      </c>
      <c r="G340" s="6">
        <v>9</v>
      </c>
      <c r="H340">
        <v>699</v>
      </c>
      <c r="I340">
        <v>6291</v>
      </c>
      <c r="J340" s="2">
        <v>890.68</v>
      </c>
      <c r="K340" s="16">
        <f>Table13[[#This Row],[Profit]]/Table13[[#This Row],[Sales]]</f>
        <v>0.14158003497059291</v>
      </c>
      <c r="L340" s="17" t="str">
        <f t="shared" si="35"/>
        <v>Low</v>
      </c>
      <c r="M340" s="17" t="str">
        <f t="shared" si="36"/>
        <v>Feb</v>
      </c>
      <c r="N340" s="18">
        <f>YEAR(Table13[[#This Row],[Order_Date]])</f>
        <v>2023</v>
      </c>
      <c r="O340" s="18">
        <f>Table13[[#This Row],[Price]]*0.7</f>
        <v>489.29999999999995</v>
      </c>
      <c r="P340" s="18">
        <f t="shared" si="37"/>
        <v>1887.3000000000002</v>
      </c>
      <c r="Q340" s="18">
        <f t="shared" si="38"/>
        <v>0.1</v>
      </c>
      <c r="R340" s="18">
        <f t="shared" si="39"/>
        <v>5400.32</v>
      </c>
      <c r="S340" s="18" t="str">
        <f>IF(Table13[[#This Row],[Quantity]]&lt;=3,"Small",IF(Table13[[#This Row],[Quantity]]&lt;=6,"Medium","Bulk"))</f>
        <v>Bulk</v>
      </c>
      <c r="T340" s="18" t="str">
        <f t="shared" si="40"/>
        <v>Normal</v>
      </c>
      <c r="U340" s="18" t="str">
        <f t="shared" si="41"/>
        <v>low Value</v>
      </c>
    </row>
    <row r="341" spans="1:21" x14ac:dyDescent="0.3">
      <c r="A341" t="s">
        <v>349</v>
      </c>
      <c r="B341" s="1">
        <v>45291</v>
      </c>
      <c r="C341" t="s">
        <v>1210</v>
      </c>
      <c r="D341" t="s">
        <v>1215</v>
      </c>
      <c r="E341" t="s">
        <v>1219</v>
      </c>
      <c r="F341" t="s">
        <v>1232</v>
      </c>
      <c r="G341" s="6">
        <v>6</v>
      </c>
      <c r="H341">
        <v>2957</v>
      </c>
      <c r="I341">
        <v>17742</v>
      </c>
      <c r="J341" s="2">
        <v>2981.96</v>
      </c>
      <c r="K341" s="16">
        <f>Table13[[#This Row],[Profit]]/Table13[[#This Row],[Sales]]</f>
        <v>0.16807349791455303</v>
      </c>
      <c r="L341" s="17" t="str">
        <f t="shared" si="35"/>
        <v>Medium</v>
      </c>
      <c r="M341" s="17" t="str">
        <f t="shared" si="36"/>
        <v>Dec</v>
      </c>
      <c r="N341" s="18">
        <f>YEAR(Table13[[#This Row],[Order_Date]])</f>
        <v>2023</v>
      </c>
      <c r="O341" s="18">
        <f>Table13[[#This Row],[Price]]*0.7</f>
        <v>2069.9</v>
      </c>
      <c r="P341" s="18">
        <f t="shared" si="37"/>
        <v>5322.5999999999985</v>
      </c>
      <c r="Q341" s="18">
        <f t="shared" si="38"/>
        <v>0.1</v>
      </c>
      <c r="R341" s="18">
        <f t="shared" si="39"/>
        <v>14760.039999999999</v>
      </c>
      <c r="S341" s="18" t="str">
        <f>IF(Table13[[#This Row],[Quantity]]&lt;=3,"Small",IF(Table13[[#This Row],[Quantity]]&lt;=6,"Medium","Bulk"))</f>
        <v>Medium</v>
      </c>
      <c r="T341" s="18" t="str">
        <f t="shared" si="40"/>
        <v>Normal</v>
      </c>
      <c r="U341" s="18" t="str">
        <f t="shared" si="41"/>
        <v>Medium Value</v>
      </c>
    </row>
    <row r="342" spans="1:21" x14ac:dyDescent="0.3">
      <c r="A342" t="s">
        <v>350</v>
      </c>
      <c r="B342" s="1">
        <v>44975</v>
      </c>
      <c r="C342" t="s">
        <v>1212</v>
      </c>
      <c r="D342" t="s">
        <v>1217</v>
      </c>
      <c r="E342" t="s">
        <v>1219</v>
      </c>
      <c r="F342" t="s">
        <v>1233</v>
      </c>
      <c r="G342" s="6">
        <v>3</v>
      </c>
      <c r="H342">
        <v>4876</v>
      </c>
      <c r="I342">
        <v>14628</v>
      </c>
      <c r="J342" s="2">
        <v>3263.93</v>
      </c>
      <c r="K342" s="16">
        <f>Table13[[#This Row],[Profit]]/Table13[[#This Row],[Sales]]</f>
        <v>0.22312893081761004</v>
      </c>
      <c r="L342" s="17" t="str">
        <f t="shared" si="35"/>
        <v>Medium</v>
      </c>
      <c r="M342" s="17" t="str">
        <f t="shared" si="36"/>
        <v>Feb</v>
      </c>
      <c r="N342" s="18">
        <f>YEAR(Table13[[#This Row],[Order_Date]])</f>
        <v>2023</v>
      </c>
      <c r="O342" s="18">
        <f>Table13[[#This Row],[Price]]*0.7</f>
        <v>3413.2</v>
      </c>
      <c r="P342" s="18">
        <f t="shared" si="37"/>
        <v>4388.4000000000015</v>
      </c>
      <c r="Q342" s="18">
        <f t="shared" si="38"/>
        <v>0.05</v>
      </c>
      <c r="R342" s="18">
        <f t="shared" si="39"/>
        <v>11364.07</v>
      </c>
      <c r="S342" s="18" t="str">
        <f>IF(Table13[[#This Row],[Quantity]]&lt;=3,"Small",IF(Table13[[#This Row],[Quantity]]&lt;=6,"Medium","Bulk"))</f>
        <v>Small</v>
      </c>
      <c r="T342" s="18" t="str">
        <f t="shared" si="40"/>
        <v>High Demand</v>
      </c>
      <c r="U342" s="18" t="str">
        <f t="shared" si="41"/>
        <v>Medium Value</v>
      </c>
    </row>
    <row r="343" spans="1:21" x14ac:dyDescent="0.3">
      <c r="A343" t="s">
        <v>351</v>
      </c>
      <c r="B343" s="1">
        <v>45157</v>
      </c>
      <c r="C343" t="s">
        <v>1210</v>
      </c>
      <c r="D343" t="s">
        <v>1217</v>
      </c>
      <c r="E343" t="s">
        <v>1221</v>
      </c>
      <c r="F343" t="s">
        <v>1231</v>
      </c>
      <c r="G343" s="6">
        <v>4</v>
      </c>
      <c r="H343">
        <v>1825</v>
      </c>
      <c r="I343">
        <v>7300</v>
      </c>
      <c r="J343" s="2">
        <v>684.03</v>
      </c>
      <c r="K343" s="16">
        <f>Table13[[#This Row],[Profit]]/Table13[[#This Row],[Sales]]</f>
        <v>9.3702739726027398E-2</v>
      </c>
      <c r="L343" s="17" t="str">
        <f t="shared" si="35"/>
        <v>Low</v>
      </c>
      <c r="M343" s="17" t="str">
        <f t="shared" si="36"/>
        <v>Aug</v>
      </c>
      <c r="N343" s="18">
        <f>YEAR(Table13[[#This Row],[Order_Date]])</f>
        <v>2023</v>
      </c>
      <c r="O343" s="18">
        <f>Table13[[#This Row],[Price]]*0.7</f>
        <v>1277.5</v>
      </c>
      <c r="P343" s="18">
        <f t="shared" si="37"/>
        <v>2190</v>
      </c>
      <c r="Q343" s="18">
        <f t="shared" si="38"/>
        <v>0.05</v>
      </c>
      <c r="R343" s="18">
        <f t="shared" si="39"/>
        <v>6615.97</v>
      </c>
      <c r="S343" s="18" t="str">
        <f>IF(Table13[[#This Row],[Quantity]]&lt;=3,"Small",IF(Table13[[#This Row],[Quantity]]&lt;=6,"Medium","Bulk"))</f>
        <v>Medium</v>
      </c>
      <c r="T343" s="18" t="str">
        <f t="shared" si="40"/>
        <v>Normal</v>
      </c>
      <c r="U343" s="18" t="str">
        <f t="shared" si="41"/>
        <v>low Value</v>
      </c>
    </row>
    <row r="344" spans="1:21" x14ac:dyDescent="0.3">
      <c r="A344" t="s">
        <v>352</v>
      </c>
      <c r="B344" s="1">
        <v>45223</v>
      </c>
      <c r="C344" t="s">
        <v>1211</v>
      </c>
      <c r="D344" t="s">
        <v>1216</v>
      </c>
      <c r="E344" t="s">
        <v>1219</v>
      </c>
      <c r="F344" t="s">
        <v>1232</v>
      </c>
      <c r="G344" s="6">
        <v>8</v>
      </c>
      <c r="H344">
        <v>3584</v>
      </c>
      <c r="I344">
        <v>28672</v>
      </c>
      <c r="J344" s="2">
        <v>2328.02</v>
      </c>
      <c r="K344" s="16">
        <f>Table13[[#This Row],[Profit]]/Table13[[#This Row],[Sales]]</f>
        <v>8.1194893973214291E-2</v>
      </c>
      <c r="L344" s="17" t="str">
        <f t="shared" si="35"/>
        <v>High</v>
      </c>
      <c r="M344" s="17" t="str">
        <f t="shared" si="36"/>
        <v>Oct</v>
      </c>
      <c r="N344" s="18">
        <f>YEAR(Table13[[#This Row],[Order_Date]])</f>
        <v>2023</v>
      </c>
      <c r="O344" s="18">
        <f>Table13[[#This Row],[Price]]*0.7</f>
        <v>2508.7999999999997</v>
      </c>
      <c r="P344" s="18">
        <f t="shared" si="37"/>
        <v>8601.6000000000022</v>
      </c>
      <c r="Q344" s="18">
        <f t="shared" si="38"/>
        <v>0.1</v>
      </c>
      <c r="R344" s="18">
        <f t="shared" si="39"/>
        <v>26343.98</v>
      </c>
      <c r="S344" s="18" t="str">
        <f>IF(Table13[[#This Row],[Quantity]]&lt;=3,"Small",IF(Table13[[#This Row],[Quantity]]&lt;=6,"Medium","Bulk"))</f>
        <v>Bulk</v>
      </c>
      <c r="T344" s="18" t="str">
        <f t="shared" si="40"/>
        <v>Normal</v>
      </c>
      <c r="U344" s="18" t="str">
        <f t="shared" si="41"/>
        <v>High Value</v>
      </c>
    </row>
    <row r="345" spans="1:21" x14ac:dyDescent="0.3">
      <c r="A345" t="s">
        <v>353</v>
      </c>
      <c r="B345" s="1">
        <v>44962</v>
      </c>
      <c r="C345" t="s">
        <v>1212</v>
      </c>
      <c r="D345" t="s">
        <v>1239</v>
      </c>
      <c r="E345" t="s">
        <v>1221</v>
      </c>
      <c r="F345" t="s">
        <v>1226</v>
      </c>
      <c r="G345" s="6">
        <v>9</v>
      </c>
      <c r="H345">
        <v>1819</v>
      </c>
      <c r="I345">
        <v>16371</v>
      </c>
      <c r="J345" s="2">
        <v>3138.03</v>
      </c>
      <c r="K345" s="16">
        <f>Table13[[#This Row],[Profit]]/Table13[[#This Row],[Sales]]</f>
        <v>0.19168224299065423</v>
      </c>
      <c r="L345" s="17" t="str">
        <f t="shared" si="35"/>
        <v>Medium</v>
      </c>
      <c r="M345" s="17" t="str">
        <f t="shared" si="36"/>
        <v>Feb</v>
      </c>
      <c r="N345" s="18">
        <f>YEAR(Table13[[#This Row],[Order_Date]])</f>
        <v>2023</v>
      </c>
      <c r="O345" s="18">
        <f>Table13[[#This Row],[Price]]*0.7</f>
        <v>1273.3</v>
      </c>
      <c r="P345" s="18">
        <f t="shared" si="37"/>
        <v>4911.3000000000011</v>
      </c>
      <c r="Q345" s="18">
        <f t="shared" si="38"/>
        <v>0.1</v>
      </c>
      <c r="R345" s="18">
        <f t="shared" si="39"/>
        <v>13232.970000000001</v>
      </c>
      <c r="S345" s="18" t="str">
        <f>IF(Table13[[#This Row],[Quantity]]&lt;=3,"Small",IF(Table13[[#This Row],[Quantity]]&lt;=6,"Medium","Bulk"))</f>
        <v>Bulk</v>
      </c>
      <c r="T345" s="18" t="str">
        <f t="shared" si="40"/>
        <v>High Demand</v>
      </c>
      <c r="U345" s="18" t="str">
        <f t="shared" si="41"/>
        <v>Medium Value</v>
      </c>
    </row>
    <row r="346" spans="1:21" x14ac:dyDescent="0.3">
      <c r="A346" t="s">
        <v>354</v>
      </c>
      <c r="B346" s="1">
        <v>45146</v>
      </c>
      <c r="C346" t="s">
        <v>1211</v>
      </c>
      <c r="D346" t="s">
        <v>1217</v>
      </c>
      <c r="E346" t="s">
        <v>1220</v>
      </c>
      <c r="F346" t="s">
        <v>1225</v>
      </c>
      <c r="G346" s="6">
        <v>6</v>
      </c>
      <c r="H346">
        <v>1443</v>
      </c>
      <c r="I346">
        <v>8658</v>
      </c>
      <c r="J346" s="2">
        <v>1098.46</v>
      </c>
      <c r="K346" s="16">
        <f>Table13[[#This Row],[Profit]]/Table13[[#This Row],[Sales]]</f>
        <v>0.12687225687225687</v>
      </c>
      <c r="L346" s="17" t="str">
        <f t="shared" si="35"/>
        <v>Low</v>
      </c>
      <c r="M346" s="17" t="str">
        <f t="shared" si="36"/>
        <v>Aug</v>
      </c>
      <c r="N346" s="18">
        <f>YEAR(Table13[[#This Row],[Order_Date]])</f>
        <v>2023</v>
      </c>
      <c r="O346" s="18">
        <f>Table13[[#This Row],[Price]]*0.7</f>
        <v>1010.0999999999999</v>
      </c>
      <c r="P346" s="18">
        <f t="shared" si="37"/>
        <v>2597.4000000000005</v>
      </c>
      <c r="Q346" s="18">
        <f t="shared" si="38"/>
        <v>0.1</v>
      </c>
      <c r="R346" s="18">
        <f t="shared" si="39"/>
        <v>7559.54</v>
      </c>
      <c r="S346" s="18" t="str">
        <f>IF(Table13[[#This Row],[Quantity]]&lt;=3,"Small",IF(Table13[[#This Row],[Quantity]]&lt;=6,"Medium","Bulk"))</f>
        <v>Medium</v>
      </c>
      <c r="T346" s="18" t="str">
        <f t="shared" si="40"/>
        <v>Normal</v>
      </c>
      <c r="U346" s="18" t="str">
        <f t="shared" si="41"/>
        <v>low Value</v>
      </c>
    </row>
    <row r="347" spans="1:21" x14ac:dyDescent="0.3">
      <c r="A347" t="s">
        <v>355</v>
      </c>
      <c r="B347" s="1">
        <v>45131</v>
      </c>
      <c r="C347" t="s">
        <v>1211</v>
      </c>
      <c r="D347" t="s">
        <v>1216</v>
      </c>
      <c r="E347" t="s">
        <v>1221</v>
      </c>
      <c r="F347" t="s">
        <v>1226</v>
      </c>
      <c r="G347" s="6">
        <v>6</v>
      </c>
      <c r="H347">
        <v>2214</v>
      </c>
      <c r="I347">
        <v>13284</v>
      </c>
      <c r="J347" s="2">
        <v>2078.36</v>
      </c>
      <c r="K347" s="16">
        <f>Table13[[#This Row],[Profit]]/Table13[[#This Row],[Sales]]</f>
        <v>0.15645588678109004</v>
      </c>
      <c r="L347" s="17" t="str">
        <f t="shared" si="35"/>
        <v>Medium</v>
      </c>
      <c r="M347" s="17" t="str">
        <f t="shared" si="36"/>
        <v>Jul</v>
      </c>
      <c r="N347" s="18">
        <f>YEAR(Table13[[#This Row],[Order_Date]])</f>
        <v>2023</v>
      </c>
      <c r="O347" s="18">
        <f>Table13[[#This Row],[Price]]*0.7</f>
        <v>1549.8</v>
      </c>
      <c r="P347" s="18">
        <f t="shared" si="37"/>
        <v>3985.2000000000007</v>
      </c>
      <c r="Q347" s="18">
        <f t="shared" si="38"/>
        <v>0.1</v>
      </c>
      <c r="R347" s="18">
        <f t="shared" si="39"/>
        <v>11205.64</v>
      </c>
      <c r="S347" s="18" t="str">
        <f>IF(Table13[[#This Row],[Quantity]]&lt;=3,"Small",IF(Table13[[#This Row],[Quantity]]&lt;=6,"Medium","Bulk"))</f>
        <v>Medium</v>
      </c>
      <c r="T347" s="18" t="str">
        <f t="shared" si="40"/>
        <v>Normal</v>
      </c>
      <c r="U347" s="18" t="str">
        <f t="shared" si="41"/>
        <v>Medium Value</v>
      </c>
    </row>
    <row r="348" spans="1:21" x14ac:dyDescent="0.3">
      <c r="A348" t="s">
        <v>356</v>
      </c>
      <c r="B348" s="1">
        <v>45264</v>
      </c>
      <c r="C348" t="s">
        <v>1211</v>
      </c>
      <c r="D348" t="s">
        <v>1214</v>
      </c>
      <c r="E348" t="s">
        <v>1222</v>
      </c>
      <c r="F348" t="s">
        <v>1234</v>
      </c>
      <c r="G348" s="6">
        <v>4</v>
      </c>
      <c r="H348">
        <v>1919</v>
      </c>
      <c r="I348">
        <v>7676</v>
      </c>
      <c r="J348" s="2">
        <v>674.76</v>
      </c>
      <c r="K348" s="16">
        <f>Table13[[#This Row],[Profit]]/Table13[[#This Row],[Sales]]</f>
        <v>8.7905158936946323E-2</v>
      </c>
      <c r="L348" s="17" t="str">
        <f t="shared" si="35"/>
        <v>Low</v>
      </c>
      <c r="M348" s="17" t="str">
        <f t="shared" si="36"/>
        <v>Dec</v>
      </c>
      <c r="N348" s="18">
        <f>YEAR(Table13[[#This Row],[Order_Date]])</f>
        <v>2023</v>
      </c>
      <c r="O348" s="18">
        <f>Table13[[#This Row],[Price]]*0.7</f>
        <v>1343.3</v>
      </c>
      <c r="P348" s="18">
        <f t="shared" si="37"/>
        <v>2302.8000000000002</v>
      </c>
      <c r="Q348" s="18">
        <f t="shared" si="38"/>
        <v>0.05</v>
      </c>
      <c r="R348" s="18">
        <f t="shared" si="39"/>
        <v>7001.2400000000007</v>
      </c>
      <c r="S348" s="18" t="str">
        <f>IF(Table13[[#This Row],[Quantity]]&lt;=3,"Small",IF(Table13[[#This Row],[Quantity]]&lt;=6,"Medium","Bulk"))</f>
        <v>Medium</v>
      </c>
      <c r="T348" s="18" t="str">
        <f t="shared" si="40"/>
        <v>Normal</v>
      </c>
      <c r="U348" s="18" t="str">
        <f t="shared" si="41"/>
        <v>low Value</v>
      </c>
    </row>
    <row r="349" spans="1:21" x14ac:dyDescent="0.3">
      <c r="A349" t="s">
        <v>357</v>
      </c>
      <c r="B349" s="1">
        <v>44933</v>
      </c>
      <c r="C349" t="s">
        <v>1211</v>
      </c>
      <c r="D349" t="s">
        <v>1217</v>
      </c>
      <c r="E349" t="s">
        <v>1222</v>
      </c>
      <c r="F349" t="s">
        <v>1234</v>
      </c>
      <c r="G349" s="6">
        <v>4</v>
      </c>
      <c r="H349">
        <v>889</v>
      </c>
      <c r="I349">
        <v>3556</v>
      </c>
      <c r="J349" s="2">
        <v>533</v>
      </c>
      <c r="K349" s="16">
        <f>Table13[[#This Row],[Profit]]/Table13[[#This Row],[Sales]]</f>
        <v>0.14988751406074241</v>
      </c>
      <c r="L349" s="17" t="str">
        <f t="shared" si="35"/>
        <v>Low</v>
      </c>
      <c r="M349" s="17" t="str">
        <f t="shared" si="36"/>
        <v>Jan</v>
      </c>
      <c r="N349" s="18">
        <f>YEAR(Table13[[#This Row],[Order_Date]])</f>
        <v>2023</v>
      </c>
      <c r="O349" s="18">
        <f>Table13[[#This Row],[Price]]*0.7</f>
        <v>622.29999999999995</v>
      </c>
      <c r="P349" s="18">
        <f t="shared" si="37"/>
        <v>1066.8000000000002</v>
      </c>
      <c r="Q349" s="18">
        <f t="shared" si="38"/>
        <v>0.05</v>
      </c>
      <c r="R349" s="18">
        <f t="shared" si="39"/>
        <v>3023</v>
      </c>
      <c r="S349" s="18" t="str">
        <f>IF(Table13[[#This Row],[Quantity]]&lt;=3,"Small",IF(Table13[[#This Row],[Quantity]]&lt;=6,"Medium","Bulk"))</f>
        <v>Medium</v>
      </c>
      <c r="T349" s="18" t="str">
        <f t="shared" si="40"/>
        <v>Normal</v>
      </c>
      <c r="U349" s="18" t="str">
        <f t="shared" si="41"/>
        <v>low Value</v>
      </c>
    </row>
    <row r="350" spans="1:21" x14ac:dyDescent="0.3">
      <c r="A350" t="s">
        <v>358</v>
      </c>
      <c r="B350" s="1">
        <v>45080</v>
      </c>
      <c r="C350" t="s">
        <v>1213</v>
      </c>
      <c r="D350" t="s">
        <v>1218</v>
      </c>
      <c r="E350" t="s">
        <v>1221</v>
      </c>
      <c r="F350" t="s">
        <v>1226</v>
      </c>
      <c r="G350" s="6">
        <v>4</v>
      </c>
      <c r="H350">
        <v>3926</v>
      </c>
      <c r="I350">
        <v>15704</v>
      </c>
      <c r="J350" s="2">
        <v>3611.34</v>
      </c>
      <c r="K350" s="16">
        <f>Table13[[#This Row],[Profit]]/Table13[[#This Row],[Sales]]</f>
        <v>0.22996306673458991</v>
      </c>
      <c r="L350" s="17" t="str">
        <f t="shared" si="35"/>
        <v>Medium</v>
      </c>
      <c r="M350" s="17" t="str">
        <f t="shared" si="36"/>
        <v>Jun</v>
      </c>
      <c r="N350" s="18">
        <f>YEAR(Table13[[#This Row],[Order_Date]])</f>
        <v>2023</v>
      </c>
      <c r="O350" s="18">
        <f>Table13[[#This Row],[Price]]*0.7</f>
        <v>2748.2</v>
      </c>
      <c r="P350" s="18">
        <f t="shared" si="37"/>
        <v>4711.2000000000007</v>
      </c>
      <c r="Q350" s="18">
        <f t="shared" si="38"/>
        <v>0.05</v>
      </c>
      <c r="R350" s="18">
        <f t="shared" si="39"/>
        <v>12092.66</v>
      </c>
      <c r="S350" s="18" t="str">
        <f>IF(Table13[[#This Row],[Quantity]]&lt;=3,"Small",IF(Table13[[#This Row],[Quantity]]&lt;=6,"Medium","Bulk"))</f>
        <v>Medium</v>
      </c>
      <c r="T350" s="18" t="str">
        <f t="shared" si="40"/>
        <v>Normal</v>
      </c>
      <c r="U350" s="18" t="str">
        <f t="shared" si="41"/>
        <v>Medium Value</v>
      </c>
    </row>
    <row r="351" spans="1:21" x14ac:dyDescent="0.3">
      <c r="A351" t="s">
        <v>359</v>
      </c>
      <c r="B351" s="1">
        <v>45144</v>
      </c>
      <c r="C351" t="s">
        <v>1212</v>
      </c>
      <c r="D351" t="s">
        <v>1218</v>
      </c>
      <c r="E351" t="s">
        <v>1222</v>
      </c>
      <c r="F351" t="s">
        <v>1230</v>
      </c>
      <c r="G351" s="6">
        <v>5</v>
      </c>
      <c r="H351">
        <v>3852</v>
      </c>
      <c r="I351">
        <v>19260</v>
      </c>
      <c r="J351" s="2">
        <v>3682.7</v>
      </c>
      <c r="K351" s="16">
        <f>Table13[[#This Row],[Profit]]/Table13[[#This Row],[Sales]]</f>
        <v>0.19120976116303218</v>
      </c>
      <c r="L351" s="17" t="str">
        <f t="shared" si="35"/>
        <v>Medium</v>
      </c>
      <c r="M351" s="17" t="str">
        <f t="shared" si="36"/>
        <v>Aug</v>
      </c>
      <c r="N351" s="18">
        <f>YEAR(Table13[[#This Row],[Order_Date]])</f>
        <v>2023</v>
      </c>
      <c r="O351" s="18">
        <f>Table13[[#This Row],[Price]]*0.7</f>
        <v>2696.3999999999996</v>
      </c>
      <c r="P351" s="18">
        <f t="shared" si="37"/>
        <v>5778.0000000000018</v>
      </c>
      <c r="Q351" s="18">
        <f t="shared" si="38"/>
        <v>0.05</v>
      </c>
      <c r="R351" s="18">
        <f t="shared" si="39"/>
        <v>15577.300000000001</v>
      </c>
      <c r="S351" s="18" t="str">
        <f>IF(Table13[[#This Row],[Quantity]]&lt;=3,"Small",IF(Table13[[#This Row],[Quantity]]&lt;=6,"Medium","Bulk"))</f>
        <v>Medium</v>
      </c>
      <c r="T351" s="18" t="str">
        <f t="shared" si="40"/>
        <v>High Demand</v>
      </c>
      <c r="U351" s="18" t="str">
        <f t="shared" si="41"/>
        <v>Medium Value</v>
      </c>
    </row>
    <row r="352" spans="1:21" x14ac:dyDescent="0.3">
      <c r="A352" t="s">
        <v>360</v>
      </c>
      <c r="B352" s="1">
        <v>45087</v>
      </c>
      <c r="C352" t="s">
        <v>1211</v>
      </c>
      <c r="D352" t="s">
        <v>1215</v>
      </c>
      <c r="E352" t="s">
        <v>1219</v>
      </c>
      <c r="F352" t="s">
        <v>1238</v>
      </c>
      <c r="G352" s="6">
        <v>9</v>
      </c>
      <c r="H352">
        <v>4679</v>
      </c>
      <c r="I352">
        <v>42111</v>
      </c>
      <c r="J352" s="2">
        <v>10294.06</v>
      </c>
      <c r="K352" s="16">
        <f>Table13[[#This Row],[Profit]]/Table13[[#This Row],[Sales]]</f>
        <v>0.24445061860321529</v>
      </c>
      <c r="L352" s="17" t="str">
        <f t="shared" si="35"/>
        <v>High</v>
      </c>
      <c r="M352" s="17" t="str">
        <f t="shared" si="36"/>
        <v>Jun</v>
      </c>
      <c r="N352" s="18">
        <f>YEAR(Table13[[#This Row],[Order_Date]])</f>
        <v>2023</v>
      </c>
      <c r="O352" s="18">
        <f>Table13[[#This Row],[Price]]*0.7</f>
        <v>3275.2999999999997</v>
      </c>
      <c r="P352" s="18">
        <f t="shared" si="37"/>
        <v>12633.300000000003</v>
      </c>
      <c r="Q352" s="18">
        <f t="shared" si="38"/>
        <v>0.1</v>
      </c>
      <c r="R352" s="18">
        <f t="shared" si="39"/>
        <v>31816.940000000002</v>
      </c>
      <c r="S352" s="18" t="str">
        <f>IF(Table13[[#This Row],[Quantity]]&lt;=3,"Small",IF(Table13[[#This Row],[Quantity]]&lt;=6,"Medium","Bulk"))</f>
        <v>Bulk</v>
      </c>
      <c r="T352" s="18" t="str">
        <f t="shared" si="40"/>
        <v>Normal</v>
      </c>
      <c r="U352" s="18" t="str">
        <f t="shared" si="41"/>
        <v>High Value</v>
      </c>
    </row>
    <row r="353" spans="1:21" x14ac:dyDescent="0.3">
      <c r="A353" t="s">
        <v>361</v>
      </c>
      <c r="B353" s="1">
        <v>45007</v>
      </c>
      <c r="C353" t="s">
        <v>1213</v>
      </c>
      <c r="D353" t="s">
        <v>1215</v>
      </c>
      <c r="E353" t="s">
        <v>1221</v>
      </c>
      <c r="F353" t="s">
        <v>1235</v>
      </c>
      <c r="G353" s="6">
        <v>9</v>
      </c>
      <c r="H353">
        <v>797</v>
      </c>
      <c r="I353">
        <v>7173</v>
      </c>
      <c r="J353" s="2">
        <v>1258.2</v>
      </c>
      <c r="K353" s="16">
        <f>Table13[[#This Row],[Profit]]/Table13[[#This Row],[Sales]]</f>
        <v>0.17540777917189462</v>
      </c>
      <c r="L353" s="17" t="str">
        <f t="shared" si="35"/>
        <v>Low</v>
      </c>
      <c r="M353" s="17" t="str">
        <f t="shared" si="36"/>
        <v>Mar</v>
      </c>
      <c r="N353" s="18">
        <f>YEAR(Table13[[#This Row],[Order_Date]])</f>
        <v>2023</v>
      </c>
      <c r="O353" s="18">
        <f>Table13[[#This Row],[Price]]*0.7</f>
        <v>557.9</v>
      </c>
      <c r="P353" s="18">
        <f t="shared" si="37"/>
        <v>2151.9000000000005</v>
      </c>
      <c r="Q353" s="18">
        <f t="shared" si="38"/>
        <v>0.1</v>
      </c>
      <c r="R353" s="18">
        <f t="shared" si="39"/>
        <v>5914.7999999999993</v>
      </c>
      <c r="S353" s="18" t="str">
        <f>IF(Table13[[#This Row],[Quantity]]&lt;=3,"Small",IF(Table13[[#This Row],[Quantity]]&lt;=6,"Medium","Bulk"))</f>
        <v>Bulk</v>
      </c>
      <c r="T353" s="18" t="str">
        <f t="shared" si="40"/>
        <v>Normal</v>
      </c>
      <c r="U353" s="18" t="str">
        <f t="shared" si="41"/>
        <v>low Value</v>
      </c>
    </row>
    <row r="354" spans="1:21" x14ac:dyDescent="0.3">
      <c r="A354" t="s">
        <v>362</v>
      </c>
      <c r="B354" s="1">
        <v>45024</v>
      </c>
      <c r="C354" t="s">
        <v>1211</v>
      </c>
      <c r="D354" t="s">
        <v>1217</v>
      </c>
      <c r="E354" t="s">
        <v>1222</v>
      </c>
      <c r="F354" t="s">
        <v>1230</v>
      </c>
      <c r="G354" s="6">
        <v>9</v>
      </c>
      <c r="H354">
        <v>3869</v>
      </c>
      <c r="I354">
        <v>34821</v>
      </c>
      <c r="J354" s="2">
        <v>6034.57</v>
      </c>
      <c r="K354" s="16">
        <f>Table13[[#This Row],[Profit]]/Table13[[#This Row],[Sales]]</f>
        <v>0.17330260475000717</v>
      </c>
      <c r="L354" s="17" t="str">
        <f t="shared" si="35"/>
        <v>High</v>
      </c>
      <c r="M354" s="17" t="str">
        <f t="shared" si="36"/>
        <v>Apr</v>
      </c>
      <c r="N354" s="18">
        <f>YEAR(Table13[[#This Row],[Order_Date]])</f>
        <v>2023</v>
      </c>
      <c r="O354" s="18">
        <f>Table13[[#This Row],[Price]]*0.7</f>
        <v>2708.2999999999997</v>
      </c>
      <c r="P354" s="18">
        <f t="shared" si="37"/>
        <v>10446.300000000003</v>
      </c>
      <c r="Q354" s="18">
        <f t="shared" si="38"/>
        <v>0.1</v>
      </c>
      <c r="R354" s="18">
        <f t="shared" si="39"/>
        <v>28786.43</v>
      </c>
      <c r="S354" s="18" t="str">
        <f>IF(Table13[[#This Row],[Quantity]]&lt;=3,"Small",IF(Table13[[#This Row],[Quantity]]&lt;=6,"Medium","Bulk"))</f>
        <v>Bulk</v>
      </c>
      <c r="T354" s="18" t="str">
        <f t="shared" si="40"/>
        <v>Normal</v>
      </c>
      <c r="U354" s="18" t="str">
        <f t="shared" si="41"/>
        <v>High Value</v>
      </c>
    </row>
    <row r="355" spans="1:21" x14ac:dyDescent="0.3">
      <c r="A355" t="s">
        <v>363</v>
      </c>
      <c r="B355" s="1">
        <v>45038</v>
      </c>
      <c r="C355" t="s">
        <v>1212</v>
      </c>
      <c r="D355" t="s">
        <v>1217</v>
      </c>
      <c r="E355" t="s">
        <v>1222</v>
      </c>
      <c r="F355" t="s">
        <v>1230</v>
      </c>
      <c r="G355" s="6">
        <v>5</v>
      </c>
      <c r="H355">
        <v>3788</v>
      </c>
      <c r="I355">
        <v>18940</v>
      </c>
      <c r="J355" s="2">
        <v>4560.16</v>
      </c>
      <c r="K355" s="16">
        <f>Table13[[#This Row],[Profit]]/Table13[[#This Row],[Sales]]</f>
        <v>0.24076874340021118</v>
      </c>
      <c r="L355" s="17" t="str">
        <f t="shared" si="35"/>
        <v>Medium</v>
      </c>
      <c r="M355" s="17" t="str">
        <f t="shared" si="36"/>
        <v>Apr</v>
      </c>
      <c r="N355" s="18">
        <f>YEAR(Table13[[#This Row],[Order_Date]])</f>
        <v>2023</v>
      </c>
      <c r="O355" s="18">
        <f>Table13[[#This Row],[Price]]*0.7</f>
        <v>2651.6</v>
      </c>
      <c r="P355" s="18">
        <f t="shared" si="37"/>
        <v>5682</v>
      </c>
      <c r="Q355" s="18">
        <f t="shared" si="38"/>
        <v>0.05</v>
      </c>
      <c r="R355" s="18">
        <f t="shared" si="39"/>
        <v>14379.84</v>
      </c>
      <c r="S355" s="18" t="str">
        <f>IF(Table13[[#This Row],[Quantity]]&lt;=3,"Small",IF(Table13[[#This Row],[Quantity]]&lt;=6,"Medium","Bulk"))</f>
        <v>Medium</v>
      </c>
      <c r="T355" s="18" t="str">
        <f t="shared" si="40"/>
        <v>High Demand</v>
      </c>
      <c r="U355" s="18" t="str">
        <f t="shared" si="41"/>
        <v>Medium Value</v>
      </c>
    </row>
    <row r="356" spans="1:21" x14ac:dyDescent="0.3">
      <c r="A356" t="s">
        <v>364</v>
      </c>
      <c r="B356" s="1">
        <v>45002</v>
      </c>
      <c r="C356" t="s">
        <v>1213</v>
      </c>
      <c r="D356" t="s">
        <v>1216</v>
      </c>
      <c r="E356" t="s">
        <v>1220</v>
      </c>
      <c r="F356" t="s">
        <v>1225</v>
      </c>
      <c r="G356" s="6">
        <v>3</v>
      </c>
      <c r="H356">
        <v>4932</v>
      </c>
      <c r="I356">
        <v>14796</v>
      </c>
      <c r="J356" s="2">
        <v>3068.37</v>
      </c>
      <c r="K356" s="16">
        <f>Table13[[#This Row],[Profit]]/Table13[[#This Row],[Sales]]</f>
        <v>0.20737834549878345</v>
      </c>
      <c r="L356" s="17" t="str">
        <f t="shared" si="35"/>
        <v>Medium</v>
      </c>
      <c r="M356" s="17" t="str">
        <f t="shared" si="36"/>
        <v>Mar</v>
      </c>
      <c r="N356" s="18">
        <f>YEAR(Table13[[#This Row],[Order_Date]])</f>
        <v>2023</v>
      </c>
      <c r="O356" s="18">
        <f>Table13[[#This Row],[Price]]*0.7</f>
        <v>3452.3999999999996</v>
      </c>
      <c r="P356" s="18">
        <f t="shared" si="37"/>
        <v>4438.8000000000011</v>
      </c>
      <c r="Q356" s="18">
        <f t="shared" si="38"/>
        <v>0.05</v>
      </c>
      <c r="R356" s="18">
        <f t="shared" si="39"/>
        <v>11727.630000000001</v>
      </c>
      <c r="S356" s="18" t="str">
        <f>IF(Table13[[#This Row],[Quantity]]&lt;=3,"Small",IF(Table13[[#This Row],[Quantity]]&lt;=6,"Medium","Bulk"))</f>
        <v>Small</v>
      </c>
      <c r="T356" s="18" t="str">
        <f t="shared" si="40"/>
        <v>Normal</v>
      </c>
      <c r="U356" s="18" t="str">
        <f t="shared" si="41"/>
        <v>Medium Value</v>
      </c>
    </row>
    <row r="357" spans="1:21" x14ac:dyDescent="0.3">
      <c r="A357" t="s">
        <v>365</v>
      </c>
      <c r="B357" s="1">
        <v>44975</v>
      </c>
      <c r="C357" t="s">
        <v>1213</v>
      </c>
      <c r="D357" t="s">
        <v>1215</v>
      </c>
      <c r="E357" t="s">
        <v>1219</v>
      </c>
      <c r="F357" t="s">
        <v>1233</v>
      </c>
      <c r="G357" s="6">
        <v>3</v>
      </c>
      <c r="H357">
        <v>1927</v>
      </c>
      <c r="I357">
        <v>5781</v>
      </c>
      <c r="J357" s="2">
        <v>1242.79</v>
      </c>
      <c r="K357" s="16">
        <f>Table13[[#This Row],[Profit]]/Table13[[#This Row],[Sales]]</f>
        <v>0.21497837744334888</v>
      </c>
      <c r="L357" s="17" t="str">
        <f t="shared" si="35"/>
        <v>Low</v>
      </c>
      <c r="M357" s="17" t="str">
        <f t="shared" si="36"/>
        <v>Feb</v>
      </c>
      <c r="N357" s="18">
        <f>YEAR(Table13[[#This Row],[Order_Date]])</f>
        <v>2023</v>
      </c>
      <c r="O357" s="18">
        <f>Table13[[#This Row],[Price]]*0.7</f>
        <v>1348.8999999999999</v>
      </c>
      <c r="P357" s="18">
        <f t="shared" si="37"/>
        <v>1734.3000000000002</v>
      </c>
      <c r="Q357" s="18">
        <f t="shared" si="38"/>
        <v>0.05</v>
      </c>
      <c r="R357" s="18">
        <f t="shared" si="39"/>
        <v>4538.21</v>
      </c>
      <c r="S357" s="18" t="str">
        <f>IF(Table13[[#This Row],[Quantity]]&lt;=3,"Small",IF(Table13[[#This Row],[Quantity]]&lt;=6,"Medium","Bulk"))</f>
        <v>Small</v>
      </c>
      <c r="T357" s="18" t="str">
        <f t="shared" si="40"/>
        <v>Normal</v>
      </c>
      <c r="U357" s="18" t="str">
        <f t="shared" si="41"/>
        <v>low Value</v>
      </c>
    </row>
    <row r="358" spans="1:21" x14ac:dyDescent="0.3">
      <c r="A358" t="s">
        <v>366</v>
      </c>
      <c r="B358" s="1">
        <v>45140</v>
      </c>
      <c r="C358" t="s">
        <v>1213</v>
      </c>
      <c r="D358" t="s">
        <v>1216</v>
      </c>
      <c r="E358" t="s">
        <v>1221</v>
      </c>
      <c r="F358" t="s">
        <v>1229</v>
      </c>
      <c r="G358" s="6">
        <v>4</v>
      </c>
      <c r="H358">
        <v>2991</v>
      </c>
      <c r="I358">
        <v>11964</v>
      </c>
      <c r="J358" s="2">
        <v>2742.52</v>
      </c>
      <c r="K358" s="16">
        <f>Table13[[#This Row],[Profit]]/Table13[[#This Row],[Sales]]</f>
        <v>0.22923102641257104</v>
      </c>
      <c r="L358" s="17" t="str">
        <f t="shared" si="35"/>
        <v>Medium</v>
      </c>
      <c r="M358" s="17" t="str">
        <f t="shared" si="36"/>
        <v>Aug</v>
      </c>
      <c r="N358" s="18">
        <f>YEAR(Table13[[#This Row],[Order_Date]])</f>
        <v>2023</v>
      </c>
      <c r="O358" s="18">
        <f>Table13[[#This Row],[Price]]*0.7</f>
        <v>2093.6999999999998</v>
      </c>
      <c r="P358" s="18">
        <f t="shared" si="37"/>
        <v>3589.2000000000007</v>
      </c>
      <c r="Q358" s="18">
        <f t="shared" si="38"/>
        <v>0.05</v>
      </c>
      <c r="R358" s="18">
        <f t="shared" si="39"/>
        <v>9221.4800000000014</v>
      </c>
      <c r="S358" s="18" t="str">
        <f>IF(Table13[[#This Row],[Quantity]]&lt;=3,"Small",IF(Table13[[#This Row],[Quantity]]&lt;=6,"Medium","Bulk"))</f>
        <v>Medium</v>
      </c>
      <c r="T358" s="18" t="str">
        <f t="shared" si="40"/>
        <v>Normal</v>
      </c>
      <c r="U358" s="18" t="str">
        <f t="shared" si="41"/>
        <v>Medium Value</v>
      </c>
    </row>
    <row r="359" spans="1:21" x14ac:dyDescent="0.3">
      <c r="A359" t="s">
        <v>367</v>
      </c>
      <c r="B359" s="1">
        <v>44992</v>
      </c>
      <c r="C359" t="s">
        <v>1212</v>
      </c>
      <c r="D359" t="s">
        <v>1214</v>
      </c>
      <c r="E359" t="s">
        <v>1220</v>
      </c>
      <c r="F359" t="s">
        <v>1237</v>
      </c>
      <c r="G359" s="6">
        <v>9</v>
      </c>
      <c r="H359">
        <v>2305</v>
      </c>
      <c r="I359">
        <v>20745</v>
      </c>
      <c r="J359" s="2">
        <v>4307.16</v>
      </c>
      <c r="K359" s="16">
        <f>Table13[[#This Row],[Profit]]/Table13[[#This Row],[Sales]]</f>
        <v>0.20762400578452639</v>
      </c>
      <c r="L359" s="17" t="str">
        <f t="shared" si="35"/>
        <v>High</v>
      </c>
      <c r="M359" s="17" t="str">
        <f t="shared" si="36"/>
        <v>Mar</v>
      </c>
      <c r="N359" s="18">
        <f>YEAR(Table13[[#This Row],[Order_Date]])</f>
        <v>2023</v>
      </c>
      <c r="O359" s="18">
        <f>Table13[[#This Row],[Price]]*0.7</f>
        <v>1613.5</v>
      </c>
      <c r="P359" s="18">
        <f t="shared" si="37"/>
        <v>6223.5</v>
      </c>
      <c r="Q359" s="18">
        <f t="shared" si="38"/>
        <v>0.1</v>
      </c>
      <c r="R359" s="18">
        <f t="shared" si="39"/>
        <v>16437.84</v>
      </c>
      <c r="S359" s="18" t="str">
        <f>IF(Table13[[#This Row],[Quantity]]&lt;=3,"Small",IF(Table13[[#This Row],[Quantity]]&lt;=6,"Medium","Bulk"))</f>
        <v>Bulk</v>
      </c>
      <c r="T359" s="18" t="str">
        <f t="shared" si="40"/>
        <v>High Demand</v>
      </c>
      <c r="U359" s="18" t="str">
        <f t="shared" si="41"/>
        <v>High Value</v>
      </c>
    </row>
    <row r="360" spans="1:21" x14ac:dyDescent="0.3">
      <c r="A360" t="s">
        <v>368</v>
      </c>
      <c r="B360" s="1">
        <v>45188</v>
      </c>
      <c r="C360" t="s">
        <v>1210</v>
      </c>
      <c r="D360" t="s">
        <v>1216</v>
      </c>
      <c r="E360" t="s">
        <v>1221</v>
      </c>
      <c r="F360" t="s">
        <v>1226</v>
      </c>
      <c r="G360" s="6">
        <v>1</v>
      </c>
      <c r="H360">
        <v>1777</v>
      </c>
      <c r="I360">
        <v>1777</v>
      </c>
      <c r="J360" s="2">
        <v>292.54000000000002</v>
      </c>
      <c r="K360" s="16">
        <f>Table13[[#This Row],[Profit]]/Table13[[#This Row],[Sales]]</f>
        <v>0.16462577377602702</v>
      </c>
      <c r="L360" s="17" t="str">
        <f t="shared" si="35"/>
        <v>Low</v>
      </c>
      <c r="M360" s="17" t="str">
        <f t="shared" si="36"/>
        <v>Sep</v>
      </c>
      <c r="N360" s="18">
        <f>YEAR(Table13[[#This Row],[Order_Date]])</f>
        <v>2023</v>
      </c>
      <c r="O360" s="18">
        <f>Table13[[#This Row],[Price]]*0.7</f>
        <v>1243.8999999999999</v>
      </c>
      <c r="P360" s="18">
        <f t="shared" si="37"/>
        <v>533.10000000000014</v>
      </c>
      <c r="Q360" s="18">
        <f t="shared" si="38"/>
        <v>0.05</v>
      </c>
      <c r="R360" s="18">
        <f t="shared" si="39"/>
        <v>1484.46</v>
      </c>
      <c r="S360" s="18" t="str">
        <f>IF(Table13[[#This Row],[Quantity]]&lt;=3,"Small",IF(Table13[[#This Row],[Quantity]]&lt;=6,"Medium","Bulk"))</f>
        <v>Small</v>
      </c>
      <c r="T360" s="18" t="str">
        <f t="shared" si="40"/>
        <v>Normal</v>
      </c>
      <c r="U360" s="18" t="str">
        <f t="shared" si="41"/>
        <v>low Value</v>
      </c>
    </row>
    <row r="361" spans="1:21" x14ac:dyDescent="0.3">
      <c r="A361" t="s">
        <v>369</v>
      </c>
      <c r="B361" s="1">
        <v>45194</v>
      </c>
      <c r="C361" t="s">
        <v>1211</v>
      </c>
      <c r="D361" t="s">
        <v>1216</v>
      </c>
      <c r="E361" t="s">
        <v>1219</v>
      </c>
      <c r="F361" t="s">
        <v>1232</v>
      </c>
      <c r="G361" s="6">
        <v>2</v>
      </c>
      <c r="H361">
        <v>4602</v>
      </c>
      <c r="I361">
        <v>9204</v>
      </c>
      <c r="J361" s="2">
        <v>1042.3900000000001</v>
      </c>
      <c r="K361" s="16">
        <f>Table13[[#This Row],[Profit]]/Table13[[#This Row],[Sales]]</f>
        <v>0.11325401999130814</v>
      </c>
      <c r="L361" s="17" t="str">
        <f t="shared" si="35"/>
        <v>Low</v>
      </c>
      <c r="M361" s="17" t="str">
        <f t="shared" si="36"/>
        <v>Sep</v>
      </c>
      <c r="N361" s="18">
        <f>YEAR(Table13[[#This Row],[Order_Date]])</f>
        <v>2023</v>
      </c>
      <c r="O361" s="18">
        <f>Table13[[#This Row],[Price]]*0.7</f>
        <v>3221.3999999999996</v>
      </c>
      <c r="P361" s="18">
        <f t="shared" si="37"/>
        <v>2761.2000000000007</v>
      </c>
      <c r="Q361" s="18">
        <f t="shared" si="38"/>
        <v>0.05</v>
      </c>
      <c r="R361" s="18">
        <f t="shared" si="39"/>
        <v>8161.61</v>
      </c>
      <c r="S361" s="18" t="str">
        <f>IF(Table13[[#This Row],[Quantity]]&lt;=3,"Small",IF(Table13[[#This Row],[Quantity]]&lt;=6,"Medium","Bulk"))</f>
        <v>Small</v>
      </c>
      <c r="T361" s="18" t="str">
        <f t="shared" si="40"/>
        <v>Normal</v>
      </c>
      <c r="U361" s="18" t="str">
        <f t="shared" si="41"/>
        <v>low Value</v>
      </c>
    </row>
    <row r="362" spans="1:21" x14ac:dyDescent="0.3">
      <c r="A362" t="s">
        <v>370</v>
      </c>
      <c r="B362" s="1">
        <v>44981</v>
      </c>
      <c r="C362" t="s">
        <v>1212</v>
      </c>
      <c r="D362" t="s">
        <v>1239</v>
      </c>
      <c r="E362" t="s">
        <v>1221</v>
      </c>
      <c r="F362" t="s">
        <v>1231</v>
      </c>
      <c r="G362" s="6">
        <v>4</v>
      </c>
      <c r="H362">
        <v>684</v>
      </c>
      <c r="I362">
        <v>2736</v>
      </c>
      <c r="J362" s="2">
        <v>514.04</v>
      </c>
      <c r="K362" s="16">
        <f>Table13[[#This Row],[Profit]]/Table13[[#This Row],[Sales]]</f>
        <v>0.18788011695906431</v>
      </c>
      <c r="L362" s="17" t="str">
        <f t="shared" si="35"/>
        <v>Low</v>
      </c>
      <c r="M362" s="17" t="str">
        <f t="shared" si="36"/>
        <v>Feb</v>
      </c>
      <c r="N362" s="18">
        <f>YEAR(Table13[[#This Row],[Order_Date]])</f>
        <v>2023</v>
      </c>
      <c r="O362" s="18">
        <f>Table13[[#This Row],[Price]]*0.7</f>
        <v>478.79999999999995</v>
      </c>
      <c r="P362" s="18">
        <f t="shared" si="37"/>
        <v>820.80000000000018</v>
      </c>
      <c r="Q362" s="18">
        <f t="shared" si="38"/>
        <v>0.05</v>
      </c>
      <c r="R362" s="18">
        <f t="shared" si="39"/>
        <v>2221.96</v>
      </c>
      <c r="S362" s="18" t="str">
        <f>IF(Table13[[#This Row],[Quantity]]&lt;=3,"Small",IF(Table13[[#This Row],[Quantity]]&lt;=6,"Medium","Bulk"))</f>
        <v>Medium</v>
      </c>
      <c r="T362" s="18" t="str">
        <f t="shared" si="40"/>
        <v>High Demand</v>
      </c>
      <c r="U362" s="18" t="str">
        <f t="shared" si="41"/>
        <v>low Value</v>
      </c>
    </row>
    <row r="363" spans="1:21" x14ac:dyDescent="0.3">
      <c r="A363" t="s">
        <v>371</v>
      </c>
      <c r="B363" s="1">
        <v>45189</v>
      </c>
      <c r="C363" t="s">
        <v>1213</v>
      </c>
      <c r="D363" t="s">
        <v>1214</v>
      </c>
      <c r="E363" t="s">
        <v>1220</v>
      </c>
      <c r="F363" t="s">
        <v>1224</v>
      </c>
      <c r="G363" s="6">
        <v>4</v>
      </c>
      <c r="H363">
        <v>3725</v>
      </c>
      <c r="I363">
        <v>14900</v>
      </c>
      <c r="J363" s="2">
        <v>3201.33</v>
      </c>
      <c r="K363" s="16">
        <f>Table13[[#This Row],[Profit]]/Table13[[#This Row],[Sales]]</f>
        <v>0.21485436241610736</v>
      </c>
      <c r="L363" s="17" t="str">
        <f t="shared" si="35"/>
        <v>Medium</v>
      </c>
      <c r="M363" s="17" t="str">
        <f t="shared" si="36"/>
        <v>Sep</v>
      </c>
      <c r="N363" s="18">
        <f>YEAR(Table13[[#This Row],[Order_Date]])</f>
        <v>2023</v>
      </c>
      <c r="O363" s="18">
        <f>Table13[[#This Row],[Price]]*0.7</f>
        <v>2607.5</v>
      </c>
      <c r="P363" s="18">
        <f t="shared" si="37"/>
        <v>4470</v>
      </c>
      <c r="Q363" s="18">
        <f t="shared" si="38"/>
        <v>0.05</v>
      </c>
      <c r="R363" s="18">
        <f t="shared" si="39"/>
        <v>11698.67</v>
      </c>
      <c r="S363" s="18" t="str">
        <f>IF(Table13[[#This Row],[Quantity]]&lt;=3,"Small",IF(Table13[[#This Row],[Quantity]]&lt;=6,"Medium","Bulk"))</f>
        <v>Medium</v>
      </c>
      <c r="T363" s="18" t="str">
        <f t="shared" si="40"/>
        <v>Normal</v>
      </c>
      <c r="U363" s="18" t="str">
        <f t="shared" si="41"/>
        <v>Medium Value</v>
      </c>
    </row>
    <row r="364" spans="1:21" x14ac:dyDescent="0.3">
      <c r="A364" t="s">
        <v>372</v>
      </c>
      <c r="B364" s="1">
        <v>45146</v>
      </c>
      <c r="C364" t="s">
        <v>1212</v>
      </c>
      <c r="D364" t="s">
        <v>1239</v>
      </c>
      <c r="E364" t="s">
        <v>1222</v>
      </c>
      <c r="F364" t="s">
        <v>1227</v>
      </c>
      <c r="G364" s="6">
        <v>2</v>
      </c>
      <c r="H364">
        <v>2098</v>
      </c>
      <c r="I364">
        <v>4196</v>
      </c>
      <c r="J364" s="2">
        <v>1037.25</v>
      </c>
      <c r="K364" s="16">
        <f>Table13[[#This Row],[Profit]]/Table13[[#This Row],[Sales]]</f>
        <v>0.24719971401334603</v>
      </c>
      <c r="L364" s="17" t="str">
        <f t="shared" si="35"/>
        <v>Low</v>
      </c>
      <c r="M364" s="17" t="str">
        <f t="shared" si="36"/>
        <v>Aug</v>
      </c>
      <c r="N364" s="18">
        <f>YEAR(Table13[[#This Row],[Order_Date]])</f>
        <v>2023</v>
      </c>
      <c r="O364" s="18">
        <f>Table13[[#This Row],[Price]]*0.7</f>
        <v>1468.6</v>
      </c>
      <c r="P364" s="18">
        <f t="shared" si="37"/>
        <v>1258.8000000000002</v>
      </c>
      <c r="Q364" s="18">
        <f t="shared" si="38"/>
        <v>0.05</v>
      </c>
      <c r="R364" s="18">
        <f t="shared" si="39"/>
        <v>3158.75</v>
      </c>
      <c r="S364" s="18" t="str">
        <f>IF(Table13[[#This Row],[Quantity]]&lt;=3,"Small",IF(Table13[[#This Row],[Quantity]]&lt;=6,"Medium","Bulk"))</f>
        <v>Small</v>
      </c>
      <c r="T364" s="18" t="str">
        <f t="shared" si="40"/>
        <v>High Demand</v>
      </c>
      <c r="U364" s="18" t="str">
        <f t="shared" si="41"/>
        <v>low Value</v>
      </c>
    </row>
    <row r="365" spans="1:21" x14ac:dyDescent="0.3">
      <c r="A365" t="s">
        <v>373</v>
      </c>
      <c r="B365" s="1">
        <v>45172</v>
      </c>
      <c r="C365" t="s">
        <v>1210</v>
      </c>
      <c r="D365" t="s">
        <v>1218</v>
      </c>
      <c r="E365" t="s">
        <v>1221</v>
      </c>
      <c r="F365" t="s">
        <v>1226</v>
      </c>
      <c r="G365" s="6">
        <v>5</v>
      </c>
      <c r="H365">
        <v>2507</v>
      </c>
      <c r="I365">
        <v>12535</v>
      </c>
      <c r="J365" s="2">
        <v>2704.56</v>
      </c>
      <c r="K365" s="16">
        <f>Table13[[#This Row],[Profit]]/Table13[[#This Row],[Sales]]</f>
        <v>0.21576067012365377</v>
      </c>
      <c r="L365" s="17" t="str">
        <f t="shared" si="35"/>
        <v>Medium</v>
      </c>
      <c r="M365" s="17" t="str">
        <f t="shared" si="36"/>
        <v>Sep</v>
      </c>
      <c r="N365" s="18">
        <f>YEAR(Table13[[#This Row],[Order_Date]])</f>
        <v>2023</v>
      </c>
      <c r="O365" s="18">
        <f>Table13[[#This Row],[Price]]*0.7</f>
        <v>1754.8999999999999</v>
      </c>
      <c r="P365" s="18">
        <f t="shared" si="37"/>
        <v>3760.5</v>
      </c>
      <c r="Q365" s="18">
        <f t="shared" si="38"/>
        <v>0.05</v>
      </c>
      <c r="R365" s="18">
        <f t="shared" si="39"/>
        <v>9830.44</v>
      </c>
      <c r="S365" s="18" t="str">
        <f>IF(Table13[[#This Row],[Quantity]]&lt;=3,"Small",IF(Table13[[#This Row],[Quantity]]&lt;=6,"Medium","Bulk"))</f>
        <v>Medium</v>
      </c>
      <c r="T365" s="18" t="str">
        <f t="shared" si="40"/>
        <v>Normal</v>
      </c>
      <c r="U365" s="18" t="str">
        <f t="shared" si="41"/>
        <v>Medium Value</v>
      </c>
    </row>
    <row r="366" spans="1:21" x14ac:dyDescent="0.3">
      <c r="A366" t="s">
        <v>374</v>
      </c>
      <c r="B366" s="1">
        <v>44947</v>
      </c>
      <c r="C366" t="s">
        <v>1211</v>
      </c>
      <c r="D366" t="s">
        <v>1215</v>
      </c>
      <c r="E366" t="s">
        <v>1221</v>
      </c>
      <c r="F366" t="s">
        <v>1235</v>
      </c>
      <c r="G366" s="6">
        <v>7</v>
      </c>
      <c r="H366">
        <v>774</v>
      </c>
      <c r="I366">
        <v>5418</v>
      </c>
      <c r="J366" s="2">
        <v>880.48</v>
      </c>
      <c r="K366" s="16">
        <f>Table13[[#This Row],[Profit]]/Table13[[#This Row],[Sales]]</f>
        <v>0.16251015134736066</v>
      </c>
      <c r="L366" s="17" t="str">
        <f t="shared" si="35"/>
        <v>Low</v>
      </c>
      <c r="M366" s="17" t="str">
        <f t="shared" si="36"/>
        <v>Jan</v>
      </c>
      <c r="N366" s="18">
        <f>YEAR(Table13[[#This Row],[Order_Date]])</f>
        <v>2023</v>
      </c>
      <c r="O366" s="18">
        <f>Table13[[#This Row],[Price]]*0.7</f>
        <v>541.79999999999995</v>
      </c>
      <c r="P366" s="18">
        <f t="shared" si="37"/>
        <v>1625.4000000000005</v>
      </c>
      <c r="Q366" s="18">
        <f t="shared" si="38"/>
        <v>0.1</v>
      </c>
      <c r="R366" s="18">
        <f t="shared" si="39"/>
        <v>4537.5199999999995</v>
      </c>
      <c r="S366" s="18" t="str">
        <f>IF(Table13[[#This Row],[Quantity]]&lt;=3,"Small",IF(Table13[[#This Row],[Quantity]]&lt;=6,"Medium","Bulk"))</f>
        <v>Bulk</v>
      </c>
      <c r="T366" s="18" t="str">
        <f t="shared" si="40"/>
        <v>Normal</v>
      </c>
      <c r="U366" s="18" t="str">
        <f t="shared" si="41"/>
        <v>low Value</v>
      </c>
    </row>
    <row r="367" spans="1:21" x14ac:dyDescent="0.3">
      <c r="A367" t="s">
        <v>375</v>
      </c>
      <c r="B367" s="1">
        <v>45173</v>
      </c>
      <c r="C367" t="s">
        <v>1213</v>
      </c>
      <c r="D367" t="s">
        <v>1214</v>
      </c>
      <c r="E367" t="s">
        <v>1220</v>
      </c>
      <c r="F367" t="s">
        <v>1224</v>
      </c>
      <c r="G367" s="6">
        <v>6</v>
      </c>
      <c r="H367">
        <v>1729</v>
      </c>
      <c r="I367">
        <v>10374</v>
      </c>
      <c r="J367" s="2">
        <v>1583.83</v>
      </c>
      <c r="K367" s="16">
        <f>Table13[[#This Row],[Profit]]/Table13[[#This Row],[Sales]]</f>
        <v>0.1526730287256603</v>
      </c>
      <c r="L367" s="17" t="str">
        <f t="shared" si="35"/>
        <v>Medium</v>
      </c>
      <c r="M367" s="17" t="str">
        <f t="shared" si="36"/>
        <v>Sep</v>
      </c>
      <c r="N367" s="18">
        <f>YEAR(Table13[[#This Row],[Order_Date]])</f>
        <v>2023</v>
      </c>
      <c r="O367" s="18">
        <f>Table13[[#This Row],[Price]]*0.7</f>
        <v>1210.3</v>
      </c>
      <c r="P367" s="18">
        <f t="shared" si="37"/>
        <v>3112.2000000000007</v>
      </c>
      <c r="Q367" s="18">
        <f t="shared" si="38"/>
        <v>0.1</v>
      </c>
      <c r="R367" s="18">
        <f t="shared" si="39"/>
        <v>8790.17</v>
      </c>
      <c r="S367" s="18" t="str">
        <f>IF(Table13[[#This Row],[Quantity]]&lt;=3,"Small",IF(Table13[[#This Row],[Quantity]]&lt;=6,"Medium","Bulk"))</f>
        <v>Medium</v>
      </c>
      <c r="T367" s="18" t="str">
        <f t="shared" si="40"/>
        <v>Normal</v>
      </c>
      <c r="U367" s="18" t="str">
        <f t="shared" si="41"/>
        <v>Medium Value</v>
      </c>
    </row>
    <row r="368" spans="1:21" x14ac:dyDescent="0.3">
      <c r="A368" t="s">
        <v>376</v>
      </c>
      <c r="B368" s="1">
        <v>45080</v>
      </c>
      <c r="C368" t="s">
        <v>1211</v>
      </c>
      <c r="D368" t="s">
        <v>1215</v>
      </c>
      <c r="E368" t="s">
        <v>1222</v>
      </c>
      <c r="F368" t="s">
        <v>1234</v>
      </c>
      <c r="G368" s="6">
        <v>3</v>
      </c>
      <c r="H368">
        <v>2600</v>
      </c>
      <c r="I368">
        <v>7800</v>
      </c>
      <c r="J368" s="2">
        <v>662.94</v>
      </c>
      <c r="K368" s="16">
        <f>Table13[[#This Row],[Profit]]/Table13[[#This Row],[Sales]]</f>
        <v>8.49923076923077E-2</v>
      </c>
      <c r="L368" s="17" t="str">
        <f t="shared" si="35"/>
        <v>Low</v>
      </c>
      <c r="M368" s="17" t="str">
        <f t="shared" si="36"/>
        <v>Jun</v>
      </c>
      <c r="N368" s="18">
        <f>YEAR(Table13[[#This Row],[Order_Date]])</f>
        <v>2023</v>
      </c>
      <c r="O368" s="18">
        <f>Table13[[#This Row],[Price]]*0.7</f>
        <v>1819.9999999999998</v>
      </c>
      <c r="P368" s="18">
        <f t="shared" si="37"/>
        <v>2340.0000000000009</v>
      </c>
      <c r="Q368" s="18">
        <f t="shared" si="38"/>
        <v>0.05</v>
      </c>
      <c r="R368" s="18">
        <f t="shared" si="39"/>
        <v>7137.0599999999995</v>
      </c>
      <c r="S368" s="18" t="str">
        <f>IF(Table13[[#This Row],[Quantity]]&lt;=3,"Small",IF(Table13[[#This Row],[Quantity]]&lt;=6,"Medium","Bulk"))</f>
        <v>Small</v>
      </c>
      <c r="T368" s="18" t="str">
        <f t="shared" si="40"/>
        <v>Normal</v>
      </c>
      <c r="U368" s="18" t="str">
        <f t="shared" si="41"/>
        <v>low Value</v>
      </c>
    </row>
    <row r="369" spans="1:21" x14ac:dyDescent="0.3">
      <c r="A369" t="s">
        <v>377</v>
      </c>
      <c r="B369" s="1">
        <v>45060</v>
      </c>
      <c r="C369" t="s">
        <v>1210</v>
      </c>
      <c r="D369" t="s">
        <v>1216</v>
      </c>
      <c r="E369" t="s">
        <v>1219</v>
      </c>
      <c r="F369" t="s">
        <v>1232</v>
      </c>
      <c r="G369" s="6">
        <v>9</v>
      </c>
      <c r="H369">
        <v>1595</v>
      </c>
      <c r="I369">
        <v>14355</v>
      </c>
      <c r="J369" s="2">
        <v>3389.15</v>
      </c>
      <c r="K369" s="16">
        <f>Table13[[#This Row],[Profit]]/Table13[[#This Row],[Sales]]</f>
        <v>0.2360954371299199</v>
      </c>
      <c r="L369" s="17" t="str">
        <f t="shared" si="35"/>
        <v>Medium</v>
      </c>
      <c r="M369" s="17" t="str">
        <f t="shared" si="36"/>
        <v>May</v>
      </c>
      <c r="N369" s="18">
        <f>YEAR(Table13[[#This Row],[Order_Date]])</f>
        <v>2023</v>
      </c>
      <c r="O369" s="18">
        <f>Table13[[#This Row],[Price]]*0.7</f>
        <v>1116.5</v>
      </c>
      <c r="P369" s="18">
        <f t="shared" si="37"/>
        <v>4306.5</v>
      </c>
      <c r="Q369" s="18">
        <f t="shared" si="38"/>
        <v>0.1</v>
      </c>
      <c r="R369" s="18">
        <f t="shared" si="39"/>
        <v>10965.85</v>
      </c>
      <c r="S369" s="18" t="str">
        <f>IF(Table13[[#This Row],[Quantity]]&lt;=3,"Small",IF(Table13[[#This Row],[Quantity]]&lt;=6,"Medium","Bulk"))</f>
        <v>Bulk</v>
      </c>
      <c r="T369" s="18" t="str">
        <f t="shared" si="40"/>
        <v>Normal</v>
      </c>
      <c r="U369" s="18" t="str">
        <f t="shared" si="41"/>
        <v>Medium Value</v>
      </c>
    </row>
    <row r="370" spans="1:21" x14ac:dyDescent="0.3">
      <c r="A370" t="s">
        <v>378</v>
      </c>
      <c r="B370" s="1">
        <v>45139</v>
      </c>
      <c r="C370" t="s">
        <v>1213</v>
      </c>
      <c r="D370" t="s">
        <v>1217</v>
      </c>
      <c r="E370" t="s">
        <v>1221</v>
      </c>
      <c r="F370" t="s">
        <v>1239</v>
      </c>
      <c r="G370" s="6">
        <v>2</v>
      </c>
      <c r="H370">
        <v>3190</v>
      </c>
      <c r="I370">
        <v>6380</v>
      </c>
      <c r="J370" s="2">
        <v>1217.2</v>
      </c>
      <c r="K370" s="16">
        <f>Table13[[#This Row],[Profit]]/Table13[[#This Row],[Sales]]</f>
        <v>0.19078369905956113</v>
      </c>
      <c r="L370" s="17" t="str">
        <f t="shared" si="35"/>
        <v>Low</v>
      </c>
      <c r="M370" s="17" t="str">
        <f t="shared" si="36"/>
        <v>Aug</v>
      </c>
      <c r="N370" s="18">
        <f>YEAR(Table13[[#This Row],[Order_Date]])</f>
        <v>2023</v>
      </c>
      <c r="O370" s="18">
        <f>Table13[[#This Row],[Price]]*0.7</f>
        <v>2233</v>
      </c>
      <c r="P370" s="18">
        <f t="shared" si="37"/>
        <v>1914</v>
      </c>
      <c r="Q370" s="18">
        <f t="shared" si="38"/>
        <v>0.05</v>
      </c>
      <c r="R370" s="18">
        <f t="shared" si="39"/>
        <v>5162.8</v>
      </c>
      <c r="S370" s="18" t="str">
        <f>IF(Table13[[#This Row],[Quantity]]&lt;=3,"Small",IF(Table13[[#This Row],[Quantity]]&lt;=6,"Medium","Bulk"))</f>
        <v>Small</v>
      </c>
      <c r="T370" s="18" t="str">
        <f t="shared" si="40"/>
        <v>Normal</v>
      </c>
      <c r="U370" s="18" t="str">
        <f t="shared" si="41"/>
        <v>low Value</v>
      </c>
    </row>
    <row r="371" spans="1:21" x14ac:dyDescent="0.3">
      <c r="A371" t="s">
        <v>379</v>
      </c>
      <c r="B371" s="1">
        <v>45089</v>
      </c>
      <c r="C371" t="s">
        <v>1213</v>
      </c>
      <c r="D371" t="s">
        <v>1217</v>
      </c>
      <c r="E371" t="s">
        <v>1220</v>
      </c>
      <c r="F371" t="s">
        <v>1237</v>
      </c>
      <c r="G371" s="6">
        <v>5</v>
      </c>
      <c r="H371">
        <v>4031</v>
      </c>
      <c r="I371">
        <v>20155</v>
      </c>
      <c r="J371" s="2">
        <v>1911.11</v>
      </c>
      <c r="K371" s="16">
        <f>Table13[[#This Row],[Profit]]/Table13[[#This Row],[Sales]]</f>
        <v>9.4820640039692386E-2</v>
      </c>
      <c r="L371" s="17" t="str">
        <f t="shared" si="35"/>
        <v>High</v>
      </c>
      <c r="M371" s="17" t="str">
        <f t="shared" si="36"/>
        <v>Jun</v>
      </c>
      <c r="N371" s="18">
        <f>YEAR(Table13[[#This Row],[Order_Date]])</f>
        <v>2023</v>
      </c>
      <c r="O371" s="18">
        <f>Table13[[#This Row],[Price]]*0.7</f>
        <v>2821.7</v>
      </c>
      <c r="P371" s="18">
        <f t="shared" si="37"/>
        <v>6046.5</v>
      </c>
      <c r="Q371" s="18">
        <f t="shared" si="38"/>
        <v>0.05</v>
      </c>
      <c r="R371" s="18">
        <f t="shared" si="39"/>
        <v>18243.89</v>
      </c>
      <c r="S371" s="18" t="str">
        <f>IF(Table13[[#This Row],[Quantity]]&lt;=3,"Small",IF(Table13[[#This Row],[Quantity]]&lt;=6,"Medium","Bulk"))</f>
        <v>Medium</v>
      </c>
      <c r="T371" s="18" t="str">
        <f t="shared" si="40"/>
        <v>Normal</v>
      </c>
      <c r="U371" s="18" t="str">
        <f t="shared" si="41"/>
        <v>High Value</v>
      </c>
    </row>
    <row r="372" spans="1:21" x14ac:dyDescent="0.3">
      <c r="A372" t="s">
        <v>380</v>
      </c>
      <c r="B372" s="1">
        <v>45102</v>
      </c>
      <c r="C372" t="s">
        <v>1213</v>
      </c>
      <c r="D372" t="s">
        <v>1218</v>
      </c>
      <c r="E372" t="s">
        <v>1222</v>
      </c>
      <c r="F372" t="s">
        <v>1227</v>
      </c>
      <c r="G372" s="6">
        <v>2</v>
      </c>
      <c r="H372">
        <v>1298</v>
      </c>
      <c r="I372">
        <v>2596</v>
      </c>
      <c r="J372" s="2">
        <v>495.04</v>
      </c>
      <c r="K372" s="16">
        <f>Table13[[#This Row],[Profit]]/Table13[[#This Row],[Sales]]</f>
        <v>0.19069337442218798</v>
      </c>
      <c r="L372" s="17" t="str">
        <f t="shared" si="35"/>
        <v>Low</v>
      </c>
      <c r="M372" s="17" t="str">
        <f t="shared" si="36"/>
        <v>Jun</v>
      </c>
      <c r="N372" s="18">
        <f>YEAR(Table13[[#This Row],[Order_Date]])</f>
        <v>2023</v>
      </c>
      <c r="O372" s="18">
        <f>Table13[[#This Row],[Price]]*0.7</f>
        <v>908.59999999999991</v>
      </c>
      <c r="P372" s="18">
        <f t="shared" si="37"/>
        <v>778.80000000000018</v>
      </c>
      <c r="Q372" s="18">
        <f t="shared" si="38"/>
        <v>0.05</v>
      </c>
      <c r="R372" s="18">
        <f t="shared" si="39"/>
        <v>2100.96</v>
      </c>
      <c r="S372" s="18" t="str">
        <f>IF(Table13[[#This Row],[Quantity]]&lt;=3,"Small",IF(Table13[[#This Row],[Quantity]]&lt;=6,"Medium","Bulk"))</f>
        <v>Small</v>
      </c>
      <c r="T372" s="18" t="str">
        <f t="shared" si="40"/>
        <v>Normal</v>
      </c>
      <c r="U372" s="18" t="str">
        <f t="shared" si="41"/>
        <v>low Value</v>
      </c>
    </row>
    <row r="373" spans="1:21" x14ac:dyDescent="0.3">
      <c r="A373" t="s">
        <v>381</v>
      </c>
      <c r="B373" s="1">
        <v>45198</v>
      </c>
      <c r="C373" t="s">
        <v>1211</v>
      </c>
      <c r="D373" t="s">
        <v>1239</v>
      </c>
      <c r="E373" t="s">
        <v>1222</v>
      </c>
      <c r="F373" t="s">
        <v>1236</v>
      </c>
      <c r="G373" s="6">
        <v>3</v>
      </c>
      <c r="H373">
        <v>4584</v>
      </c>
      <c r="I373">
        <v>13752</v>
      </c>
      <c r="J373" s="2">
        <v>1395.35</v>
      </c>
      <c r="K373" s="16">
        <f>Table13[[#This Row],[Profit]]/Table13[[#This Row],[Sales]]</f>
        <v>0.10146524141942989</v>
      </c>
      <c r="L373" s="17" t="str">
        <f t="shared" si="35"/>
        <v>Medium</v>
      </c>
      <c r="M373" s="17" t="str">
        <f t="shared" si="36"/>
        <v>Sep</v>
      </c>
      <c r="N373" s="18">
        <f>YEAR(Table13[[#This Row],[Order_Date]])</f>
        <v>2023</v>
      </c>
      <c r="O373" s="18">
        <f>Table13[[#This Row],[Price]]*0.7</f>
        <v>3208.7999999999997</v>
      </c>
      <c r="P373" s="18">
        <f t="shared" si="37"/>
        <v>4125.6000000000004</v>
      </c>
      <c r="Q373" s="18">
        <f t="shared" si="38"/>
        <v>0.05</v>
      </c>
      <c r="R373" s="18">
        <f t="shared" si="39"/>
        <v>12356.65</v>
      </c>
      <c r="S373" s="18" t="str">
        <f>IF(Table13[[#This Row],[Quantity]]&lt;=3,"Small",IF(Table13[[#This Row],[Quantity]]&lt;=6,"Medium","Bulk"))</f>
        <v>Small</v>
      </c>
      <c r="T373" s="18" t="str">
        <f t="shared" si="40"/>
        <v>Normal</v>
      </c>
      <c r="U373" s="18" t="str">
        <f t="shared" si="41"/>
        <v>Medium Value</v>
      </c>
    </row>
    <row r="374" spans="1:21" x14ac:dyDescent="0.3">
      <c r="A374" t="s">
        <v>382</v>
      </c>
      <c r="B374" s="1">
        <v>45127</v>
      </c>
      <c r="C374" t="s">
        <v>1213</v>
      </c>
      <c r="D374" t="s">
        <v>1216</v>
      </c>
      <c r="E374" t="s">
        <v>1219</v>
      </c>
      <c r="F374" t="s">
        <v>1223</v>
      </c>
      <c r="G374" s="6">
        <v>8</v>
      </c>
      <c r="H374">
        <v>355</v>
      </c>
      <c r="I374">
        <v>2840</v>
      </c>
      <c r="J374" s="2">
        <v>556.30999999999995</v>
      </c>
      <c r="K374" s="16">
        <f>Table13[[#This Row],[Profit]]/Table13[[#This Row],[Sales]]</f>
        <v>0.19588380281690138</v>
      </c>
      <c r="L374" s="17" t="str">
        <f t="shared" si="35"/>
        <v>Low</v>
      </c>
      <c r="M374" s="17" t="str">
        <f t="shared" si="36"/>
        <v>Jul</v>
      </c>
      <c r="N374" s="18">
        <f>YEAR(Table13[[#This Row],[Order_Date]])</f>
        <v>2023</v>
      </c>
      <c r="O374" s="18">
        <f>Table13[[#This Row],[Price]]*0.7</f>
        <v>248.49999999999997</v>
      </c>
      <c r="P374" s="18">
        <f t="shared" si="37"/>
        <v>852.00000000000023</v>
      </c>
      <c r="Q374" s="18">
        <f t="shared" si="38"/>
        <v>0.1</v>
      </c>
      <c r="R374" s="18">
        <f t="shared" si="39"/>
        <v>2283.69</v>
      </c>
      <c r="S374" s="18" t="str">
        <f>IF(Table13[[#This Row],[Quantity]]&lt;=3,"Small",IF(Table13[[#This Row],[Quantity]]&lt;=6,"Medium","Bulk"))</f>
        <v>Bulk</v>
      </c>
      <c r="T374" s="18" t="str">
        <f t="shared" si="40"/>
        <v>Normal</v>
      </c>
      <c r="U374" s="18" t="str">
        <f t="shared" si="41"/>
        <v>low Value</v>
      </c>
    </row>
    <row r="375" spans="1:21" x14ac:dyDescent="0.3">
      <c r="A375" t="s">
        <v>383</v>
      </c>
      <c r="B375" s="1">
        <v>44993</v>
      </c>
      <c r="C375" t="s">
        <v>1213</v>
      </c>
      <c r="D375" t="s">
        <v>1217</v>
      </c>
      <c r="E375" t="s">
        <v>1222</v>
      </c>
      <c r="F375" t="s">
        <v>1236</v>
      </c>
      <c r="G375" s="6">
        <v>7</v>
      </c>
      <c r="H375">
        <v>1054</v>
      </c>
      <c r="I375">
        <v>7378</v>
      </c>
      <c r="J375" s="2">
        <v>686.92</v>
      </c>
      <c r="K375" s="16">
        <f>Table13[[#This Row],[Profit]]/Table13[[#This Row],[Sales]]</f>
        <v>9.3103822174030904E-2</v>
      </c>
      <c r="L375" s="17" t="str">
        <f t="shared" si="35"/>
        <v>Low</v>
      </c>
      <c r="M375" s="17" t="str">
        <f t="shared" si="36"/>
        <v>Mar</v>
      </c>
      <c r="N375" s="18">
        <f>YEAR(Table13[[#This Row],[Order_Date]])</f>
        <v>2023</v>
      </c>
      <c r="O375" s="18">
        <f>Table13[[#This Row],[Price]]*0.7</f>
        <v>737.8</v>
      </c>
      <c r="P375" s="18">
        <f t="shared" si="37"/>
        <v>2213.4000000000005</v>
      </c>
      <c r="Q375" s="18">
        <f t="shared" si="38"/>
        <v>0.1</v>
      </c>
      <c r="R375" s="18">
        <f t="shared" si="39"/>
        <v>6691.08</v>
      </c>
      <c r="S375" s="18" t="str">
        <f>IF(Table13[[#This Row],[Quantity]]&lt;=3,"Small",IF(Table13[[#This Row],[Quantity]]&lt;=6,"Medium","Bulk"))</f>
        <v>Bulk</v>
      </c>
      <c r="T375" s="18" t="str">
        <f t="shared" si="40"/>
        <v>Normal</v>
      </c>
      <c r="U375" s="18" t="str">
        <f t="shared" si="41"/>
        <v>low Value</v>
      </c>
    </row>
    <row r="376" spans="1:21" x14ac:dyDescent="0.3">
      <c r="A376" t="s">
        <v>384</v>
      </c>
      <c r="B376" s="1">
        <v>45043</v>
      </c>
      <c r="C376" t="s">
        <v>1212</v>
      </c>
      <c r="D376" t="s">
        <v>1216</v>
      </c>
      <c r="E376" t="s">
        <v>1222</v>
      </c>
      <c r="F376" t="s">
        <v>1227</v>
      </c>
      <c r="G376" s="6">
        <v>6</v>
      </c>
      <c r="H376">
        <v>4828</v>
      </c>
      <c r="I376">
        <v>28968</v>
      </c>
      <c r="J376" s="2">
        <v>2480.88</v>
      </c>
      <c r="K376" s="16">
        <f>Table13[[#This Row],[Profit]]/Table13[[#This Row],[Sales]]</f>
        <v>8.5642087821043919E-2</v>
      </c>
      <c r="L376" s="17" t="str">
        <f t="shared" si="35"/>
        <v>High</v>
      </c>
      <c r="M376" s="17" t="str">
        <f t="shared" si="36"/>
        <v>Apr</v>
      </c>
      <c r="N376" s="18">
        <f>YEAR(Table13[[#This Row],[Order_Date]])</f>
        <v>2023</v>
      </c>
      <c r="O376" s="18">
        <f>Table13[[#This Row],[Price]]*0.7</f>
        <v>3379.6</v>
      </c>
      <c r="P376" s="18">
        <f t="shared" si="37"/>
        <v>8690.4000000000015</v>
      </c>
      <c r="Q376" s="18">
        <f t="shared" si="38"/>
        <v>0.1</v>
      </c>
      <c r="R376" s="18">
        <f t="shared" si="39"/>
        <v>26487.120000000003</v>
      </c>
      <c r="S376" s="18" t="str">
        <f>IF(Table13[[#This Row],[Quantity]]&lt;=3,"Small",IF(Table13[[#This Row],[Quantity]]&lt;=6,"Medium","Bulk"))</f>
        <v>Medium</v>
      </c>
      <c r="T376" s="18" t="str">
        <f t="shared" si="40"/>
        <v>High Demand</v>
      </c>
      <c r="U376" s="18" t="str">
        <f t="shared" si="41"/>
        <v>High Value</v>
      </c>
    </row>
    <row r="377" spans="1:21" x14ac:dyDescent="0.3">
      <c r="A377" t="s">
        <v>385</v>
      </c>
      <c r="B377" s="1">
        <v>45178</v>
      </c>
      <c r="C377" t="s">
        <v>1212</v>
      </c>
      <c r="D377" t="s">
        <v>1217</v>
      </c>
      <c r="E377" t="s">
        <v>1220</v>
      </c>
      <c r="F377" t="s">
        <v>1224</v>
      </c>
      <c r="G377" s="6">
        <v>1</v>
      </c>
      <c r="H377">
        <v>4846</v>
      </c>
      <c r="I377">
        <v>4846</v>
      </c>
      <c r="J377" s="2">
        <v>1052.83</v>
      </c>
      <c r="K377" s="16">
        <f>Table13[[#This Row],[Profit]]/Table13[[#This Row],[Sales]]</f>
        <v>0.21725753198514236</v>
      </c>
      <c r="L377" s="17" t="str">
        <f t="shared" si="35"/>
        <v>Low</v>
      </c>
      <c r="M377" s="17" t="str">
        <f t="shared" si="36"/>
        <v>Sep</v>
      </c>
      <c r="N377" s="18">
        <f>YEAR(Table13[[#This Row],[Order_Date]])</f>
        <v>2023</v>
      </c>
      <c r="O377" s="18">
        <f>Table13[[#This Row],[Price]]*0.7</f>
        <v>3392.2</v>
      </c>
      <c r="P377" s="18">
        <f t="shared" si="37"/>
        <v>1453.8000000000002</v>
      </c>
      <c r="Q377" s="18">
        <f t="shared" si="38"/>
        <v>0.05</v>
      </c>
      <c r="R377" s="18">
        <f t="shared" si="39"/>
        <v>3793.17</v>
      </c>
      <c r="S377" s="18" t="str">
        <f>IF(Table13[[#This Row],[Quantity]]&lt;=3,"Small",IF(Table13[[#This Row],[Quantity]]&lt;=6,"Medium","Bulk"))</f>
        <v>Small</v>
      </c>
      <c r="T377" s="18" t="str">
        <f t="shared" si="40"/>
        <v>High Demand</v>
      </c>
      <c r="U377" s="18" t="str">
        <f t="shared" si="41"/>
        <v>low Value</v>
      </c>
    </row>
    <row r="378" spans="1:21" x14ac:dyDescent="0.3">
      <c r="A378" t="s">
        <v>386</v>
      </c>
      <c r="B378" s="1">
        <v>45280</v>
      </c>
      <c r="C378" t="s">
        <v>1213</v>
      </c>
      <c r="D378" t="s">
        <v>1216</v>
      </c>
      <c r="E378" t="s">
        <v>1219</v>
      </c>
      <c r="F378" t="s">
        <v>1232</v>
      </c>
      <c r="G378" s="6">
        <v>6</v>
      </c>
      <c r="H378">
        <v>2654</v>
      </c>
      <c r="I378">
        <v>15924</v>
      </c>
      <c r="J378" s="2">
        <v>1731.64</v>
      </c>
      <c r="K378" s="16">
        <f>Table13[[#This Row],[Profit]]/Table13[[#This Row],[Sales]]</f>
        <v>0.1087440341622708</v>
      </c>
      <c r="L378" s="17" t="str">
        <f t="shared" si="35"/>
        <v>Medium</v>
      </c>
      <c r="M378" s="17" t="str">
        <f t="shared" si="36"/>
        <v>Dec</v>
      </c>
      <c r="N378" s="18">
        <f>YEAR(Table13[[#This Row],[Order_Date]])</f>
        <v>2023</v>
      </c>
      <c r="O378" s="18">
        <f>Table13[[#This Row],[Price]]*0.7</f>
        <v>1857.8</v>
      </c>
      <c r="P378" s="18">
        <f t="shared" si="37"/>
        <v>4777.2000000000007</v>
      </c>
      <c r="Q378" s="18">
        <f t="shared" si="38"/>
        <v>0.1</v>
      </c>
      <c r="R378" s="18">
        <f t="shared" si="39"/>
        <v>14192.36</v>
      </c>
      <c r="S378" s="18" t="str">
        <f>IF(Table13[[#This Row],[Quantity]]&lt;=3,"Small",IF(Table13[[#This Row],[Quantity]]&lt;=6,"Medium","Bulk"))</f>
        <v>Medium</v>
      </c>
      <c r="T378" s="18" t="str">
        <f t="shared" si="40"/>
        <v>Normal</v>
      </c>
      <c r="U378" s="18" t="str">
        <f t="shared" si="41"/>
        <v>Medium Value</v>
      </c>
    </row>
    <row r="379" spans="1:21" x14ac:dyDescent="0.3">
      <c r="A379" t="s">
        <v>387</v>
      </c>
      <c r="B379" s="1">
        <v>45207</v>
      </c>
      <c r="C379" t="s">
        <v>1213</v>
      </c>
      <c r="D379" t="s">
        <v>1217</v>
      </c>
      <c r="E379" t="s">
        <v>1222</v>
      </c>
      <c r="F379" t="s">
        <v>1236</v>
      </c>
      <c r="G379" s="6">
        <v>3</v>
      </c>
      <c r="H379">
        <v>4117</v>
      </c>
      <c r="I379">
        <v>12351</v>
      </c>
      <c r="J379" s="2">
        <v>1993.97</v>
      </c>
      <c r="K379" s="16">
        <f>Table13[[#This Row],[Profit]]/Table13[[#This Row],[Sales]]</f>
        <v>0.16144198850295524</v>
      </c>
      <c r="L379" s="17" t="str">
        <f t="shared" si="35"/>
        <v>Medium</v>
      </c>
      <c r="M379" s="17" t="str">
        <f t="shared" si="36"/>
        <v>Oct</v>
      </c>
      <c r="N379" s="18">
        <f>YEAR(Table13[[#This Row],[Order_Date]])</f>
        <v>2023</v>
      </c>
      <c r="O379" s="18">
        <f>Table13[[#This Row],[Price]]*0.7</f>
        <v>2881.8999999999996</v>
      </c>
      <c r="P379" s="18">
        <f t="shared" si="37"/>
        <v>3705.3000000000011</v>
      </c>
      <c r="Q379" s="18">
        <f t="shared" si="38"/>
        <v>0.05</v>
      </c>
      <c r="R379" s="18">
        <f t="shared" si="39"/>
        <v>10357.030000000001</v>
      </c>
      <c r="S379" s="18" t="str">
        <f>IF(Table13[[#This Row],[Quantity]]&lt;=3,"Small",IF(Table13[[#This Row],[Quantity]]&lt;=6,"Medium","Bulk"))</f>
        <v>Small</v>
      </c>
      <c r="T379" s="18" t="str">
        <f t="shared" si="40"/>
        <v>Normal</v>
      </c>
      <c r="U379" s="18" t="str">
        <f t="shared" si="41"/>
        <v>Medium Value</v>
      </c>
    </row>
    <row r="380" spans="1:21" x14ac:dyDescent="0.3">
      <c r="A380" t="s">
        <v>388</v>
      </c>
      <c r="B380" s="1">
        <v>45036</v>
      </c>
      <c r="C380" t="s">
        <v>1210</v>
      </c>
      <c r="D380" t="s">
        <v>1214</v>
      </c>
      <c r="E380" t="s">
        <v>1220</v>
      </c>
      <c r="F380" t="s">
        <v>1237</v>
      </c>
      <c r="G380" s="6">
        <v>6</v>
      </c>
      <c r="H380">
        <v>2167</v>
      </c>
      <c r="I380">
        <v>13002</v>
      </c>
      <c r="J380" s="2">
        <v>2604.39</v>
      </c>
      <c r="K380" s="16">
        <f>Table13[[#This Row],[Profit]]/Table13[[#This Row],[Sales]]</f>
        <v>0.20030687586525148</v>
      </c>
      <c r="L380" s="17" t="str">
        <f t="shared" si="35"/>
        <v>Medium</v>
      </c>
      <c r="M380" s="17" t="str">
        <f t="shared" si="36"/>
        <v>Apr</v>
      </c>
      <c r="N380" s="18">
        <f>YEAR(Table13[[#This Row],[Order_Date]])</f>
        <v>2023</v>
      </c>
      <c r="O380" s="18">
        <f>Table13[[#This Row],[Price]]*0.7</f>
        <v>1516.8999999999999</v>
      </c>
      <c r="P380" s="18">
        <f t="shared" si="37"/>
        <v>3900.6000000000004</v>
      </c>
      <c r="Q380" s="18">
        <f t="shared" si="38"/>
        <v>0.1</v>
      </c>
      <c r="R380" s="18">
        <f t="shared" si="39"/>
        <v>10397.609999999999</v>
      </c>
      <c r="S380" s="18" t="str">
        <f>IF(Table13[[#This Row],[Quantity]]&lt;=3,"Small",IF(Table13[[#This Row],[Quantity]]&lt;=6,"Medium","Bulk"))</f>
        <v>Medium</v>
      </c>
      <c r="T380" s="18" t="str">
        <f t="shared" si="40"/>
        <v>Normal</v>
      </c>
      <c r="U380" s="18" t="str">
        <f t="shared" si="41"/>
        <v>Medium Value</v>
      </c>
    </row>
    <row r="381" spans="1:21" x14ac:dyDescent="0.3">
      <c r="A381" t="s">
        <v>389</v>
      </c>
      <c r="B381" s="1">
        <v>45253</v>
      </c>
      <c r="C381" t="s">
        <v>1211</v>
      </c>
      <c r="D381" t="s">
        <v>1218</v>
      </c>
      <c r="E381" t="s">
        <v>1220</v>
      </c>
      <c r="F381" t="s">
        <v>1237</v>
      </c>
      <c r="G381" s="6">
        <v>9</v>
      </c>
      <c r="H381">
        <v>2531</v>
      </c>
      <c r="I381">
        <v>22779</v>
      </c>
      <c r="J381" s="2">
        <v>1892.05</v>
      </c>
      <c r="K381" s="16">
        <f>Table13[[#This Row],[Profit]]/Table13[[#This Row],[Sales]]</f>
        <v>8.3061152816190351E-2</v>
      </c>
      <c r="L381" s="17" t="str">
        <f t="shared" si="35"/>
        <v>High</v>
      </c>
      <c r="M381" s="17" t="str">
        <f t="shared" si="36"/>
        <v>Nov</v>
      </c>
      <c r="N381" s="18">
        <f>YEAR(Table13[[#This Row],[Order_Date]])</f>
        <v>2023</v>
      </c>
      <c r="O381" s="18">
        <f>Table13[[#This Row],[Price]]*0.7</f>
        <v>1771.6999999999998</v>
      </c>
      <c r="P381" s="18">
        <f t="shared" si="37"/>
        <v>6833.7000000000007</v>
      </c>
      <c r="Q381" s="18">
        <f t="shared" si="38"/>
        <v>0.1</v>
      </c>
      <c r="R381" s="18">
        <f t="shared" si="39"/>
        <v>20886.95</v>
      </c>
      <c r="S381" s="18" t="str">
        <f>IF(Table13[[#This Row],[Quantity]]&lt;=3,"Small",IF(Table13[[#This Row],[Quantity]]&lt;=6,"Medium","Bulk"))</f>
        <v>Bulk</v>
      </c>
      <c r="T381" s="18" t="str">
        <f t="shared" si="40"/>
        <v>Normal</v>
      </c>
      <c r="U381" s="18" t="str">
        <f t="shared" si="41"/>
        <v>High Value</v>
      </c>
    </row>
    <row r="382" spans="1:21" x14ac:dyDescent="0.3">
      <c r="A382" t="s">
        <v>390</v>
      </c>
      <c r="B382" s="1">
        <v>45046</v>
      </c>
      <c r="C382" t="s">
        <v>1211</v>
      </c>
      <c r="D382" t="s">
        <v>1215</v>
      </c>
      <c r="E382" t="s">
        <v>1219</v>
      </c>
      <c r="F382" t="s">
        <v>1223</v>
      </c>
      <c r="G382" s="6">
        <v>7</v>
      </c>
      <c r="H382">
        <v>4928</v>
      </c>
      <c r="I382">
        <v>34496</v>
      </c>
      <c r="J382" s="2">
        <v>4410.6099999999997</v>
      </c>
      <c r="K382" s="16">
        <f>Table13[[#This Row],[Profit]]/Table13[[#This Row],[Sales]]</f>
        <v>0.12785859230055657</v>
      </c>
      <c r="L382" s="17" t="str">
        <f t="shared" si="35"/>
        <v>High</v>
      </c>
      <c r="M382" s="17" t="str">
        <f t="shared" si="36"/>
        <v>Apr</v>
      </c>
      <c r="N382" s="18">
        <f>YEAR(Table13[[#This Row],[Order_Date]])</f>
        <v>2023</v>
      </c>
      <c r="O382" s="18">
        <f>Table13[[#This Row],[Price]]*0.7</f>
        <v>3449.6</v>
      </c>
      <c r="P382" s="18">
        <f t="shared" si="37"/>
        <v>10348.799999999999</v>
      </c>
      <c r="Q382" s="18">
        <f t="shared" si="38"/>
        <v>0.1</v>
      </c>
      <c r="R382" s="18">
        <f t="shared" si="39"/>
        <v>30085.39</v>
      </c>
      <c r="S382" s="18" t="str">
        <f>IF(Table13[[#This Row],[Quantity]]&lt;=3,"Small",IF(Table13[[#This Row],[Quantity]]&lt;=6,"Medium","Bulk"))</f>
        <v>Bulk</v>
      </c>
      <c r="T382" s="18" t="str">
        <f t="shared" si="40"/>
        <v>Normal</v>
      </c>
      <c r="U382" s="18" t="str">
        <f t="shared" si="41"/>
        <v>High Value</v>
      </c>
    </row>
    <row r="383" spans="1:21" x14ac:dyDescent="0.3">
      <c r="A383" t="s">
        <v>391</v>
      </c>
      <c r="B383" s="1">
        <v>45246</v>
      </c>
      <c r="C383" t="s">
        <v>1212</v>
      </c>
      <c r="D383" t="s">
        <v>1216</v>
      </c>
      <c r="E383" t="s">
        <v>1222</v>
      </c>
      <c r="F383" t="s">
        <v>1236</v>
      </c>
      <c r="G383" s="6">
        <v>8</v>
      </c>
      <c r="H383">
        <v>2712</v>
      </c>
      <c r="I383">
        <v>21696</v>
      </c>
      <c r="J383" s="2">
        <v>2627.86</v>
      </c>
      <c r="K383" s="16">
        <f>Table13[[#This Row],[Profit]]/Table13[[#This Row],[Sales]]</f>
        <v>0.12112186578171091</v>
      </c>
      <c r="L383" s="17" t="str">
        <f t="shared" si="35"/>
        <v>High</v>
      </c>
      <c r="M383" s="17" t="str">
        <f t="shared" si="36"/>
        <v>Nov</v>
      </c>
      <c r="N383" s="18">
        <f>YEAR(Table13[[#This Row],[Order_Date]])</f>
        <v>2023</v>
      </c>
      <c r="O383" s="18">
        <f>Table13[[#This Row],[Price]]*0.7</f>
        <v>1898.3999999999999</v>
      </c>
      <c r="P383" s="18">
        <f t="shared" si="37"/>
        <v>6508.8000000000011</v>
      </c>
      <c r="Q383" s="18">
        <f t="shared" si="38"/>
        <v>0.1</v>
      </c>
      <c r="R383" s="18">
        <f t="shared" si="39"/>
        <v>19068.14</v>
      </c>
      <c r="S383" s="18" t="str">
        <f>IF(Table13[[#This Row],[Quantity]]&lt;=3,"Small",IF(Table13[[#This Row],[Quantity]]&lt;=6,"Medium","Bulk"))</f>
        <v>Bulk</v>
      </c>
      <c r="T383" s="18" t="str">
        <f t="shared" si="40"/>
        <v>High Demand</v>
      </c>
      <c r="U383" s="18" t="str">
        <f t="shared" si="41"/>
        <v>High Value</v>
      </c>
    </row>
    <row r="384" spans="1:21" x14ac:dyDescent="0.3">
      <c r="A384" t="s">
        <v>392</v>
      </c>
      <c r="B384" s="1">
        <v>45260</v>
      </c>
      <c r="C384" t="s">
        <v>1211</v>
      </c>
      <c r="D384" t="s">
        <v>1218</v>
      </c>
      <c r="E384" t="s">
        <v>1222</v>
      </c>
      <c r="F384" t="s">
        <v>1230</v>
      </c>
      <c r="G384" s="6">
        <v>5</v>
      </c>
      <c r="H384">
        <v>1962</v>
      </c>
      <c r="I384">
        <v>9810</v>
      </c>
      <c r="J384" s="2">
        <v>1162.29</v>
      </c>
      <c r="K384" s="16">
        <f>Table13[[#This Row],[Profit]]/Table13[[#This Row],[Sales]]</f>
        <v>0.11848012232415901</v>
      </c>
      <c r="L384" s="17" t="str">
        <f t="shared" si="35"/>
        <v>Low</v>
      </c>
      <c r="M384" s="17" t="str">
        <f t="shared" si="36"/>
        <v>Nov</v>
      </c>
      <c r="N384" s="18">
        <f>YEAR(Table13[[#This Row],[Order_Date]])</f>
        <v>2023</v>
      </c>
      <c r="O384" s="18">
        <f>Table13[[#This Row],[Price]]*0.7</f>
        <v>1373.3999999999999</v>
      </c>
      <c r="P384" s="18">
        <f t="shared" si="37"/>
        <v>2943.0000000000009</v>
      </c>
      <c r="Q384" s="18">
        <f t="shared" si="38"/>
        <v>0.05</v>
      </c>
      <c r="R384" s="18">
        <f t="shared" si="39"/>
        <v>8647.7099999999991</v>
      </c>
      <c r="S384" s="18" t="str">
        <f>IF(Table13[[#This Row],[Quantity]]&lt;=3,"Small",IF(Table13[[#This Row],[Quantity]]&lt;=6,"Medium","Bulk"))</f>
        <v>Medium</v>
      </c>
      <c r="T384" s="18" t="str">
        <f t="shared" si="40"/>
        <v>Normal</v>
      </c>
      <c r="U384" s="18" t="str">
        <f t="shared" si="41"/>
        <v>low Value</v>
      </c>
    </row>
    <row r="385" spans="1:21" x14ac:dyDescent="0.3">
      <c r="A385" t="s">
        <v>393</v>
      </c>
      <c r="B385" s="1">
        <v>45287</v>
      </c>
      <c r="C385" t="s">
        <v>1212</v>
      </c>
      <c r="D385" t="s">
        <v>1218</v>
      </c>
      <c r="E385" t="s">
        <v>1221</v>
      </c>
      <c r="F385" t="s">
        <v>1235</v>
      </c>
      <c r="G385" s="6">
        <v>4</v>
      </c>
      <c r="H385">
        <v>1187</v>
      </c>
      <c r="I385">
        <v>4748</v>
      </c>
      <c r="J385" s="2">
        <v>1067.75</v>
      </c>
      <c r="K385" s="16">
        <f>Table13[[#This Row],[Profit]]/Table13[[#This Row],[Sales]]</f>
        <v>0.22488416175231676</v>
      </c>
      <c r="L385" s="17" t="str">
        <f t="shared" si="35"/>
        <v>Low</v>
      </c>
      <c r="M385" s="17" t="str">
        <f t="shared" si="36"/>
        <v>Dec</v>
      </c>
      <c r="N385" s="18">
        <f>YEAR(Table13[[#This Row],[Order_Date]])</f>
        <v>2023</v>
      </c>
      <c r="O385" s="18">
        <f>Table13[[#This Row],[Price]]*0.7</f>
        <v>830.9</v>
      </c>
      <c r="P385" s="18">
        <f t="shared" si="37"/>
        <v>1424.4</v>
      </c>
      <c r="Q385" s="18">
        <f t="shared" si="38"/>
        <v>0.05</v>
      </c>
      <c r="R385" s="18">
        <f t="shared" si="39"/>
        <v>3680.25</v>
      </c>
      <c r="S385" s="18" t="str">
        <f>IF(Table13[[#This Row],[Quantity]]&lt;=3,"Small",IF(Table13[[#This Row],[Quantity]]&lt;=6,"Medium","Bulk"))</f>
        <v>Medium</v>
      </c>
      <c r="T385" s="18" t="str">
        <f t="shared" si="40"/>
        <v>High Demand</v>
      </c>
      <c r="U385" s="18" t="str">
        <f t="shared" si="41"/>
        <v>low Value</v>
      </c>
    </row>
    <row r="386" spans="1:21" x14ac:dyDescent="0.3">
      <c r="A386" t="s">
        <v>394</v>
      </c>
      <c r="B386" s="1">
        <v>45084</v>
      </c>
      <c r="C386" t="s">
        <v>1213</v>
      </c>
      <c r="D386" t="s">
        <v>1214</v>
      </c>
      <c r="E386" t="s">
        <v>1221</v>
      </c>
      <c r="F386" t="s">
        <v>1235</v>
      </c>
      <c r="G386" s="6">
        <v>7</v>
      </c>
      <c r="H386">
        <v>2724</v>
      </c>
      <c r="I386">
        <v>19068</v>
      </c>
      <c r="J386" s="2">
        <v>4242.3599999999997</v>
      </c>
      <c r="K386" s="16">
        <f>Table13[[#This Row],[Profit]]/Table13[[#This Row],[Sales]]</f>
        <v>0.22248584015103837</v>
      </c>
      <c r="L386" s="17" t="str">
        <f t="shared" ref="L386:L449" si="42">IF(I386&gt;20000,"High",IF(I386&gt;10000,"Medium","Low"))</f>
        <v>Medium</v>
      </c>
      <c r="M386" s="17" t="str">
        <f t="shared" ref="M386:M449" si="43">TEXT(B386,"mmm")</f>
        <v>Jun</v>
      </c>
      <c r="N386" s="18">
        <f>YEAR(Table13[[#This Row],[Order_Date]])</f>
        <v>2023</v>
      </c>
      <c r="O386" s="18">
        <f>Table13[[#This Row],[Price]]*0.7</f>
        <v>1906.8</v>
      </c>
      <c r="P386" s="18">
        <f t="shared" ref="P386:P449" si="44">I386 - (G386 *O386)</f>
        <v>5720.4</v>
      </c>
      <c r="Q386" s="18">
        <f t="shared" ref="Q386:Q449" si="45">IF(G386&gt;5,0.1,0.05)</f>
        <v>0.1</v>
      </c>
      <c r="R386" s="18">
        <f t="shared" ref="R386:R449" si="46">I386*(1-K386)</f>
        <v>14825.640000000001</v>
      </c>
      <c r="S386" s="18" t="str">
        <f>IF(Table13[[#This Row],[Quantity]]&lt;=3,"Small",IF(Table13[[#This Row],[Quantity]]&lt;=6,"Medium","Bulk"))</f>
        <v>Bulk</v>
      </c>
      <c r="T386" s="18" t="str">
        <f t="shared" ref="T386:T449" si="47">IF(C386="North","High Demand","Normal")</f>
        <v>Normal</v>
      </c>
      <c r="U386" s="18" t="str">
        <f t="shared" ref="U386:U449" si="48">IF(I386&gt;20000,"High Value",IF(I386&gt;10000,"Medium Value","low Value"))</f>
        <v>Medium Value</v>
      </c>
    </row>
    <row r="387" spans="1:21" x14ac:dyDescent="0.3">
      <c r="A387" t="s">
        <v>395</v>
      </c>
      <c r="B387" s="1">
        <v>45251</v>
      </c>
      <c r="C387" t="s">
        <v>1213</v>
      </c>
      <c r="D387" t="s">
        <v>1216</v>
      </c>
      <c r="E387" t="s">
        <v>1219</v>
      </c>
      <c r="F387" t="s">
        <v>1223</v>
      </c>
      <c r="G387" s="6">
        <v>2</v>
      </c>
      <c r="H387">
        <v>1692</v>
      </c>
      <c r="I387">
        <v>3384</v>
      </c>
      <c r="J387" s="2">
        <v>570.70000000000005</v>
      </c>
      <c r="K387" s="16">
        <f>Table13[[#This Row],[Profit]]/Table13[[#This Row],[Sales]]</f>
        <v>0.16864657210401893</v>
      </c>
      <c r="L387" s="17" t="str">
        <f t="shared" si="42"/>
        <v>Low</v>
      </c>
      <c r="M387" s="17" t="str">
        <f t="shared" si="43"/>
        <v>Nov</v>
      </c>
      <c r="N387" s="18">
        <f>YEAR(Table13[[#This Row],[Order_Date]])</f>
        <v>2023</v>
      </c>
      <c r="O387" s="18">
        <f>Table13[[#This Row],[Price]]*0.7</f>
        <v>1184.3999999999999</v>
      </c>
      <c r="P387" s="18">
        <f t="shared" si="44"/>
        <v>1015.2000000000003</v>
      </c>
      <c r="Q387" s="18">
        <f t="shared" si="45"/>
        <v>0.05</v>
      </c>
      <c r="R387" s="18">
        <f t="shared" si="46"/>
        <v>2813.3</v>
      </c>
      <c r="S387" s="18" t="str">
        <f>IF(Table13[[#This Row],[Quantity]]&lt;=3,"Small",IF(Table13[[#This Row],[Quantity]]&lt;=6,"Medium","Bulk"))</f>
        <v>Small</v>
      </c>
      <c r="T387" s="18" t="str">
        <f t="shared" si="47"/>
        <v>Normal</v>
      </c>
      <c r="U387" s="18" t="str">
        <f t="shared" si="48"/>
        <v>low Value</v>
      </c>
    </row>
    <row r="388" spans="1:21" x14ac:dyDescent="0.3">
      <c r="A388" t="s">
        <v>396</v>
      </c>
      <c r="B388" s="1">
        <v>45250</v>
      </c>
      <c r="C388" t="s">
        <v>1210</v>
      </c>
      <c r="D388" t="s">
        <v>1218</v>
      </c>
      <c r="E388" t="s">
        <v>1222</v>
      </c>
      <c r="F388" t="s">
        <v>1227</v>
      </c>
      <c r="G388" s="6">
        <v>1</v>
      </c>
      <c r="H388">
        <v>2244</v>
      </c>
      <c r="I388">
        <v>2244</v>
      </c>
      <c r="J388" s="2">
        <v>379.89</v>
      </c>
      <c r="K388" s="16">
        <f>Table13[[#This Row],[Profit]]/Table13[[#This Row],[Sales]]</f>
        <v>0.16929144385026737</v>
      </c>
      <c r="L388" s="17" t="str">
        <f t="shared" si="42"/>
        <v>Low</v>
      </c>
      <c r="M388" s="17" t="str">
        <f t="shared" si="43"/>
        <v>Nov</v>
      </c>
      <c r="N388" s="18">
        <f>YEAR(Table13[[#This Row],[Order_Date]])</f>
        <v>2023</v>
      </c>
      <c r="O388" s="18">
        <f>Table13[[#This Row],[Price]]*0.7</f>
        <v>1570.8</v>
      </c>
      <c r="P388" s="18">
        <f t="shared" si="44"/>
        <v>673.2</v>
      </c>
      <c r="Q388" s="18">
        <f t="shared" si="45"/>
        <v>0.05</v>
      </c>
      <c r="R388" s="18">
        <f t="shared" si="46"/>
        <v>1864.11</v>
      </c>
      <c r="S388" s="18" t="str">
        <f>IF(Table13[[#This Row],[Quantity]]&lt;=3,"Small",IF(Table13[[#This Row],[Quantity]]&lt;=6,"Medium","Bulk"))</f>
        <v>Small</v>
      </c>
      <c r="T388" s="18" t="str">
        <f t="shared" si="47"/>
        <v>Normal</v>
      </c>
      <c r="U388" s="18" t="str">
        <f t="shared" si="48"/>
        <v>low Value</v>
      </c>
    </row>
    <row r="389" spans="1:21" x14ac:dyDescent="0.3">
      <c r="A389" t="s">
        <v>397</v>
      </c>
      <c r="B389" s="1">
        <v>45258</v>
      </c>
      <c r="C389" t="s">
        <v>1211</v>
      </c>
      <c r="D389" t="s">
        <v>1216</v>
      </c>
      <c r="E389" t="s">
        <v>1220</v>
      </c>
      <c r="F389" t="s">
        <v>1224</v>
      </c>
      <c r="G389" s="6">
        <v>1</v>
      </c>
      <c r="H389">
        <v>542</v>
      </c>
      <c r="I389">
        <v>542</v>
      </c>
      <c r="J389" s="2">
        <v>83.02</v>
      </c>
      <c r="K389" s="16">
        <f>Table13[[#This Row],[Profit]]/Table13[[#This Row],[Sales]]</f>
        <v>0.15317343173431733</v>
      </c>
      <c r="L389" s="17" t="str">
        <f t="shared" si="42"/>
        <v>Low</v>
      </c>
      <c r="M389" s="17" t="str">
        <f t="shared" si="43"/>
        <v>Nov</v>
      </c>
      <c r="N389" s="18">
        <f>YEAR(Table13[[#This Row],[Order_Date]])</f>
        <v>2023</v>
      </c>
      <c r="O389" s="18">
        <f>Table13[[#This Row],[Price]]*0.7</f>
        <v>379.4</v>
      </c>
      <c r="P389" s="18">
        <f t="shared" si="44"/>
        <v>162.60000000000002</v>
      </c>
      <c r="Q389" s="18">
        <f t="shared" si="45"/>
        <v>0.05</v>
      </c>
      <c r="R389" s="18">
        <f t="shared" si="46"/>
        <v>458.98</v>
      </c>
      <c r="S389" s="18" t="str">
        <f>IF(Table13[[#This Row],[Quantity]]&lt;=3,"Small",IF(Table13[[#This Row],[Quantity]]&lt;=6,"Medium","Bulk"))</f>
        <v>Small</v>
      </c>
      <c r="T389" s="18" t="str">
        <f t="shared" si="47"/>
        <v>Normal</v>
      </c>
      <c r="U389" s="18" t="str">
        <f t="shared" si="48"/>
        <v>low Value</v>
      </c>
    </row>
    <row r="390" spans="1:21" x14ac:dyDescent="0.3">
      <c r="A390" t="s">
        <v>398</v>
      </c>
      <c r="B390" s="1">
        <v>45019</v>
      </c>
      <c r="C390" t="s">
        <v>1211</v>
      </c>
      <c r="D390" t="s">
        <v>1215</v>
      </c>
      <c r="E390" t="s">
        <v>1220</v>
      </c>
      <c r="F390" t="s">
        <v>1237</v>
      </c>
      <c r="G390" s="6">
        <v>9</v>
      </c>
      <c r="H390">
        <v>4954</v>
      </c>
      <c r="I390">
        <v>44586</v>
      </c>
      <c r="J390" s="2">
        <v>10331.870000000001</v>
      </c>
      <c r="K390" s="16">
        <f>Table13[[#This Row],[Profit]]/Table13[[#This Row],[Sales]]</f>
        <v>0.23172901807742344</v>
      </c>
      <c r="L390" s="17" t="str">
        <f t="shared" si="42"/>
        <v>High</v>
      </c>
      <c r="M390" s="17" t="str">
        <f t="shared" si="43"/>
        <v>Apr</v>
      </c>
      <c r="N390" s="18">
        <f>YEAR(Table13[[#This Row],[Order_Date]])</f>
        <v>2023</v>
      </c>
      <c r="O390" s="18">
        <f>Table13[[#This Row],[Price]]*0.7</f>
        <v>3467.7999999999997</v>
      </c>
      <c r="P390" s="18">
        <f t="shared" si="44"/>
        <v>13375.800000000003</v>
      </c>
      <c r="Q390" s="18">
        <f t="shared" si="45"/>
        <v>0.1</v>
      </c>
      <c r="R390" s="18">
        <f t="shared" si="46"/>
        <v>34254.129999999997</v>
      </c>
      <c r="S390" s="18" t="str">
        <f>IF(Table13[[#This Row],[Quantity]]&lt;=3,"Small",IF(Table13[[#This Row],[Quantity]]&lt;=6,"Medium","Bulk"))</f>
        <v>Bulk</v>
      </c>
      <c r="T390" s="18" t="str">
        <f t="shared" si="47"/>
        <v>Normal</v>
      </c>
      <c r="U390" s="18" t="str">
        <f t="shared" si="48"/>
        <v>High Value</v>
      </c>
    </row>
    <row r="391" spans="1:21" x14ac:dyDescent="0.3">
      <c r="A391" t="s">
        <v>399</v>
      </c>
      <c r="B391" s="1">
        <v>45058</v>
      </c>
      <c r="C391" t="s">
        <v>1210</v>
      </c>
      <c r="D391" t="s">
        <v>1216</v>
      </c>
      <c r="E391" t="s">
        <v>1219</v>
      </c>
      <c r="F391" t="s">
        <v>1233</v>
      </c>
      <c r="G391" s="6">
        <v>4</v>
      </c>
      <c r="H391">
        <v>4800</v>
      </c>
      <c r="I391">
        <v>19200</v>
      </c>
      <c r="J391" s="2">
        <v>3829.4</v>
      </c>
      <c r="K391" s="16">
        <f>Table13[[#This Row],[Profit]]/Table13[[#This Row],[Sales]]</f>
        <v>0.19944791666666667</v>
      </c>
      <c r="L391" s="17" t="str">
        <f t="shared" si="42"/>
        <v>Medium</v>
      </c>
      <c r="M391" s="17" t="str">
        <f t="shared" si="43"/>
        <v>May</v>
      </c>
      <c r="N391" s="18">
        <f>YEAR(Table13[[#This Row],[Order_Date]])</f>
        <v>2023</v>
      </c>
      <c r="O391" s="18">
        <f>Table13[[#This Row],[Price]]*0.7</f>
        <v>3360</v>
      </c>
      <c r="P391" s="18">
        <f t="shared" si="44"/>
        <v>5760</v>
      </c>
      <c r="Q391" s="18">
        <f t="shared" si="45"/>
        <v>0.05</v>
      </c>
      <c r="R391" s="18">
        <f t="shared" si="46"/>
        <v>15370.599999999999</v>
      </c>
      <c r="S391" s="18" t="str">
        <f>IF(Table13[[#This Row],[Quantity]]&lt;=3,"Small",IF(Table13[[#This Row],[Quantity]]&lt;=6,"Medium","Bulk"))</f>
        <v>Medium</v>
      </c>
      <c r="T391" s="18" t="str">
        <f t="shared" si="47"/>
        <v>Normal</v>
      </c>
      <c r="U391" s="18" t="str">
        <f t="shared" si="48"/>
        <v>Medium Value</v>
      </c>
    </row>
    <row r="392" spans="1:21" x14ac:dyDescent="0.3">
      <c r="A392" t="s">
        <v>400</v>
      </c>
      <c r="B392" s="1">
        <v>45120</v>
      </c>
      <c r="C392" t="s">
        <v>1213</v>
      </c>
      <c r="D392" t="s">
        <v>1217</v>
      </c>
      <c r="E392" t="s">
        <v>1221</v>
      </c>
      <c r="F392" t="s">
        <v>1226</v>
      </c>
      <c r="G392" s="6">
        <v>6</v>
      </c>
      <c r="H392">
        <v>778</v>
      </c>
      <c r="I392">
        <v>4668</v>
      </c>
      <c r="J392" s="2">
        <v>891.02</v>
      </c>
      <c r="K392" s="16">
        <f>Table13[[#This Row],[Profit]]/Table13[[#This Row],[Sales]]</f>
        <v>0.19087832047986289</v>
      </c>
      <c r="L392" s="17" t="str">
        <f t="shared" si="42"/>
        <v>Low</v>
      </c>
      <c r="M392" s="17" t="str">
        <f t="shared" si="43"/>
        <v>Jul</v>
      </c>
      <c r="N392" s="18">
        <f>YEAR(Table13[[#This Row],[Order_Date]])</f>
        <v>2023</v>
      </c>
      <c r="O392" s="18">
        <f>Table13[[#This Row],[Price]]*0.7</f>
        <v>544.59999999999991</v>
      </c>
      <c r="P392" s="18">
        <f t="shared" si="44"/>
        <v>1400.4000000000005</v>
      </c>
      <c r="Q392" s="18">
        <f t="shared" si="45"/>
        <v>0.1</v>
      </c>
      <c r="R392" s="18">
        <f t="shared" si="46"/>
        <v>3776.98</v>
      </c>
      <c r="S392" s="18" t="str">
        <f>IF(Table13[[#This Row],[Quantity]]&lt;=3,"Small",IF(Table13[[#This Row],[Quantity]]&lt;=6,"Medium","Bulk"))</f>
        <v>Medium</v>
      </c>
      <c r="T392" s="18" t="str">
        <f t="shared" si="47"/>
        <v>Normal</v>
      </c>
      <c r="U392" s="18" t="str">
        <f t="shared" si="48"/>
        <v>low Value</v>
      </c>
    </row>
    <row r="393" spans="1:21" x14ac:dyDescent="0.3">
      <c r="A393" t="s">
        <v>401</v>
      </c>
      <c r="B393" s="1">
        <v>45188</v>
      </c>
      <c r="C393" t="s">
        <v>1211</v>
      </c>
      <c r="D393" t="s">
        <v>1218</v>
      </c>
      <c r="E393" t="s">
        <v>1219</v>
      </c>
      <c r="F393" t="s">
        <v>1238</v>
      </c>
      <c r="G393" s="6">
        <v>9</v>
      </c>
      <c r="H393">
        <v>1992</v>
      </c>
      <c r="I393">
        <v>17928</v>
      </c>
      <c r="J393" s="2">
        <v>2253.96</v>
      </c>
      <c r="K393" s="16">
        <f>Table13[[#This Row],[Profit]]/Table13[[#This Row],[Sales]]</f>
        <v>0.12572289156626507</v>
      </c>
      <c r="L393" s="17" t="str">
        <f t="shared" si="42"/>
        <v>Medium</v>
      </c>
      <c r="M393" s="17" t="str">
        <f t="shared" si="43"/>
        <v>Sep</v>
      </c>
      <c r="N393" s="18">
        <f>YEAR(Table13[[#This Row],[Order_Date]])</f>
        <v>2023</v>
      </c>
      <c r="O393" s="18">
        <f>Table13[[#This Row],[Price]]*0.7</f>
        <v>1394.3999999999999</v>
      </c>
      <c r="P393" s="18">
        <f t="shared" si="44"/>
        <v>5378.4000000000015</v>
      </c>
      <c r="Q393" s="18">
        <f t="shared" si="45"/>
        <v>0.1</v>
      </c>
      <c r="R393" s="18">
        <f t="shared" si="46"/>
        <v>15674.04</v>
      </c>
      <c r="S393" s="18" t="str">
        <f>IF(Table13[[#This Row],[Quantity]]&lt;=3,"Small",IF(Table13[[#This Row],[Quantity]]&lt;=6,"Medium","Bulk"))</f>
        <v>Bulk</v>
      </c>
      <c r="T393" s="18" t="str">
        <f t="shared" si="47"/>
        <v>Normal</v>
      </c>
      <c r="U393" s="18" t="str">
        <f t="shared" si="48"/>
        <v>Medium Value</v>
      </c>
    </row>
    <row r="394" spans="1:21" x14ac:dyDescent="0.3">
      <c r="A394" t="s">
        <v>402</v>
      </c>
      <c r="B394" s="1">
        <v>45288</v>
      </c>
      <c r="C394" t="s">
        <v>1212</v>
      </c>
      <c r="D394" t="s">
        <v>1218</v>
      </c>
      <c r="E394" t="s">
        <v>1220</v>
      </c>
      <c r="F394" t="s">
        <v>1228</v>
      </c>
      <c r="G394" s="6">
        <v>6</v>
      </c>
      <c r="H394">
        <v>929</v>
      </c>
      <c r="I394">
        <v>5574</v>
      </c>
      <c r="J394" s="2">
        <v>1305.74</v>
      </c>
      <c r="K394" s="16">
        <f>Table13[[#This Row],[Profit]]/Table13[[#This Row],[Sales]]</f>
        <v>0.23425547183351275</v>
      </c>
      <c r="L394" s="17" t="str">
        <f t="shared" si="42"/>
        <v>Low</v>
      </c>
      <c r="M394" s="17" t="str">
        <f t="shared" si="43"/>
        <v>Dec</v>
      </c>
      <c r="N394" s="18">
        <f>YEAR(Table13[[#This Row],[Order_Date]])</f>
        <v>2023</v>
      </c>
      <c r="O394" s="18">
        <f>Table13[[#This Row],[Price]]*0.7</f>
        <v>650.29999999999995</v>
      </c>
      <c r="P394" s="18">
        <f t="shared" si="44"/>
        <v>1672.2000000000003</v>
      </c>
      <c r="Q394" s="18">
        <f t="shared" si="45"/>
        <v>0.1</v>
      </c>
      <c r="R394" s="18">
        <f t="shared" si="46"/>
        <v>4268.2599999999993</v>
      </c>
      <c r="S394" s="18" t="str">
        <f>IF(Table13[[#This Row],[Quantity]]&lt;=3,"Small",IF(Table13[[#This Row],[Quantity]]&lt;=6,"Medium","Bulk"))</f>
        <v>Medium</v>
      </c>
      <c r="T394" s="18" t="str">
        <f t="shared" si="47"/>
        <v>High Demand</v>
      </c>
      <c r="U394" s="18" t="str">
        <f t="shared" si="48"/>
        <v>low Value</v>
      </c>
    </row>
    <row r="395" spans="1:21" x14ac:dyDescent="0.3">
      <c r="A395" t="s">
        <v>403</v>
      </c>
      <c r="B395" s="1">
        <v>45163</v>
      </c>
      <c r="C395" t="s">
        <v>1213</v>
      </c>
      <c r="D395" t="s">
        <v>1218</v>
      </c>
      <c r="E395" t="s">
        <v>1222</v>
      </c>
      <c r="F395" t="s">
        <v>1234</v>
      </c>
      <c r="G395" s="6">
        <v>1</v>
      </c>
      <c r="H395">
        <v>341</v>
      </c>
      <c r="I395">
        <v>341</v>
      </c>
      <c r="J395" s="2">
        <v>62.69</v>
      </c>
      <c r="K395" s="16">
        <f>Table13[[#This Row],[Profit]]/Table13[[#This Row],[Sales]]</f>
        <v>0.183841642228739</v>
      </c>
      <c r="L395" s="17" t="str">
        <f t="shared" si="42"/>
        <v>Low</v>
      </c>
      <c r="M395" s="17" t="str">
        <f t="shared" si="43"/>
        <v>Aug</v>
      </c>
      <c r="N395" s="18">
        <f>YEAR(Table13[[#This Row],[Order_Date]])</f>
        <v>2023</v>
      </c>
      <c r="O395" s="18">
        <f>Table13[[#This Row],[Price]]*0.7</f>
        <v>238.7</v>
      </c>
      <c r="P395" s="18">
        <f t="shared" si="44"/>
        <v>102.30000000000001</v>
      </c>
      <c r="Q395" s="18">
        <f t="shared" si="45"/>
        <v>0.05</v>
      </c>
      <c r="R395" s="18">
        <f t="shared" si="46"/>
        <v>278.31</v>
      </c>
      <c r="S395" s="18" t="str">
        <f>IF(Table13[[#This Row],[Quantity]]&lt;=3,"Small",IF(Table13[[#This Row],[Quantity]]&lt;=6,"Medium","Bulk"))</f>
        <v>Small</v>
      </c>
      <c r="T395" s="18" t="str">
        <f t="shared" si="47"/>
        <v>Normal</v>
      </c>
      <c r="U395" s="18" t="str">
        <f t="shared" si="48"/>
        <v>low Value</v>
      </c>
    </row>
    <row r="396" spans="1:21" x14ac:dyDescent="0.3">
      <c r="A396" t="s">
        <v>404</v>
      </c>
      <c r="B396" s="1">
        <v>45116</v>
      </c>
      <c r="C396" t="s">
        <v>1213</v>
      </c>
      <c r="D396" t="s">
        <v>1214</v>
      </c>
      <c r="E396" t="s">
        <v>1222</v>
      </c>
      <c r="F396" t="s">
        <v>1234</v>
      </c>
      <c r="G396" s="6">
        <v>6</v>
      </c>
      <c r="H396">
        <v>2296</v>
      </c>
      <c r="I396">
        <v>13776</v>
      </c>
      <c r="J396" s="2">
        <v>1120.03</v>
      </c>
      <c r="K396" s="16">
        <f>Table13[[#This Row],[Profit]]/Table13[[#This Row],[Sales]]</f>
        <v>8.1302990708478518E-2</v>
      </c>
      <c r="L396" s="17" t="str">
        <f t="shared" si="42"/>
        <v>Medium</v>
      </c>
      <c r="M396" s="17" t="str">
        <f t="shared" si="43"/>
        <v>Jul</v>
      </c>
      <c r="N396" s="18">
        <f>YEAR(Table13[[#This Row],[Order_Date]])</f>
        <v>2023</v>
      </c>
      <c r="O396" s="18">
        <f>Table13[[#This Row],[Price]]*0.7</f>
        <v>1607.1999999999998</v>
      </c>
      <c r="P396" s="18">
        <f t="shared" si="44"/>
        <v>4132.8000000000011</v>
      </c>
      <c r="Q396" s="18">
        <f t="shared" si="45"/>
        <v>0.1</v>
      </c>
      <c r="R396" s="18">
        <f t="shared" si="46"/>
        <v>12655.97</v>
      </c>
      <c r="S396" s="18" t="str">
        <f>IF(Table13[[#This Row],[Quantity]]&lt;=3,"Small",IF(Table13[[#This Row],[Quantity]]&lt;=6,"Medium","Bulk"))</f>
        <v>Medium</v>
      </c>
      <c r="T396" s="18" t="str">
        <f t="shared" si="47"/>
        <v>Normal</v>
      </c>
      <c r="U396" s="18" t="str">
        <f t="shared" si="48"/>
        <v>Medium Value</v>
      </c>
    </row>
    <row r="397" spans="1:21" x14ac:dyDescent="0.3">
      <c r="A397" t="s">
        <v>405</v>
      </c>
      <c r="B397" s="1">
        <v>45171</v>
      </c>
      <c r="C397" t="s">
        <v>1212</v>
      </c>
      <c r="D397" t="s">
        <v>1217</v>
      </c>
      <c r="E397" t="s">
        <v>1221</v>
      </c>
      <c r="F397" t="s">
        <v>1226</v>
      </c>
      <c r="G397" s="6">
        <v>1</v>
      </c>
      <c r="H397">
        <v>4897</v>
      </c>
      <c r="I397">
        <v>4897</v>
      </c>
      <c r="J397" s="2">
        <v>777.08</v>
      </c>
      <c r="K397" s="16">
        <f>Table13[[#This Row],[Profit]]/Table13[[#This Row],[Sales]]</f>
        <v>0.15868490912803759</v>
      </c>
      <c r="L397" s="17" t="str">
        <f t="shared" si="42"/>
        <v>Low</v>
      </c>
      <c r="M397" s="17" t="str">
        <f t="shared" si="43"/>
        <v>Sep</v>
      </c>
      <c r="N397" s="18">
        <f>YEAR(Table13[[#This Row],[Order_Date]])</f>
        <v>2023</v>
      </c>
      <c r="O397" s="18">
        <f>Table13[[#This Row],[Price]]*0.7</f>
        <v>3427.8999999999996</v>
      </c>
      <c r="P397" s="18">
        <f t="shared" si="44"/>
        <v>1469.1000000000004</v>
      </c>
      <c r="Q397" s="18">
        <f t="shared" si="45"/>
        <v>0.05</v>
      </c>
      <c r="R397" s="18">
        <f t="shared" si="46"/>
        <v>4119.92</v>
      </c>
      <c r="S397" s="18" t="str">
        <f>IF(Table13[[#This Row],[Quantity]]&lt;=3,"Small",IF(Table13[[#This Row],[Quantity]]&lt;=6,"Medium","Bulk"))</f>
        <v>Small</v>
      </c>
      <c r="T397" s="18" t="str">
        <f t="shared" si="47"/>
        <v>High Demand</v>
      </c>
      <c r="U397" s="18" t="str">
        <f t="shared" si="48"/>
        <v>low Value</v>
      </c>
    </row>
    <row r="398" spans="1:21" x14ac:dyDescent="0.3">
      <c r="A398" t="s">
        <v>406</v>
      </c>
      <c r="B398" s="1">
        <v>45231</v>
      </c>
      <c r="C398" t="s">
        <v>1212</v>
      </c>
      <c r="D398" t="s">
        <v>1218</v>
      </c>
      <c r="E398" t="s">
        <v>1219</v>
      </c>
      <c r="F398" t="s">
        <v>1233</v>
      </c>
      <c r="G398" s="6">
        <v>9</v>
      </c>
      <c r="H398">
        <v>2000</v>
      </c>
      <c r="I398">
        <v>18000</v>
      </c>
      <c r="J398" s="2">
        <v>3939.05</v>
      </c>
      <c r="K398" s="16">
        <f>Table13[[#This Row],[Profit]]/Table13[[#This Row],[Sales]]</f>
        <v>0.21883611111111112</v>
      </c>
      <c r="L398" s="17" t="str">
        <f t="shared" si="42"/>
        <v>Medium</v>
      </c>
      <c r="M398" s="17" t="str">
        <f t="shared" si="43"/>
        <v>Nov</v>
      </c>
      <c r="N398" s="18">
        <f>YEAR(Table13[[#This Row],[Order_Date]])</f>
        <v>2023</v>
      </c>
      <c r="O398" s="18">
        <f>Table13[[#This Row],[Price]]*0.7</f>
        <v>1400</v>
      </c>
      <c r="P398" s="18">
        <f t="shared" si="44"/>
        <v>5400</v>
      </c>
      <c r="Q398" s="18">
        <f t="shared" si="45"/>
        <v>0.1</v>
      </c>
      <c r="R398" s="18">
        <f t="shared" si="46"/>
        <v>14060.95</v>
      </c>
      <c r="S398" s="18" t="str">
        <f>IF(Table13[[#This Row],[Quantity]]&lt;=3,"Small",IF(Table13[[#This Row],[Quantity]]&lt;=6,"Medium","Bulk"))</f>
        <v>Bulk</v>
      </c>
      <c r="T398" s="18" t="str">
        <f t="shared" si="47"/>
        <v>High Demand</v>
      </c>
      <c r="U398" s="18" t="str">
        <f t="shared" si="48"/>
        <v>Medium Value</v>
      </c>
    </row>
    <row r="399" spans="1:21" x14ac:dyDescent="0.3">
      <c r="A399" t="s">
        <v>407</v>
      </c>
      <c r="B399" s="1">
        <v>44967</v>
      </c>
      <c r="C399" t="s">
        <v>1210</v>
      </c>
      <c r="D399" t="s">
        <v>1215</v>
      </c>
      <c r="E399" t="s">
        <v>1221</v>
      </c>
      <c r="F399" t="s">
        <v>1231</v>
      </c>
      <c r="G399" s="6">
        <v>3</v>
      </c>
      <c r="H399">
        <v>3842</v>
      </c>
      <c r="I399">
        <v>11526</v>
      </c>
      <c r="J399" s="2">
        <v>1916.31</v>
      </c>
      <c r="K399" s="16">
        <f>Table13[[#This Row],[Profit]]/Table13[[#This Row],[Sales]]</f>
        <v>0.16625976054138469</v>
      </c>
      <c r="L399" s="17" t="str">
        <f t="shared" si="42"/>
        <v>Medium</v>
      </c>
      <c r="M399" s="17" t="str">
        <f t="shared" si="43"/>
        <v>Feb</v>
      </c>
      <c r="N399" s="18">
        <f>YEAR(Table13[[#This Row],[Order_Date]])</f>
        <v>2023</v>
      </c>
      <c r="O399" s="18">
        <f>Table13[[#This Row],[Price]]*0.7</f>
        <v>2689.3999999999996</v>
      </c>
      <c r="P399" s="18">
        <f t="shared" si="44"/>
        <v>3457.8000000000011</v>
      </c>
      <c r="Q399" s="18">
        <f t="shared" si="45"/>
        <v>0.05</v>
      </c>
      <c r="R399" s="18">
        <f t="shared" si="46"/>
        <v>9609.69</v>
      </c>
      <c r="S399" s="18" t="str">
        <f>IF(Table13[[#This Row],[Quantity]]&lt;=3,"Small",IF(Table13[[#This Row],[Quantity]]&lt;=6,"Medium","Bulk"))</f>
        <v>Small</v>
      </c>
      <c r="T399" s="18" t="str">
        <f t="shared" si="47"/>
        <v>Normal</v>
      </c>
      <c r="U399" s="18" t="str">
        <f t="shared" si="48"/>
        <v>Medium Value</v>
      </c>
    </row>
    <row r="400" spans="1:21" x14ac:dyDescent="0.3">
      <c r="A400" t="s">
        <v>408</v>
      </c>
      <c r="B400" s="1">
        <v>44971</v>
      </c>
      <c r="C400" t="s">
        <v>1212</v>
      </c>
      <c r="D400" t="s">
        <v>1216</v>
      </c>
      <c r="E400" t="s">
        <v>1221</v>
      </c>
      <c r="F400" t="s">
        <v>1235</v>
      </c>
      <c r="G400" s="6">
        <v>3</v>
      </c>
      <c r="H400">
        <v>1556</v>
      </c>
      <c r="I400">
        <v>4668</v>
      </c>
      <c r="J400" s="2">
        <v>1111</v>
      </c>
      <c r="K400" s="16">
        <f>Table13[[#This Row],[Profit]]/Table13[[#This Row],[Sales]]</f>
        <v>0.23800342759211654</v>
      </c>
      <c r="L400" s="17" t="str">
        <f t="shared" si="42"/>
        <v>Low</v>
      </c>
      <c r="M400" s="17" t="str">
        <f t="shared" si="43"/>
        <v>Feb</v>
      </c>
      <c r="N400" s="18">
        <f>YEAR(Table13[[#This Row],[Order_Date]])</f>
        <v>2023</v>
      </c>
      <c r="O400" s="18">
        <f>Table13[[#This Row],[Price]]*0.7</f>
        <v>1089.1999999999998</v>
      </c>
      <c r="P400" s="18">
        <f t="shared" si="44"/>
        <v>1400.4000000000005</v>
      </c>
      <c r="Q400" s="18">
        <f t="shared" si="45"/>
        <v>0.05</v>
      </c>
      <c r="R400" s="18">
        <f t="shared" si="46"/>
        <v>3557</v>
      </c>
      <c r="S400" s="18" t="str">
        <f>IF(Table13[[#This Row],[Quantity]]&lt;=3,"Small",IF(Table13[[#This Row],[Quantity]]&lt;=6,"Medium","Bulk"))</f>
        <v>Small</v>
      </c>
      <c r="T400" s="18" t="str">
        <f t="shared" si="47"/>
        <v>High Demand</v>
      </c>
      <c r="U400" s="18" t="str">
        <f t="shared" si="48"/>
        <v>low Value</v>
      </c>
    </row>
    <row r="401" spans="1:21" x14ac:dyDescent="0.3">
      <c r="A401" t="s">
        <v>409</v>
      </c>
      <c r="B401" s="1">
        <v>45035</v>
      </c>
      <c r="C401" t="s">
        <v>1213</v>
      </c>
      <c r="D401" t="s">
        <v>1215</v>
      </c>
      <c r="E401" t="s">
        <v>1219</v>
      </c>
      <c r="F401" t="s">
        <v>1223</v>
      </c>
      <c r="G401" s="6">
        <v>8</v>
      </c>
      <c r="H401">
        <v>4751</v>
      </c>
      <c r="I401">
        <v>38008</v>
      </c>
      <c r="J401" s="2">
        <v>7375.84</v>
      </c>
      <c r="K401" s="16">
        <f>Table13[[#This Row],[Profit]]/Table13[[#This Row],[Sales]]</f>
        <v>0.19406019785308357</v>
      </c>
      <c r="L401" s="17" t="str">
        <f t="shared" si="42"/>
        <v>High</v>
      </c>
      <c r="M401" s="17" t="str">
        <f t="shared" si="43"/>
        <v>Apr</v>
      </c>
      <c r="N401" s="18">
        <f>YEAR(Table13[[#This Row],[Order_Date]])</f>
        <v>2023</v>
      </c>
      <c r="O401" s="18">
        <f>Table13[[#This Row],[Price]]*0.7</f>
        <v>3325.7</v>
      </c>
      <c r="P401" s="18">
        <f t="shared" si="44"/>
        <v>11402.400000000001</v>
      </c>
      <c r="Q401" s="18">
        <f t="shared" si="45"/>
        <v>0.1</v>
      </c>
      <c r="R401" s="18">
        <f t="shared" si="46"/>
        <v>30632.16</v>
      </c>
      <c r="S401" s="18" t="str">
        <f>IF(Table13[[#This Row],[Quantity]]&lt;=3,"Small",IF(Table13[[#This Row],[Quantity]]&lt;=6,"Medium","Bulk"))</f>
        <v>Bulk</v>
      </c>
      <c r="T401" s="18" t="str">
        <f t="shared" si="47"/>
        <v>Normal</v>
      </c>
      <c r="U401" s="18" t="str">
        <f t="shared" si="48"/>
        <v>High Value</v>
      </c>
    </row>
    <row r="402" spans="1:21" x14ac:dyDescent="0.3">
      <c r="A402" t="s">
        <v>410</v>
      </c>
      <c r="B402" s="1">
        <v>44934</v>
      </c>
      <c r="C402" t="s">
        <v>1212</v>
      </c>
      <c r="D402" t="s">
        <v>1214</v>
      </c>
      <c r="E402" t="s">
        <v>1221</v>
      </c>
      <c r="F402" t="s">
        <v>1231</v>
      </c>
      <c r="G402" s="6">
        <v>7</v>
      </c>
      <c r="H402">
        <v>1187</v>
      </c>
      <c r="I402">
        <v>8309</v>
      </c>
      <c r="J402" s="2">
        <v>1824.69</v>
      </c>
      <c r="K402" s="16">
        <f>Table13[[#This Row],[Profit]]/Table13[[#This Row],[Sales]]</f>
        <v>0.21960404380791912</v>
      </c>
      <c r="L402" s="17" t="str">
        <f t="shared" si="42"/>
        <v>Low</v>
      </c>
      <c r="M402" s="17" t="str">
        <f t="shared" si="43"/>
        <v>Jan</v>
      </c>
      <c r="N402" s="18">
        <f>YEAR(Table13[[#This Row],[Order_Date]])</f>
        <v>2023</v>
      </c>
      <c r="O402" s="18">
        <f>Table13[[#This Row],[Price]]*0.7</f>
        <v>830.9</v>
      </c>
      <c r="P402" s="18">
        <f t="shared" si="44"/>
        <v>2492.6999999999998</v>
      </c>
      <c r="Q402" s="18">
        <f t="shared" si="45"/>
        <v>0.1</v>
      </c>
      <c r="R402" s="18">
        <f t="shared" si="46"/>
        <v>6484.31</v>
      </c>
      <c r="S402" s="18" t="str">
        <f>IF(Table13[[#This Row],[Quantity]]&lt;=3,"Small",IF(Table13[[#This Row],[Quantity]]&lt;=6,"Medium","Bulk"))</f>
        <v>Bulk</v>
      </c>
      <c r="T402" s="18" t="str">
        <f t="shared" si="47"/>
        <v>High Demand</v>
      </c>
      <c r="U402" s="18" t="str">
        <f t="shared" si="48"/>
        <v>low Value</v>
      </c>
    </row>
    <row r="403" spans="1:21" x14ac:dyDescent="0.3">
      <c r="A403" t="s">
        <v>411</v>
      </c>
      <c r="B403" s="1">
        <v>45264</v>
      </c>
      <c r="C403" t="s">
        <v>1211</v>
      </c>
      <c r="D403" t="s">
        <v>1217</v>
      </c>
      <c r="E403" t="s">
        <v>1220</v>
      </c>
      <c r="F403" t="s">
        <v>1237</v>
      </c>
      <c r="G403" s="6">
        <v>7</v>
      </c>
      <c r="H403">
        <v>3960</v>
      </c>
      <c r="I403">
        <v>27720</v>
      </c>
      <c r="J403" s="2">
        <v>5062.93</v>
      </c>
      <c r="K403" s="16">
        <f>Table13[[#This Row],[Profit]]/Table13[[#This Row],[Sales]]</f>
        <v>0.18264538239538242</v>
      </c>
      <c r="L403" s="17" t="str">
        <f t="shared" si="42"/>
        <v>High</v>
      </c>
      <c r="M403" s="17" t="str">
        <f t="shared" si="43"/>
        <v>Dec</v>
      </c>
      <c r="N403" s="18">
        <f>YEAR(Table13[[#This Row],[Order_Date]])</f>
        <v>2023</v>
      </c>
      <c r="O403" s="18">
        <f>Table13[[#This Row],[Price]]*0.7</f>
        <v>2772</v>
      </c>
      <c r="P403" s="18">
        <f t="shared" si="44"/>
        <v>8316</v>
      </c>
      <c r="Q403" s="18">
        <f t="shared" si="45"/>
        <v>0.1</v>
      </c>
      <c r="R403" s="18">
        <f t="shared" si="46"/>
        <v>22657.07</v>
      </c>
      <c r="S403" s="18" t="str">
        <f>IF(Table13[[#This Row],[Quantity]]&lt;=3,"Small",IF(Table13[[#This Row],[Quantity]]&lt;=6,"Medium","Bulk"))</f>
        <v>Bulk</v>
      </c>
      <c r="T403" s="18" t="str">
        <f t="shared" si="47"/>
        <v>Normal</v>
      </c>
      <c r="U403" s="18" t="str">
        <f t="shared" si="48"/>
        <v>High Value</v>
      </c>
    </row>
    <row r="404" spans="1:21" x14ac:dyDescent="0.3">
      <c r="A404" t="s">
        <v>412</v>
      </c>
      <c r="B404" s="1">
        <v>45073</v>
      </c>
      <c r="C404" t="s">
        <v>1210</v>
      </c>
      <c r="D404" t="s">
        <v>1216</v>
      </c>
      <c r="E404" t="s">
        <v>1221</v>
      </c>
      <c r="F404" t="s">
        <v>1229</v>
      </c>
      <c r="G404" s="6">
        <v>1</v>
      </c>
      <c r="H404">
        <v>2886</v>
      </c>
      <c r="I404">
        <v>2886</v>
      </c>
      <c r="J404" s="2">
        <v>556</v>
      </c>
      <c r="K404" s="16">
        <f>Table13[[#This Row],[Profit]]/Table13[[#This Row],[Sales]]</f>
        <v>0.19265419265419265</v>
      </c>
      <c r="L404" s="17" t="str">
        <f t="shared" si="42"/>
        <v>Low</v>
      </c>
      <c r="M404" s="17" t="str">
        <f t="shared" si="43"/>
        <v>May</v>
      </c>
      <c r="N404" s="18">
        <f>YEAR(Table13[[#This Row],[Order_Date]])</f>
        <v>2023</v>
      </c>
      <c r="O404" s="18">
        <f>Table13[[#This Row],[Price]]*0.7</f>
        <v>2020.1999999999998</v>
      </c>
      <c r="P404" s="18">
        <f t="shared" si="44"/>
        <v>865.80000000000018</v>
      </c>
      <c r="Q404" s="18">
        <f t="shared" si="45"/>
        <v>0.05</v>
      </c>
      <c r="R404" s="18">
        <f t="shared" si="46"/>
        <v>2330</v>
      </c>
      <c r="S404" s="18" t="str">
        <f>IF(Table13[[#This Row],[Quantity]]&lt;=3,"Small",IF(Table13[[#This Row],[Quantity]]&lt;=6,"Medium","Bulk"))</f>
        <v>Small</v>
      </c>
      <c r="T404" s="18" t="str">
        <f t="shared" si="47"/>
        <v>Normal</v>
      </c>
      <c r="U404" s="18" t="str">
        <f t="shared" si="48"/>
        <v>low Value</v>
      </c>
    </row>
    <row r="405" spans="1:21" x14ac:dyDescent="0.3">
      <c r="A405" t="s">
        <v>413</v>
      </c>
      <c r="B405" s="1">
        <v>45169</v>
      </c>
      <c r="C405" t="s">
        <v>1210</v>
      </c>
      <c r="D405" t="s">
        <v>1218</v>
      </c>
      <c r="E405" t="s">
        <v>1221</v>
      </c>
      <c r="F405" t="s">
        <v>1226</v>
      </c>
      <c r="G405" s="6">
        <v>1</v>
      </c>
      <c r="H405">
        <v>4008</v>
      </c>
      <c r="I405">
        <v>4008</v>
      </c>
      <c r="J405" s="2">
        <v>596.07000000000005</v>
      </c>
      <c r="K405" s="16">
        <f>Table13[[#This Row],[Profit]]/Table13[[#This Row],[Sales]]</f>
        <v>0.14872005988023954</v>
      </c>
      <c r="L405" s="17" t="str">
        <f t="shared" si="42"/>
        <v>Low</v>
      </c>
      <c r="M405" s="17" t="str">
        <f t="shared" si="43"/>
        <v>Aug</v>
      </c>
      <c r="N405" s="18">
        <f>YEAR(Table13[[#This Row],[Order_Date]])</f>
        <v>2023</v>
      </c>
      <c r="O405" s="18">
        <f>Table13[[#This Row],[Price]]*0.7</f>
        <v>2805.6</v>
      </c>
      <c r="P405" s="18">
        <f t="shared" si="44"/>
        <v>1202.4000000000001</v>
      </c>
      <c r="Q405" s="18">
        <f t="shared" si="45"/>
        <v>0.05</v>
      </c>
      <c r="R405" s="18">
        <f t="shared" si="46"/>
        <v>3411.93</v>
      </c>
      <c r="S405" s="18" t="str">
        <f>IF(Table13[[#This Row],[Quantity]]&lt;=3,"Small",IF(Table13[[#This Row],[Quantity]]&lt;=6,"Medium","Bulk"))</f>
        <v>Small</v>
      </c>
      <c r="T405" s="18" t="str">
        <f t="shared" si="47"/>
        <v>Normal</v>
      </c>
      <c r="U405" s="18" t="str">
        <f t="shared" si="48"/>
        <v>low Value</v>
      </c>
    </row>
    <row r="406" spans="1:21" x14ac:dyDescent="0.3">
      <c r="A406" t="s">
        <v>414</v>
      </c>
      <c r="B406" s="1">
        <v>45257</v>
      </c>
      <c r="C406" t="s">
        <v>1212</v>
      </c>
      <c r="D406" t="s">
        <v>1217</v>
      </c>
      <c r="E406" t="s">
        <v>1219</v>
      </c>
      <c r="F406" t="s">
        <v>1233</v>
      </c>
      <c r="G406" s="6">
        <v>9</v>
      </c>
      <c r="H406">
        <v>401</v>
      </c>
      <c r="I406">
        <v>3609</v>
      </c>
      <c r="J406" s="2">
        <v>510.77</v>
      </c>
      <c r="K406" s="16">
        <f>Table13[[#This Row],[Profit]]/Table13[[#This Row],[Sales]]</f>
        <v>0.1415267387087836</v>
      </c>
      <c r="L406" s="17" t="str">
        <f t="shared" si="42"/>
        <v>Low</v>
      </c>
      <c r="M406" s="17" t="str">
        <f t="shared" si="43"/>
        <v>Nov</v>
      </c>
      <c r="N406" s="18">
        <f>YEAR(Table13[[#This Row],[Order_Date]])</f>
        <v>2023</v>
      </c>
      <c r="O406" s="18">
        <f>Table13[[#This Row],[Price]]*0.7</f>
        <v>280.7</v>
      </c>
      <c r="P406" s="18">
        <f t="shared" si="44"/>
        <v>1082.7000000000003</v>
      </c>
      <c r="Q406" s="18">
        <f t="shared" si="45"/>
        <v>0.1</v>
      </c>
      <c r="R406" s="18">
        <f t="shared" si="46"/>
        <v>3098.23</v>
      </c>
      <c r="S406" s="18" t="str">
        <f>IF(Table13[[#This Row],[Quantity]]&lt;=3,"Small",IF(Table13[[#This Row],[Quantity]]&lt;=6,"Medium","Bulk"))</f>
        <v>Bulk</v>
      </c>
      <c r="T406" s="18" t="str">
        <f t="shared" si="47"/>
        <v>High Demand</v>
      </c>
      <c r="U406" s="18" t="str">
        <f t="shared" si="48"/>
        <v>low Value</v>
      </c>
    </row>
    <row r="407" spans="1:21" x14ac:dyDescent="0.3">
      <c r="A407" t="s">
        <v>415</v>
      </c>
      <c r="B407" s="1">
        <v>44965</v>
      </c>
      <c r="C407" t="s">
        <v>1213</v>
      </c>
      <c r="D407" t="s">
        <v>1214</v>
      </c>
      <c r="E407" t="s">
        <v>1220</v>
      </c>
      <c r="F407" t="s">
        <v>1225</v>
      </c>
      <c r="G407" s="6">
        <v>3</v>
      </c>
      <c r="H407">
        <v>3389</v>
      </c>
      <c r="I407">
        <v>10167</v>
      </c>
      <c r="J407" s="2">
        <v>1013.4</v>
      </c>
      <c r="K407" s="16">
        <f>Table13[[#This Row],[Profit]]/Table13[[#This Row],[Sales]]</f>
        <v>9.9675420478017113E-2</v>
      </c>
      <c r="L407" s="17" t="str">
        <f t="shared" si="42"/>
        <v>Medium</v>
      </c>
      <c r="M407" s="17" t="str">
        <f t="shared" si="43"/>
        <v>Feb</v>
      </c>
      <c r="N407" s="18">
        <f>YEAR(Table13[[#This Row],[Order_Date]])</f>
        <v>2023</v>
      </c>
      <c r="O407" s="18">
        <f>Table13[[#This Row],[Price]]*0.7</f>
        <v>2372.2999999999997</v>
      </c>
      <c r="P407" s="18">
        <f t="shared" si="44"/>
        <v>3050.1000000000004</v>
      </c>
      <c r="Q407" s="18">
        <f t="shared" si="45"/>
        <v>0.05</v>
      </c>
      <c r="R407" s="18">
        <f t="shared" si="46"/>
        <v>9153.6</v>
      </c>
      <c r="S407" s="18" t="str">
        <f>IF(Table13[[#This Row],[Quantity]]&lt;=3,"Small",IF(Table13[[#This Row],[Quantity]]&lt;=6,"Medium","Bulk"))</f>
        <v>Small</v>
      </c>
      <c r="T407" s="18" t="str">
        <f t="shared" si="47"/>
        <v>Normal</v>
      </c>
      <c r="U407" s="18" t="str">
        <f t="shared" si="48"/>
        <v>Medium Value</v>
      </c>
    </row>
    <row r="408" spans="1:21" x14ac:dyDescent="0.3">
      <c r="A408" t="s">
        <v>416</v>
      </c>
      <c r="B408" s="1">
        <v>45276</v>
      </c>
      <c r="C408" t="s">
        <v>1213</v>
      </c>
      <c r="D408" t="s">
        <v>1217</v>
      </c>
      <c r="E408" t="s">
        <v>1221</v>
      </c>
      <c r="F408" t="s">
        <v>1229</v>
      </c>
      <c r="G408" s="6">
        <v>5</v>
      </c>
      <c r="H408">
        <v>3785</v>
      </c>
      <c r="I408">
        <v>18925</v>
      </c>
      <c r="J408" s="2">
        <v>3219.12</v>
      </c>
      <c r="K408" s="16">
        <f>Table13[[#This Row],[Profit]]/Table13[[#This Row],[Sales]]</f>
        <v>0.17009881109643329</v>
      </c>
      <c r="L408" s="17" t="str">
        <f t="shared" si="42"/>
        <v>Medium</v>
      </c>
      <c r="M408" s="17" t="str">
        <f t="shared" si="43"/>
        <v>Dec</v>
      </c>
      <c r="N408" s="18">
        <f>YEAR(Table13[[#This Row],[Order_Date]])</f>
        <v>2023</v>
      </c>
      <c r="O408" s="18">
        <f>Table13[[#This Row],[Price]]*0.7</f>
        <v>2649.5</v>
      </c>
      <c r="P408" s="18">
        <f t="shared" si="44"/>
        <v>5677.5</v>
      </c>
      <c r="Q408" s="18">
        <f t="shared" si="45"/>
        <v>0.05</v>
      </c>
      <c r="R408" s="18">
        <f t="shared" si="46"/>
        <v>15705.88</v>
      </c>
      <c r="S408" s="18" t="str">
        <f>IF(Table13[[#This Row],[Quantity]]&lt;=3,"Small",IF(Table13[[#This Row],[Quantity]]&lt;=6,"Medium","Bulk"))</f>
        <v>Medium</v>
      </c>
      <c r="T408" s="18" t="str">
        <f t="shared" si="47"/>
        <v>Normal</v>
      </c>
      <c r="U408" s="18" t="str">
        <f t="shared" si="48"/>
        <v>Medium Value</v>
      </c>
    </row>
    <row r="409" spans="1:21" x14ac:dyDescent="0.3">
      <c r="A409" t="s">
        <v>417</v>
      </c>
      <c r="B409" s="1">
        <v>45227</v>
      </c>
      <c r="C409" t="s">
        <v>1210</v>
      </c>
      <c r="D409" t="s">
        <v>1217</v>
      </c>
      <c r="E409" t="s">
        <v>1222</v>
      </c>
      <c r="F409" t="s">
        <v>1234</v>
      </c>
      <c r="G409" s="6">
        <v>3</v>
      </c>
      <c r="H409">
        <v>2482</v>
      </c>
      <c r="I409">
        <v>7446</v>
      </c>
      <c r="J409" s="2">
        <v>1210.8699999999999</v>
      </c>
      <c r="K409" s="16">
        <f>Table13[[#This Row],[Profit]]/Table13[[#This Row],[Sales]]</f>
        <v>0.16262019876443726</v>
      </c>
      <c r="L409" s="17" t="str">
        <f t="shared" si="42"/>
        <v>Low</v>
      </c>
      <c r="M409" s="17" t="str">
        <f t="shared" si="43"/>
        <v>Oct</v>
      </c>
      <c r="N409" s="18">
        <f>YEAR(Table13[[#This Row],[Order_Date]])</f>
        <v>2023</v>
      </c>
      <c r="O409" s="18">
        <f>Table13[[#This Row],[Price]]*0.7</f>
        <v>1737.3999999999999</v>
      </c>
      <c r="P409" s="18">
        <f t="shared" si="44"/>
        <v>2233.8000000000002</v>
      </c>
      <c r="Q409" s="18">
        <f t="shared" si="45"/>
        <v>0.05</v>
      </c>
      <c r="R409" s="18">
        <f t="shared" si="46"/>
        <v>6235.13</v>
      </c>
      <c r="S409" s="18" t="str">
        <f>IF(Table13[[#This Row],[Quantity]]&lt;=3,"Small",IF(Table13[[#This Row],[Quantity]]&lt;=6,"Medium","Bulk"))</f>
        <v>Small</v>
      </c>
      <c r="T409" s="18" t="str">
        <f t="shared" si="47"/>
        <v>Normal</v>
      </c>
      <c r="U409" s="18" t="str">
        <f t="shared" si="48"/>
        <v>low Value</v>
      </c>
    </row>
    <row r="410" spans="1:21" x14ac:dyDescent="0.3">
      <c r="A410" t="s">
        <v>418</v>
      </c>
      <c r="B410" s="1">
        <v>45205</v>
      </c>
      <c r="C410" t="s">
        <v>1213</v>
      </c>
      <c r="D410" t="s">
        <v>1218</v>
      </c>
      <c r="E410" t="s">
        <v>1222</v>
      </c>
      <c r="F410" t="s">
        <v>1234</v>
      </c>
      <c r="G410" s="6">
        <v>1</v>
      </c>
      <c r="H410">
        <v>1350</v>
      </c>
      <c r="I410">
        <v>1350</v>
      </c>
      <c r="J410" s="2">
        <v>186.76</v>
      </c>
      <c r="K410" s="16">
        <f>Table13[[#This Row],[Profit]]/Table13[[#This Row],[Sales]]</f>
        <v>0.13834074074074074</v>
      </c>
      <c r="L410" s="17" t="str">
        <f t="shared" si="42"/>
        <v>Low</v>
      </c>
      <c r="M410" s="17" t="str">
        <f t="shared" si="43"/>
        <v>Oct</v>
      </c>
      <c r="N410" s="18">
        <f>YEAR(Table13[[#This Row],[Order_Date]])</f>
        <v>2023</v>
      </c>
      <c r="O410" s="18">
        <f>Table13[[#This Row],[Price]]*0.7</f>
        <v>944.99999999999989</v>
      </c>
      <c r="P410" s="18">
        <f t="shared" si="44"/>
        <v>405.00000000000011</v>
      </c>
      <c r="Q410" s="18">
        <f t="shared" si="45"/>
        <v>0.05</v>
      </c>
      <c r="R410" s="18">
        <f t="shared" si="46"/>
        <v>1163.24</v>
      </c>
      <c r="S410" s="18" t="str">
        <f>IF(Table13[[#This Row],[Quantity]]&lt;=3,"Small",IF(Table13[[#This Row],[Quantity]]&lt;=6,"Medium","Bulk"))</f>
        <v>Small</v>
      </c>
      <c r="T410" s="18" t="str">
        <f t="shared" si="47"/>
        <v>Normal</v>
      </c>
      <c r="U410" s="18" t="str">
        <f t="shared" si="48"/>
        <v>low Value</v>
      </c>
    </row>
    <row r="411" spans="1:21" x14ac:dyDescent="0.3">
      <c r="A411" t="s">
        <v>419</v>
      </c>
      <c r="B411" s="1">
        <v>45025</v>
      </c>
      <c r="C411" t="s">
        <v>1212</v>
      </c>
      <c r="D411" t="s">
        <v>1218</v>
      </c>
      <c r="E411" t="s">
        <v>1220</v>
      </c>
      <c r="F411" t="s">
        <v>1224</v>
      </c>
      <c r="G411" s="6">
        <v>5</v>
      </c>
      <c r="H411">
        <v>1330</v>
      </c>
      <c r="I411">
        <v>6650</v>
      </c>
      <c r="J411" s="2">
        <v>1018.04</v>
      </c>
      <c r="K411" s="16">
        <f>Table13[[#This Row],[Profit]]/Table13[[#This Row],[Sales]]</f>
        <v>0.15308872180451127</v>
      </c>
      <c r="L411" s="17" t="str">
        <f t="shared" si="42"/>
        <v>Low</v>
      </c>
      <c r="M411" s="17" t="str">
        <f t="shared" si="43"/>
        <v>Apr</v>
      </c>
      <c r="N411" s="18">
        <f>YEAR(Table13[[#This Row],[Order_Date]])</f>
        <v>2023</v>
      </c>
      <c r="O411" s="18">
        <f>Table13[[#This Row],[Price]]*0.7</f>
        <v>930.99999999999989</v>
      </c>
      <c r="P411" s="18">
        <f t="shared" si="44"/>
        <v>1995.0000000000009</v>
      </c>
      <c r="Q411" s="18">
        <f t="shared" si="45"/>
        <v>0.05</v>
      </c>
      <c r="R411" s="18">
        <f t="shared" si="46"/>
        <v>5631.96</v>
      </c>
      <c r="S411" s="18" t="str">
        <f>IF(Table13[[#This Row],[Quantity]]&lt;=3,"Small",IF(Table13[[#This Row],[Quantity]]&lt;=6,"Medium","Bulk"))</f>
        <v>Medium</v>
      </c>
      <c r="T411" s="18" t="str">
        <f t="shared" si="47"/>
        <v>High Demand</v>
      </c>
      <c r="U411" s="18" t="str">
        <f t="shared" si="48"/>
        <v>low Value</v>
      </c>
    </row>
    <row r="412" spans="1:21" x14ac:dyDescent="0.3">
      <c r="A412" t="s">
        <v>420</v>
      </c>
      <c r="B412" s="1">
        <v>45082</v>
      </c>
      <c r="C412" t="s">
        <v>1213</v>
      </c>
      <c r="D412" t="s">
        <v>1218</v>
      </c>
      <c r="E412" t="s">
        <v>1222</v>
      </c>
      <c r="F412" t="s">
        <v>1230</v>
      </c>
      <c r="G412" s="6">
        <v>2</v>
      </c>
      <c r="H412">
        <v>2023</v>
      </c>
      <c r="I412">
        <v>4046</v>
      </c>
      <c r="J412" s="2">
        <v>889.36</v>
      </c>
      <c r="K412" s="16">
        <f>Table13[[#This Row],[Profit]]/Table13[[#This Row],[Sales]]</f>
        <v>0.21981216015818092</v>
      </c>
      <c r="L412" s="17" t="str">
        <f t="shared" si="42"/>
        <v>Low</v>
      </c>
      <c r="M412" s="17" t="str">
        <f t="shared" si="43"/>
        <v>Jun</v>
      </c>
      <c r="N412" s="18">
        <f>YEAR(Table13[[#This Row],[Order_Date]])</f>
        <v>2023</v>
      </c>
      <c r="O412" s="18">
        <f>Table13[[#This Row],[Price]]*0.7</f>
        <v>1416.1</v>
      </c>
      <c r="P412" s="18">
        <f t="shared" si="44"/>
        <v>1213.8000000000002</v>
      </c>
      <c r="Q412" s="18">
        <f t="shared" si="45"/>
        <v>0.05</v>
      </c>
      <c r="R412" s="18">
        <f t="shared" si="46"/>
        <v>3156.64</v>
      </c>
      <c r="S412" s="18" t="str">
        <f>IF(Table13[[#This Row],[Quantity]]&lt;=3,"Small",IF(Table13[[#This Row],[Quantity]]&lt;=6,"Medium","Bulk"))</f>
        <v>Small</v>
      </c>
      <c r="T412" s="18" t="str">
        <f t="shared" si="47"/>
        <v>Normal</v>
      </c>
      <c r="U412" s="18" t="str">
        <f t="shared" si="48"/>
        <v>low Value</v>
      </c>
    </row>
    <row r="413" spans="1:21" x14ac:dyDescent="0.3">
      <c r="A413" t="s">
        <v>421</v>
      </c>
      <c r="B413" s="1">
        <v>45044</v>
      </c>
      <c r="C413" t="s">
        <v>1213</v>
      </c>
      <c r="D413" t="s">
        <v>1216</v>
      </c>
      <c r="E413" t="s">
        <v>1219</v>
      </c>
      <c r="F413" t="s">
        <v>1238</v>
      </c>
      <c r="G413" s="6">
        <v>8</v>
      </c>
      <c r="H413">
        <v>2241</v>
      </c>
      <c r="I413">
        <v>17928</v>
      </c>
      <c r="J413" s="2">
        <v>2562.0700000000002</v>
      </c>
      <c r="K413" s="16">
        <f>Table13[[#This Row],[Profit]]/Table13[[#This Row],[Sales]]</f>
        <v>0.14290885765283357</v>
      </c>
      <c r="L413" s="17" t="str">
        <f t="shared" si="42"/>
        <v>Medium</v>
      </c>
      <c r="M413" s="17" t="str">
        <f t="shared" si="43"/>
        <v>Apr</v>
      </c>
      <c r="N413" s="18">
        <f>YEAR(Table13[[#This Row],[Order_Date]])</f>
        <v>2023</v>
      </c>
      <c r="O413" s="18">
        <f>Table13[[#This Row],[Price]]*0.7</f>
        <v>1568.6999999999998</v>
      </c>
      <c r="P413" s="18">
        <f t="shared" si="44"/>
        <v>5378.4000000000015</v>
      </c>
      <c r="Q413" s="18">
        <f t="shared" si="45"/>
        <v>0.1</v>
      </c>
      <c r="R413" s="18">
        <f t="shared" si="46"/>
        <v>15365.93</v>
      </c>
      <c r="S413" s="18" t="str">
        <f>IF(Table13[[#This Row],[Quantity]]&lt;=3,"Small",IF(Table13[[#This Row],[Quantity]]&lt;=6,"Medium","Bulk"))</f>
        <v>Bulk</v>
      </c>
      <c r="T413" s="18" t="str">
        <f t="shared" si="47"/>
        <v>Normal</v>
      </c>
      <c r="U413" s="18" t="str">
        <f t="shared" si="48"/>
        <v>Medium Value</v>
      </c>
    </row>
    <row r="414" spans="1:21" x14ac:dyDescent="0.3">
      <c r="A414" t="s">
        <v>422</v>
      </c>
      <c r="B414" s="1">
        <v>44933</v>
      </c>
      <c r="C414" t="s">
        <v>1213</v>
      </c>
      <c r="D414" t="s">
        <v>1215</v>
      </c>
      <c r="E414" t="s">
        <v>1222</v>
      </c>
      <c r="F414" t="s">
        <v>1236</v>
      </c>
      <c r="G414" s="6">
        <v>7</v>
      </c>
      <c r="H414">
        <v>3561</v>
      </c>
      <c r="I414">
        <v>24927</v>
      </c>
      <c r="J414" s="2">
        <v>2701.25</v>
      </c>
      <c r="K414" s="16">
        <f>Table13[[#This Row],[Profit]]/Table13[[#This Row],[Sales]]</f>
        <v>0.10836642997552855</v>
      </c>
      <c r="L414" s="17" t="str">
        <f t="shared" si="42"/>
        <v>High</v>
      </c>
      <c r="M414" s="17" t="str">
        <f t="shared" si="43"/>
        <v>Jan</v>
      </c>
      <c r="N414" s="18">
        <f>YEAR(Table13[[#This Row],[Order_Date]])</f>
        <v>2023</v>
      </c>
      <c r="O414" s="18">
        <f>Table13[[#This Row],[Price]]*0.7</f>
        <v>2492.6999999999998</v>
      </c>
      <c r="P414" s="18">
        <f t="shared" si="44"/>
        <v>7478.1000000000022</v>
      </c>
      <c r="Q414" s="18">
        <f t="shared" si="45"/>
        <v>0.1</v>
      </c>
      <c r="R414" s="18">
        <f t="shared" si="46"/>
        <v>22225.75</v>
      </c>
      <c r="S414" s="18" t="str">
        <f>IF(Table13[[#This Row],[Quantity]]&lt;=3,"Small",IF(Table13[[#This Row],[Quantity]]&lt;=6,"Medium","Bulk"))</f>
        <v>Bulk</v>
      </c>
      <c r="T414" s="18" t="str">
        <f t="shared" si="47"/>
        <v>Normal</v>
      </c>
      <c r="U414" s="18" t="str">
        <f t="shared" si="48"/>
        <v>High Value</v>
      </c>
    </row>
    <row r="415" spans="1:21" x14ac:dyDescent="0.3">
      <c r="A415" t="s">
        <v>423</v>
      </c>
      <c r="B415" s="1">
        <v>45083</v>
      </c>
      <c r="C415" t="s">
        <v>1211</v>
      </c>
      <c r="D415" t="s">
        <v>1216</v>
      </c>
      <c r="E415" t="s">
        <v>1221</v>
      </c>
      <c r="F415" t="s">
        <v>1231</v>
      </c>
      <c r="G415" s="6">
        <v>1</v>
      </c>
      <c r="H415">
        <v>2806</v>
      </c>
      <c r="I415">
        <v>2806</v>
      </c>
      <c r="J415" s="2">
        <v>298.16000000000003</v>
      </c>
      <c r="K415" s="16">
        <f>Table13[[#This Row],[Profit]]/Table13[[#This Row],[Sales]]</f>
        <v>0.10625801853171776</v>
      </c>
      <c r="L415" s="17" t="str">
        <f t="shared" si="42"/>
        <v>Low</v>
      </c>
      <c r="M415" s="17" t="str">
        <f t="shared" si="43"/>
        <v>Jun</v>
      </c>
      <c r="N415" s="18">
        <f>YEAR(Table13[[#This Row],[Order_Date]])</f>
        <v>2023</v>
      </c>
      <c r="O415" s="18">
        <f>Table13[[#This Row],[Price]]*0.7</f>
        <v>1964.1999999999998</v>
      </c>
      <c r="P415" s="18">
        <f t="shared" si="44"/>
        <v>841.80000000000018</v>
      </c>
      <c r="Q415" s="18">
        <f t="shared" si="45"/>
        <v>0.05</v>
      </c>
      <c r="R415" s="18">
        <f t="shared" si="46"/>
        <v>2507.8399999999997</v>
      </c>
      <c r="S415" s="18" t="str">
        <f>IF(Table13[[#This Row],[Quantity]]&lt;=3,"Small",IF(Table13[[#This Row],[Quantity]]&lt;=6,"Medium","Bulk"))</f>
        <v>Small</v>
      </c>
      <c r="T415" s="18" t="str">
        <f t="shared" si="47"/>
        <v>Normal</v>
      </c>
      <c r="U415" s="18" t="str">
        <f t="shared" si="48"/>
        <v>low Value</v>
      </c>
    </row>
    <row r="416" spans="1:21" x14ac:dyDescent="0.3">
      <c r="A416" t="s">
        <v>424</v>
      </c>
      <c r="B416" s="1">
        <v>45052</v>
      </c>
      <c r="C416" t="s">
        <v>1210</v>
      </c>
      <c r="D416" t="s">
        <v>1218</v>
      </c>
      <c r="E416" t="s">
        <v>1220</v>
      </c>
      <c r="F416" t="s">
        <v>1224</v>
      </c>
      <c r="G416" s="6">
        <v>3</v>
      </c>
      <c r="H416">
        <v>3254</v>
      </c>
      <c r="I416">
        <v>9762</v>
      </c>
      <c r="J416" s="2">
        <v>899.97</v>
      </c>
      <c r="K416" s="16">
        <f>Table13[[#This Row],[Profit]]/Table13[[#This Row],[Sales]]</f>
        <v>9.2191149354640442E-2</v>
      </c>
      <c r="L416" s="17" t="str">
        <f t="shared" si="42"/>
        <v>Low</v>
      </c>
      <c r="M416" s="17" t="str">
        <f t="shared" si="43"/>
        <v>May</v>
      </c>
      <c r="N416" s="18">
        <f>YEAR(Table13[[#This Row],[Order_Date]])</f>
        <v>2023</v>
      </c>
      <c r="O416" s="18">
        <f>Table13[[#This Row],[Price]]*0.7</f>
        <v>2277.7999999999997</v>
      </c>
      <c r="P416" s="18">
        <f t="shared" si="44"/>
        <v>2928.6000000000004</v>
      </c>
      <c r="Q416" s="18">
        <f t="shared" si="45"/>
        <v>0.05</v>
      </c>
      <c r="R416" s="18">
        <f t="shared" si="46"/>
        <v>8862.0300000000007</v>
      </c>
      <c r="S416" s="18" t="str">
        <f>IF(Table13[[#This Row],[Quantity]]&lt;=3,"Small",IF(Table13[[#This Row],[Quantity]]&lt;=6,"Medium","Bulk"))</f>
        <v>Small</v>
      </c>
      <c r="T416" s="18" t="str">
        <f t="shared" si="47"/>
        <v>Normal</v>
      </c>
      <c r="U416" s="18" t="str">
        <f t="shared" si="48"/>
        <v>low Value</v>
      </c>
    </row>
    <row r="417" spans="1:21" x14ac:dyDescent="0.3">
      <c r="A417" t="s">
        <v>425</v>
      </c>
      <c r="B417" s="1">
        <v>45130</v>
      </c>
      <c r="C417" t="s">
        <v>1211</v>
      </c>
      <c r="D417" t="s">
        <v>1218</v>
      </c>
      <c r="E417" t="s">
        <v>1222</v>
      </c>
      <c r="F417" t="s">
        <v>1230</v>
      </c>
      <c r="G417" s="6">
        <v>5</v>
      </c>
      <c r="H417">
        <v>1129</v>
      </c>
      <c r="I417">
        <v>5645</v>
      </c>
      <c r="J417" s="2">
        <v>1259.3599999999999</v>
      </c>
      <c r="K417" s="16">
        <f>Table13[[#This Row],[Profit]]/Table13[[#This Row],[Sales]]</f>
        <v>0.22309300265721876</v>
      </c>
      <c r="L417" s="17" t="str">
        <f t="shared" si="42"/>
        <v>Low</v>
      </c>
      <c r="M417" s="17" t="str">
        <f t="shared" si="43"/>
        <v>Jul</v>
      </c>
      <c r="N417" s="18">
        <f>YEAR(Table13[[#This Row],[Order_Date]])</f>
        <v>2023</v>
      </c>
      <c r="O417" s="18">
        <f>Table13[[#This Row],[Price]]*0.7</f>
        <v>790.3</v>
      </c>
      <c r="P417" s="18">
        <f t="shared" si="44"/>
        <v>1693.5</v>
      </c>
      <c r="Q417" s="18">
        <f t="shared" si="45"/>
        <v>0.05</v>
      </c>
      <c r="R417" s="18">
        <f t="shared" si="46"/>
        <v>4385.6400000000003</v>
      </c>
      <c r="S417" s="18" t="str">
        <f>IF(Table13[[#This Row],[Quantity]]&lt;=3,"Small",IF(Table13[[#This Row],[Quantity]]&lt;=6,"Medium","Bulk"))</f>
        <v>Medium</v>
      </c>
      <c r="T417" s="18" t="str">
        <f t="shared" si="47"/>
        <v>Normal</v>
      </c>
      <c r="U417" s="18" t="str">
        <f t="shared" si="48"/>
        <v>low Value</v>
      </c>
    </row>
    <row r="418" spans="1:21" x14ac:dyDescent="0.3">
      <c r="A418" t="s">
        <v>426</v>
      </c>
      <c r="B418" s="1">
        <v>45270</v>
      </c>
      <c r="C418" t="s">
        <v>1210</v>
      </c>
      <c r="D418" t="s">
        <v>1214</v>
      </c>
      <c r="E418" t="s">
        <v>1219</v>
      </c>
      <c r="F418" t="s">
        <v>1223</v>
      </c>
      <c r="G418" s="6">
        <v>1</v>
      </c>
      <c r="H418">
        <v>2100</v>
      </c>
      <c r="I418">
        <v>2100</v>
      </c>
      <c r="J418" s="2">
        <v>515.01</v>
      </c>
      <c r="K418" s="16">
        <f>Table13[[#This Row],[Profit]]/Table13[[#This Row],[Sales]]</f>
        <v>0.24524285714285715</v>
      </c>
      <c r="L418" s="17" t="str">
        <f t="shared" si="42"/>
        <v>Low</v>
      </c>
      <c r="M418" s="17" t="str">
        <f t="shared" si="43"/>
        <v>Dec</v>
      </c>
      <c r="N418" s="18">
        <f>YEAR(Table13[[#This Row],[Order_Date]])</f>
        <v>2023</v>
      </c>
      <c r="O418" s="18">
        <f>Table13[[#This Row],[Price]]*0.7</f>
        <v>1470</v>
      </c>
      <c r="P418" s="18">
        <f t="shared" si="44"/>
        <v>630</v>
      </c>
      <c r="Q418" s="18">
        <f t="shared" si="45"/>
        <v>0.05</v>
      </c>
      <c r="R418" s="18">
        <f t="shared" si="46"/>
        <v>1584.99</v>
      </c>
      <c r="S418" s="18" t="str">
        <f>IF(Table13[[#This Row],[Quantity]]&lt;=3,"Small",IF(Table13[[#This Row],[Quantity]]&lt;=6,"Medium","Bulk"))</f>
        <v>Small</v>
      </c>
      <c r="T418" s="18" t="str">
        <f t="shared" si="47"/>
        <v>Normal</v>
      </c>
      <c r="U418" s="18" t="str">
        <f t="shared" si="48"/>
        <v>low Value</v>
      </c>
    </row>
    <row r="419" spans="1:21" x14ac:dyDescent="0.3">
      <c r="A419" t="s">
        <v>427</v>
      </c>
      <c r="B419" s="1">
        <v>45289</v>
      </c>
      <c r="C419" t="s">
        <v>1213</v>
      </c>
      <c r="D419" t="s">
        <v>1214</v>
      </c>
      <c r="E419" t="s">
        <v>1219</v>
      </c>
      <c r="F419" t="s">
        <v>1232</v>
      </c>
      <c r="G419" s="6">
        <v>4</v>
      </c>
      <c r="H419">
        <v>1378</v>
      </c>
      <c r="I419">
        <v>5512</v>
      </c>
      <c r="J419" s="2">
        <v>636.66999999999996</v>
      </c>
      <c r="K419" s="16">
        <f>Table13[[#This Row],[Profit]]/Table13[[#This Row],[Sales]]</f>
        <v>0.11550616835994194</v>
      </c>
      <c r="L419" s="17" t="str">
        <f t="shared" si="42"/>
        <v>Low</v>
      </c>
      <c r="M419" s="17" t="str">
        <f t="shared" si="43"/>
        <v>Dec</v>
      </c>
      <c r="N419" s="18">
        <f>YEAR(Table13[[#This Row],[Order_Date]])</f>
        <v>2023</v>
      </c>
      <c r="O419" s="18">
        <f>Table13[[#This Row],[Price]]*0.7</f>
        <v>964.59999999999991</v>
      </c>
      <c r="P419" s="18">
        <f t="shared" si="44"/>
        <v>1653.6000000000004</v>
      </c>
      <c r="Q419" s="18">
        <f t="shared" si="45"/>
        <v>0.05</v>
      </c>
      <c r="R419" s="18">
        <f t="shared" si="46"/>
        <v>4875.33</v>
      </c>
      <c r="S419" s="18" t="str">
        <f>IF(Table13[[#This Row],[Quantity]]&lt;=3,"Small",IF(Table13[[#This Row],[Quantity]]&lt;=6,"Medium","Bulk"))</f>
        <v>Medium</v>
      </c>
      <c r="T419" s="18" t="str">
        <f t="shared" si="47"/>
        <v>Normal</v>
      </c>
      <c r="U419" s="18" t="str">
        <f t="shared" si="48"/>
        <v>low Value</v>
      </c>
    </row>
    <row r="420" spans="1:21" x14ac:dyDescent="0.3">
      <c r="A420" t="s">
        <v>428</v>
      </c>
      <c r="B420" s="1">
        <v>45171</v>
      </c>
      <c r="C420" t="s">
        <v>1211</v>
      </c>
      <c r="D420" t="s">
        <v>1217</v>
      </c>
      <c r="E420" t="s">
        <v>1220</v>
      </c>
      <c r="F420" t="s">
        <v>1237</v>
      </c>
      <c r="G420" s="6">
        <v>2</v>
      </c>
      <c r="H420">
        <v>2509</v>
      </c>
      <c r="I420">
        <v>5018</v>
      </c>
      <c r="J420" s="2">
        <v>1046.54</v>
      </c>
      <c r="K420" s="16">
        <f>Table13[[#This Row],[Profit]]/Table13[[#This Row],[Sales]]</f>
        <v>0.20855719410123555</v>
      </c>
      <c r="L420" s="17" t="str">
        <f t="shared" si="42"/>
        <v>Low</v>
      </c>
      <c r="M420" s="17" t="str">
        <f t="shared" si="43"/>
        <v>Sep</v>
      </c>
      <c r="N420" s="18">
        <f>YEAR(Table13[[#This Row],[Order_Date]])</f>
        <v>2023</v>
      </c>
      <c r="O420" s="18">
        <f>Table13[[#This Row],[Price]]*0.7</f>
        <v>1756.3</v>
      </c>
      <c r="P420" s="18">
        <f t="shared" si="44"/>
        <v>1505.4</v>
      </c>
      <c r="Q420" s="18">
        <f t="shared" si="45"/>
        <v>0.05</v>
      </c>
      <c r="R420" s="18">
        <f t="shared" si="46"/>
        <v>3971.46</v>
      </c>
      <c r="S420" s="18" t="str">
        <f>IF(Table13[[#This Row],[Quantity]]&lt;=3,"Small",IF(Table13[[#This Row],[Quantity]]&lt;=6,"Medium","Bulk"))</f>
        <v>Small</v>
      </c>
      <c r="T420" s="18" t="str">
        <f t="shared" si="47"/>
        <v>Normal</v>
      </c>
      <c r="U420" s="18" t="str">
        <f t="shared" si="48"/>
        <v>low Value</v>
      </c>
    </row>
    <row r="421" spans="1:21" x14ac:dyDescent="0.3">
      <c r="A421" t="s">
        <v>429</v>
      </c>
      <c r="B421" s="1">
        <v>45013</v>
      </c>
      <c r="C421" t="s">
        <v>1211</v>
      </c>
      <c r="D421" t="s">
        <v>1216</v>
      </c>
      <c r="E421" t="s">
        <v>1222</v>
      </c>
      <c r="F421" t="s">
        <v>1230</v>
      </c>
      <c r="G421" s="6">
        <v>5</v>
      </c>
      <c r="H421">
        <v>323</v>
      </c>
      <c r="I421">
        <v>1615</v>
      </c>
      <c r="J421" s="2">
        <v>215.4</v>
      </c>
      <c r="K421" s="16">
        <f>Table13[[#This Row],[Profit]]/Table13[[#This Row],[Sales]]</f>
        <v>0.13337461300309597</v>
      </c>
      <c r="L421" s="17" t="str">
        <f t="shared" si="42"/>
        <v>Low</v>
      </c>
      <c r="M421" s="17" t="str">
        <f t="shared" si="43"/>
        <v>Mar</v>
      </c>
      <c r="N421" s="18">
        <f>YEAR(Table13[[#This Row],[Order_Date]])</f>
        <v>2023</v>
      </c>
      <c r="O421" s="18">
        <f>Table13[[#This Row],[Price]]*0.7</f>
        <v>226.1</v>
      </c>
      <c r="P421" s="18">
        <f t="shared" si="44"/>
        <v>484.5</v>
      </c>
      <c r="Q421" s="18">
        <f t="shared" si="45"/>
        <v>0.05</v>
      </c>
      <c r="R421" s="18">
        <f t="shared" si="46"/>
        <v>1399.6000000000001</v>
      </c>
      <c r="S421" s="18" t="str">
        <f>IF(Table13[[#This Row],[Quantity]]&lt;=3,"Small",IF(Table13[[#This Row],[Quantity]]&lt;=6,"Medium","Bulk"))</f>
        <v>Medium</v>
      </c>
      <c r="T421" s="18" t="str">
        <f t="shared" si="47"/>
        <v>Normal</v>
      </c>
      <c r="U421" s="18" t="str">
        <f t="shared" si="48"/>
        <v>low Value</v>
      </c>
    </row>
    <row r="422" spans="1:21" x14ac:dyDescent="0.3">
      <c r="A422" t="s">
        <v>430</v>
      </c>
      <c r="B422" s="1">
        <v>44985</v>
      </c>
      <c r="C422" t="s">
        <v>1210</v>
      </c>
      <c r="D422" t="s">
        <v>1216</v>
      </c>
      <c r="E422" t="s">
        <v>1220</v>
      </c>
      <c r="F422" t="s">
        <v>1224</v>
      </c>
      <c r="G422" s="6">
        <v>9</v>
      </c>
      <c r="H422">
        <v>2616</v>
      </c>
      <c r="I422">
        <v>23544</v>
      </c>
      <c r="J422" s="2">
        <v>2236.5500000000002</v>
      </c>
      <c r="K422" s="16">
        <f>Table13[[#This Row],[Profit]]/Table13[[#This Row],[Sales]]</f>
        <v>9.4994478423377507E-2</v>
      </c>
      <c r="L422" s="17" t="str">
        <f t="shared" si="42"/>
        <v>High</v>
      </c>
      <c r="M422" s="17" t="str">
        <f t="shared" si="43"/>
        <v>Feb</v>
      </c>
      <c r="N422" s="18">
        <f>YEAR(Table13[[#This Row],[Order_Date]])</f>
        <v>2023</v>
      </c>
      <c r="O422" s="18">
        <f>Table13[[#This Row],[Price]]*0.7</f>
        <v>1831.1999999999998</v>
      </c>
      <c r="P422" s="18">
        <f t="shared" si="44"/>
        <v>7063.2000000000007</v>
      </c>
      <c r="Q422" s="18">
        <f t="shared" si="45"/>
        <v>0.1</v>
      </c>
      <c r="R422" s="18">
        <f t="shared" si="46"/>
        <v>21307.45</v>
      </c>
      <c r="S422" s="18" t="str">
        <f>IF(Table13[[#This Row],[Quantity]]&lt;=3,"Small",IF(Table13[[#This Row],[Quantity]]&lt;=6,"Medium","Bulk"))</f>
        <v>Bulk</v>
      </c>
      <c r="T422" s="18" t="str">
        <f t="shared" si="47"/>
        <v>Normal</v>
      </c>
      <c r="U422" s="18" t="str">
        <f t="shared" si="48"/>
        <v>High Value</v>
      </c>
    </row>
    <row r="423" spans="1:21" x14ac:dyDescent="0.3">
      <c r="A423" t="s">
        <v>431</v>
      </c>
      <c r="B423" s="1">
        <v>45231</v>
      </c>
      <c r="C423" t="s">
        <v>1212</v>
      </c>
      <c r="D423" t="s">
        <v>1217</v>
      </c>
      <c r="E423" t="s">
        <v>1222</v>
      </c>
      <c r="F423" t="s">
        <v>1234</v>
      </c>
      <c r="G423" s="6">
        <v>6</v>
      </c>
      <c r="H423">
        <v>4363</v>
      </c>
      <c r="I423">
        <v>26178</v>
      </c>
      <c r="J423" s="2">
        <v>6455.98</v>
      </c>
      <c r="K423" s="16">
        <f>Table13[[#This Row],[Profit]]/Table13[[#This Row],[Sales]]</f>
        <v>0.24661853464741385</v>
      </c>
      <c r="L423" s="17" t="str">
        <f t="shared" si="42"/>
        <v>High</v>
      </c>
      <c r="M423" s="17" t="str">
        <f t="shared" si="43"/>
        <v>Nov</v>
      </c>
      <c r="N423" s="18">
        <f>YEAR(Table13[[#This Row],[Order_Date]])</f>
        <v>2023</v>
      </c>
      <c r="O423" s="18">
        <f>Table13[[#This Row],[Price]]*0.7</f>
        <v>3054.1</v>
      </c>
      <c r="P423" s="18">
        <f t="shared" si="44"/>
        <v>7853.4000000000015</v>
      </c>
      <c r="Q423" s="18">
        <f t="shared" si="45"/>
        <v>0.1</v>
      </c>
      <c r="R423" s="18">
        <f t="shared" si="46"/>
        <v>19722.02</v>
      </c>
      <c r="S423" s="18" t="str">
        <f>IF(Table13[[#This Row],[Quantity]]&lt;=3,"Small",IF(Table13[[#This Row],[Quantity]]&lt;=6,"Medium","Bulk"))</f>
        <v>Medium</v>
      </c>
      <c r="T423" s="18" t="str">
        <f t="shared" si="47"/>
        <v>High Demand</v>
      </c>
      <c r="U423" s="18" t="str">
        <f t="shared" si="48"/>
        <v>High Value</v>
      </c>
    </row>
    <row r="424" spans="1:21" x14ac:dyDescent="0.3">
      <c r="A424" t="s">
        <v>432</v>
      </c>
      <c r="B424" s="1">
        <v>44968</v>
      </c>
      <c r="C424" t="s">
        <v>1211</v>
      </c>
      <c r="D424" t="s">
        <v>1215</v>
      </c>
      <c r="E424" t="s">
        <v>1222</v>
      </c>
      <c r="F424" t="s">
        <v>1230</v>
      </c>
      <c r="G424" s="6">
        <v>5</v>
      </c>
      <c r="H424">
        <v>2590</v>
      </c>
      <c r="I424">
        <v>12950</v>
      </c>
      <c r="J424" s="2">
        <v>2005.63</v>
      </c>
      <c r="K424" s="16">
        <f>Table13[[#This Row],[Profit]]/Table13[[#This Row],[Sales]]</f>
        <v>0.15487490347490349</v>
      </c>
      <c r="L424" s="17" t="str">
        <f t="shared" si="42"/>
        <v>Medium</v>
      </c>
      <c r="M424" s="17" t="str">
        <f t="shared" si="43"/>
        <v>Feb</v>
      </c>
      <c r="N424" s="18">
        <f>YEAR(Table13[[#This Row],[Order_Date]])</f>
        <v>2023</v>
      </c>
      <c r="O424" s="18">
        <f>Table13[[#This Row],[Price]]*0.7</f>
        <v>1812.9999999999998</v>
      </c>
      <c r="P424" s="18">
        <f t="shared" si="44"/>
        <v>3885.0000000000018</v>
      </c>
      <c r="Q424" s="18">
        <f t="shared" si="45"/>
        <v>0.05</v>
      </c>
      <c r="R424" s="18">
        <f t="shared" si="46"/>
        <v>10944.369999999999</v>
      </c>
      <c r="S424" s="18" t="str">
        <f>IF(Table13[[#This Row],[Quantity]]&lt;=3,"Small",IF(Table13[[#This Row],[Quantity]]&lt;=6,"Medium","Bulk"))</f>
        <v>Medium</v>
      </c>
      <c r="T424" s="18" t="str">
        <f t="shared" si="47"/>
        <v>Normal</v>
      </c>
      <c r="U424" s="18" t="str">
        <f t="shared" si="48"/>
        <v>Medium Value</v>
      </c>
    </row>
    <row r="425" spans="1:21" x14ac:dyDescent="0.3">
      <c r="A425" t="s">
        <v>433</v>
      </c>
      <c r="B425" s="1">
        <v>44947</v>
      </c>
      <c r="C425" t="s">
        <v>1213</v>
      </c>
      <c r="D425" t="s">
        <v>1214</v>
      </c>
      <c r="E425" t="s">
        <v>1219</v>
      </c>
      <c r="F425" t="s">
        <v>1233</v>
      </c>
      <c r="G425" s="6">
        <v>1</v>
      </c>
      <c r="H425">
        <v>540</v>
      </c>
      <c r="I425">
        <v>540</v>
      </c>
      <c r="J425" s="2">
        <v>74.64</v>
      </c>
      <c r="K425" s="16">
        <f>Table13[[#This Row],[Profit]]/Table13[[#This Row],[Sales]]</f>
        <v>0.13822222222222222</v>
      </c>
      <c r="L425" s="17" t="str">
        <f t="shared" si="42"/>
        <v>Low</v>
      </c>
      <c r="M425" s="17" t="str">
        <f t="shared" si="43"/>
        <v>Jan</v>
      </c>
      <c r="N425" s="18">
        <f>YEAR(Table13[[#This Row],[Order_Date]])</f>
        <v>2023</v>
      </c>
      <c r="O425" s="18">
        <f>Table13[[#This Row],[Price]]*0.7</f>
        <v>378</v>
      </c>
      <c r="P425" s="18">
        <f t="shared" si="44"/>
        <v>162</v>
      </c>
      <c r="Q425" s="18">
        <f t="shared" si="45"/>
        <v>0.05</v>
      </c>
      <c r="R425" s="18">
        <f t="shared" si="46"/>
        <v>465.36</v>
      </c>
      <c r="S425" s="18" t="str">
        <f>IF(Table13[[#This Row],[Quantity]]&lt;=3,"Small",IF(Table13[[#This Row],[Quantity]]&lt;=6,"Medium","Bulk"))</f>
        <v>Small</v>
      </c>
      <c r="T425" s="18" t="str">
        <f t="shared" si="47"/>
        <v>Normal</v>
      </c>
      <c r="U425" s="18" t="str">
        <f t="shared" si="48"/>
        <v>low Value</v>
      </c>
    </row>
    <row r="426" spans="1:21" x14ac:dyDescent="0.3">
      <c r="A426" t="s">
        <v>434</v>
      </c>
      <c r="B426" s="1">
        <v>45206</v>
      </c>
      <c r="C426" t="s">
        <v>1212</v>
      </c>
      <c r="D426" t="s">
        <v>1214</v>
      </c>
      <c r="E426" t="s">
        <v>1219</v>
      </c>
      <c r="F426" t="s">
        <v>1223</v>
      </c>
      <c r="G426" s="6">
        <v>3</v>
      </c>
      <c r="H426">
        <v>3656</v>
      </c>
      <c r="I426">
        <v>10968</v>
      </c>
      <c r="J426" s="2">
        <v>1959.76</v>
      </c>
      <c r="K426" s="16">
        <f>Table13[[#This Row],[Profit]]/Table13[[#This Row],[Sales]]</f>
        <v>0.17867979576951132</v>
      </c>
      <c r="L426" s="17" t="str">
        <f t="shared" si="42"/>
        <v>Medium</v>
      </c>
      <c r="M426" s="17" t="str">
        <f t="shared" si="43"/>
        <v>Oct</v>
      </c>
      <c r="N426" s="18">
        <f>YEAR(Table13[[#This Row],[Order_Date]])</f>
        <v>2023</v>
      </c>
      <c r="O426" s="18">
        <f>Table13[[#This Row],[Price]]*0.7</f>
        <v>2559.1999999999998</v>
      </c>
      <c r="P426" s="18">
        <f t="shared" si="44"/>
        <v>3290.4000000000005</v>
      </c>
      <c r="Q426" s="18">
        <f t="shared" si="45"/>
        <v>0.05</v>
      </c>
      <c r="R426" s="18">
        <f t="shared" si="46"/>
        <v>9008.24</v>
      </c>
      <c r="S426" s="18" t="str">
        <f>IF(Table13[[#This Row],[Quantity]]&lt;=3,"Small",IF(Table13[[#This Row],[Quantity]]&lt;=6,"Medium","Bulk"))</f>
        <v>Small</v>
      </c>
      <c r="T426" s="18" t="str">
        <f t="shared" si="47"/>
        <v>High Demand</v>
      </c>
      <c r="U426" s="18" t="str">
        <f t="shared" si="48"/>
        <v>Medium Value</v>
      </c>
    </row>
    <row r="427" spans="1:21" x14ac:dyDescent="0.3">
      <c r="A427" t="s">
        <v>435</v>
      </c>
      <c r="B427" s="1">
        <v>45199</v>
      </c>
      <c r="C427" t="s">
        <v>1210</v>
      </c>
      <c r="D427" t="s">
        <v>1216</v>
      </c>
      <c r="E427" t="s">
        <v>1222</v>
      </c>
      <c r="F427" t="s">
        <v>1227</v>
      </c>
      <c r="G427" s="6">
        <v>2</v>
      </c>
      <c r="H427">
        <v>2386</v>
      </c>
      <c r="I427">
        <v>4772</v>
      </c>
      <c r="J427" s="2">
        <v>549.94000000000005</v>
      </c>
      <c r="K427" s="16">
        <f>Table13[[#This Row],[Profit]]/Table13[[#This Row],[Sales]]</f>
        <v>0.1152430846605197</v>
      </c>
      <c r="L427" s="17" t="str">
        <f t="shared" si="42"/>
        <v>Low</v>
      </c>
      <c r="M427" s="17" t="str">
        <f t="shared" si="43"/>
        <v>Sep</v>
      </c>
      <c r="N427" s="18">
        <f>YEAR(Table13[[#This Row],[Order_Date]])</f>
        <v>2023</v>
      </c>
      <c r="O427" s="18">
        <f>Table13[[#This Row],[Price]]*0.7</f>
        <v>1670.1999999999998</v>
      </c>
      <c r="P427" s="18">
        <f t="shared" si="44"/>
        <v>1431.6000000000004</v>
      </c>
      <c r="Q427" s="18">
        <f t="shared" si="45"/>
        <v>0.05</v>
      </c>
      <c r="R427" s="18">
        <f t="shared" si="46"/>
        <v>4222.0600000000004</v>
      </c>
      <c r="S427" s="18" t="str">
        <f>IF(Table13[[#This Row],[Quantity]]&lt;=3,"Small",IF(Table13[[#This Row],[Quantity]]&lt;=6,"Medium","Bulk"))</f>
        <v>Small</v>
      </c>
      <c r="T427" s="18" t="str">
        <f t="shared" si="47"/>
        <v>Normal</v>
      </c>
      <c r="U427" s="18" t="str">
        <f t="shared" si="48"/>
        <v>low Value</v>
      </c>
    </row>
    <row r="428" spans="1:21" x14ac:dyDescent="0.3">
      <c r="A428" t="s">
        <v>436</v>
      </c>
      <c r="B428" s="1">
        <v>45091</v>
      </c>
      <c r="C428" t="s">
        <v>1210</v>
      </c>
      <c r="D428" t="s">
        <v>1215</v>
      </c>
      <c r="E428" t="s">
        <v>1220</v>
      </c>
      <c r="F428" t="s">
        <v>1224</v>
      </c>
      <c r="G428" s="6">
        <v>6</v>
      </c>
      <c r="H428">
        <v>3935</v>
      </c>
      <c r="I428">
        <v>23610</v>
      </c>
      <c r="J428" s="2">
        <v>4379.9399999999996</v>
      </c>
      <c r="K428" s="16">
        <f>Table13[[#This Row],[Profit]]/Table13[[#This Row],[Sales]]</f>
        <v>0.1855120711562897</v>
      </c>
      <c r="L428" s="17" t="str">
        <f t="shared" si="42"/>
        <v>High</v>
      </c>
      <c r="M428" s="17" t="str">
        <f t="shared" si="43"/>
        <v>Jun</v>
      </c>
      <c r="N428" s="18">
        <f>YEAR(Table13[[#This Row],[Order_Date]])</f>
        <v>2023</v>
      </c>
      <c r="O428" s="18">
        <f>Table13[[#This Row],[Price]]*0.7</f>
        <v>2754.5</v>
      </c>
      <c r="P428" s="18">
        <f t="shared" si="44"/>
        <v>7083</v>
      </c>
      <c r="Q428" s="18">
        <f t="shared" si="45"/>
        <v>0.1</v>
      </c>
      <c r="R428" s="18">
        <f t="shared" si="46"/>
        <v>19230.060000000001</v>
      </c>
      <c r="S428" s="18" t="str">
        <f>IF(Table13[[#This Row],[Quantity]]&lt;=3,"Small",IF(Table13[[#This Row],[Quantity]]&lt;=6,"Medium","Bulk"))</f>
        <v>Medium</v>
      </c>
      <c r="T428" s="18" t="str">
        <f t="shared" si="47"/>
        <v>Normal</v>
      </c>
      <c r="U428" s="18" t="str">
        <f t="shared" si="48"/>
        <v>High Value</v>
      </c>
    </row>
    <row r="429" spans="1:21" x14ac:dyDescent="0.3">
      <c r="A429" t="s">
        <v>437</v>
      </c>
      <c r="B429" s="1">
        <v>45073</v>
      </c>
      <c r="C429" t="s">
        <v>1210</v>
      </c>
      <c r="D429" t="s">
        <v>1214</v>
      </c>
      <c r="E429" t="s">
        <v>1221</v>
      </c>
      <c r="F429" t="s">
        <v>1226</v>
      </c>
      <c r="G429" s="6">
        <v>5</v>
      </c>
      <c r="H429">
        <v>856</v>
      </c>
      <c r="I429">
        <v>4280</v>
      </c>
      <c r="J429" s="2">
        <v>859.64</v>
      </c>
      <c r="K429" s="16">
        <f>Table13[[#This Row],[Profit]]/Table13[[#This Row],[Sales]]</f>
        <v>0.20085046728971961</v>
      </c>
      <c r="L429" s="17" t="str">
        <f t="shared" si="42"/>
        <v>Low</v>
      </c>
      <c r="M429" s="17" t="str">
        <f t="shared" si="43"/>
        <v>May</v>
      </c>
      <c r="N429" s="18">
        <f>YEAR(Table13[[#This Row],[Order_Date]])</f>
        <v>2023</v>
      </c>
      <c r="O429" s="18">
        <f>Table13[[#This Row],[Price]]*0.7</f>
        <v>599.19999999999993</v>
      </c>
      <c r="P429" s="18">
        <f t="shared" si="44"/>
        <v>1284.0000000000005</v>
      </c>
      <c r="Q429" s="18">
        <f t="shared" si="45"/>
        <v>0.05</v>
      </c>
      <c r="R429" s="18">
        <f t="shared" si="46"/>
        <v>3420.36</v>
      </c>
      <c r="S429" s="18" t="str">
        <f>IF(Table13[[#This Row],[Quantity]]&lt;=3,"Small",IF(Table13[[#This Row],[Quantity]]&lt;=6,"Medium","Bulk"))</f>
        <v>Medium</v>
      </c>
      <c r="T429" s="18" t="str">
        <f t="shared" si="47"/>
        <v>Normal</v>
      </c>
      <c r="U429" s="18" t="str">
        <f t="shared" si="48"/>
        <v>low Value</v>
      </c>
    </row>
    <row r="430" spans="1:21" x14ac:dyDescent="0.3">
      <c r="A430" t="s">
        <v>438</v>
      </c>
      <c r="B430" s="1">
        <v>45172</v>
      </c>
      <c r="C430" t="s">
        <v>1212</v>
      </c>
      <c r="D430" t="s">
        <v>1214</v>
      </c>
      <c r="E430" t="s">
        <v>1222</v>
      </c>
      <c r="F430" t="s">
        <v>1230</v>
      </c>
      <c r="G430" s="6">
        <v>6</v>
      </c>
      <c r="H430">
        <v>1908</v>
      </c>
      <c r="I430">
        <v>11448</v>
      </c>
      <c r="J430" s="2">
        <v>1808.09</v>
      </c>
      <c r="K430" s="16">
        <f>Table13[[#This Row],[Profit]]/Table13[[#This Row],[Sales]]</f>
        <v>0.15793937805730257</v>
      </c>
      <c r="L430" s="17" t="str">
        <f t="shared" si="42"/>
        <v>Medium</v>
      </c>
      <c r="M430" s="17" t="str">
        <f t="shared" si="43"/>
        <v>Sep</v>
      </c>
      <c r="N430" s="18">
        <f>YEAR(Table13[[#This Row],[Order_Date]])</f>
        <v>2023</v>
      </c>
      <c r="O430" s="18">
        <f>Table13[[#This Row],[Price]]*0.7</f>
        <v>1335.6</v>
      </c>
      <c r="P430" s="18">
        <f t="shared" si="44"/>
        <v>3434.4000000000005</v>
      </c>
      <c r="Q430" s="18">
        <f t="shared" si="45"/>
        <v>0.1</v>
      </c>
      <c r="R430" s="18">
        <f t="shared" si="46"/>
        <v>9639.91</v>
      </c>
      <c r="S430" s="18" t="str">
        <f>IF(Table13[[#This Row],[Quantity]]&lt;=3,"Small",IF(Table13[[#This Row],[Quantity]]&lt;=6,"Medium","Bulk"))</f>
        <v>Medium</v>
      </c>
      <c r="T430" s="18" t="str">
        <f t="shared" si="47"/>
        <v>High Demand</v>
      </c>
      <c r="U430" s="18" t="str">
        <f t="shared" si="48"/>
        <v>Medium Value</v>
      </c>
    </row>
    <row r="431" spans="1:21" x14ac:dyDescent="0.3">
      <c r="A431" t="s">
        <v>439</v>
      </c>
      <c r="B431" s="1">
        <v>44972</v>
      </c>
      <c r="C431" t="s">
        <v>1211</v>
      </c>
      <c r="D431" t="s">
        <v>1216</v>
      </c>
      <c r="E431" t="s">
        <v>1219</v>
      </c>
      <c r="F431" t="s">
        <v>1223</v>
      </c>
      <c r="G431" s="6">
        <v>5</v>
      </c>
      <c r="H431">
        <v>1176</v>
      </c>
      <c r="I431">
        <v>5880</v>
      </c>
      <c r="J431" s="2">
        <v>1150.8800000000001</v>
      </c>
      <c r="K431" s="16">
        <f>Table13[[#This Row],[Profit]]/Table13[[#This Row],[Sales]]</f>
        <v>0.19572789115646261</v>
      </c>
      <c r="L431" s="17" t="str">
        <f t="shared" si="42"/>
        <v>Low</v>
      </c>
      <c r="M431" s="17" t="str">
        <f t="shared" si="43"/>
        <v>Feb</v>
      </c>
      <c r="N431" s="18">
        <f>YEAR(Table13[[#This Row],[Order_Date]])</f>
        <v>2023</v>
      </c>
      <c r="O431" s="18">
        <f>Table13[[#This Row],[Price]]*0.7</f>
        <v>823.19999999999993</v>
      </c>
      <c r="P431" s="18">
        <f t="shared" si="44"/>
        <v>1764</v>
      </c>
      <c r="Q431" s="18">
        <f t="shared" si="45"/>
        <v>0.05</v>
      </c>
      <c r="R431" s="18">
        <f t="shared" si="46"/>
        <v>4729.12</v>
      </c>
      <c r="S431" s="18" t="str">
        <f>IF(Table13[[#This Row],[Quantity]]&lt;=3,"Small",IF(Table13[[#This Row],[Quantity]]&lt;=6,"Medium","Bulk"))</f>
        <v>Medium</v>
      </c>
      <c r="T431" s="18" t="str">
        <f t="shared" si="47"/>
        <v>Normal</v>
      </c>
      <c r="U431" s="18" t="str">
        <f t="shared" si="48"/>
        <v>low Value</v>
      </c>
    </row>
    <row r="432" spans="1:21" x14ac:dyDescent="0.3">
      <c r="A432" t="s">
        <v>440</v>
      </c>
      <c r="B432" s="1">
        <v>45034</v>
      </c>
      <c r="C432" t="s">
        <v>1213</v>
      </c>
      <c r="D432" t="s">
        <v>1216</v>
      </c>
      <c r="E432" t="s">
        <v>1220</v>
      </c>
      <c r="F432" t="s">
        <v>1228</v>
      </c>
      <c r="G432" s="6">
        <v>3</v>
      </c>
      <c r="H432">
        <v>2394</v>
      </c>
      <c r="I432">
        <v>7182</v>
      </c>
      <c r="J432" s="2">
        <v>1200.78</v>
      </c>
      <c r="K432" s="16">
        <f>Table13[[#This Row],[Profit]]/Table13[[#This Row],[Sales]]</f>
        <v>0.16719298245614034</v>
      </c>
      <c r="L432" s="17" t="str">
        <f t="shared" si="42"/>
        <v>Low</v>
      </c>
      <c r="M432" s="17" t="str">
        <f t="shared" si="43"/>
        <v>Apr</v>
      </c>
      <c r="N432" s="18">
        <f>YEAR(Table13[[#This Row],[Order_Date]])</f>
        <v>2023</v>
      </c>
      <c r="O432" s="18">
        <f>Table13[[#This Row],[Price]]*0.7</f>
        <v>1675.8</v>
      </c>
      <c r="P432" s="18">
        <f t="shared" si="44"/>
        <v>2154.6000000000004</v>
      </c>
      <c r="Q432" s="18">
        <f t="shared" si="45"/>
        <v>0.05</v>
      </c>
      <c r="R432" s="18">
        <f t="shared" si="46"/>
        <v>5981.22</v>
      </c>
      <c r="S432" s="18" t="str">
        <f>IF(Table13[[#This Row],[Quantity]]&lt;=3,"Small",IF(Table13[[#This Row],[Quantity]]&lt;=6,"Medium","Bulk"))</f>
        <v>Small</v>
      </c>
      <c r="T432" s="18" t="str">
        <f t="shared" si="47"/>
        <v>Normal</v>
      </c>
      <c r="U432" s="18" t="str">
        <f t="shared" si="48"/>
        <v>low Value</v>
      </c>
    </row>
    <row r="433" spans="1:21" x14ac:dyDescent="0.3">
      <c r="A433" t="s">
        <v>441</v>
      </c>
      <c r="B433" s="1">
        <v>45142</v>
      </c>
      <c r="C433" t="s">
        <v>1210</v>
      </c>
      <c r="D433" t="s">
        <v>1214</v>
      </c>
      <c r="E433" t="s">
        <v>1221</v>
      </c>
      <c r="F433" t="s">
        <v>1229</v>
      </c>
      <c r="G433" s="6">
        <v>7</v>
      </c>
      <c r="H433">
        <v>1810</v>
      </c>
      <c r="I433">
        <v>12670</v>
      </c>
      <c r="J433" s="2">
        <v>1451.32</v>
      </c>
      <c r="K433" s="16">
        <f>Table13[[#This Row],[Profit]]/Table13[[#This Row],[Sales]]</f>
        <v>0.11454775059194948</v>
      </c>
      <c r="L433" s="17" t="str">
        <f t="shared" si="42"/>
        <v>Medium</v>
      </c>
      <c r="M433" s="17" t="str">
        <f t="shared" si="43"/>
        <v>Aug</v>
      </c>
      <c r="N433" s="18">
        <f>YEAR(Table13[[#This Row],[Order_Date]])</f>
        <v>2023</v>
      </c>
      <c r="O433" s="18">
        <f>Table13[[#This Row],[Price]]*0.7</f>
        <v>1267</v>
      </c>
      <c r="P433" s="18">
        <f t="shared" si="44"/>
        <v>3801</v>
      </c>
      <c r="Q433" s="18">
        <f t="shared" si="45"/>
        <v>0.1</v>
      </c>
      <c r="R433" s="18">
        <f t="shared" si="46"/>
        <v>11218.68</v>
      </c>
      <c r="S433" s="18" t="str">
        <f>IF(Table13[[#This Row],[Quantity]]&lt;=3,"Small",IF(Table13[[#This Row],[Quantity]]&lt;=6,"Medium","Bulk"))</f>
        <v>Bulk</v>
      </c>
      <c r="T433" s="18" t="str">
        <f t="shared" si="47"/>
        <v>Normal</v>
      </c>
      <c r="U433" s="18" t="str">
        <f t="shared" si="48"/>
        <v>Medium Value</v>
      </c>
    </row>
    <row r="434" spans="1:21" x14ac:dyDescent="0.3">
      <c r="A434" t="s">
        <v>442</v>
      </c>
      <c r="B434" s="1">
        <v>45145</v>
      </c>
      <c r="C434" t="s">
        <v>1211</v>
      </c>
      <c r="D434" t="s">
        <v>1216</v>
      </c>
      <c r="E434" t="s">
        <v>1219</v>
      </c>
      <c r="F434" t="s">
        <v>1223</v>
      </c>
      <c r="G434" s="6">
        <v>9</v>
      </c>
      <c r="H434">
        <v>4025</v>
      </c>
      <c r="I434">
        <v>36225</v>
      </c>
      <c r="J434" s="2">
        <v>7367.14</v>
      </c>
      <c r="K434" s="16">
        <f>Table13[[#This Row],[Profit]]/Table13[[#This Row],[Sales]]</f>
        <v>0.20337170462387855</v>
      </c>
      <c r="L434" s="17" t="str">
        <f t="shared" si="42"/>
        <v>High</v>
      </c>
      <c r="M434" s="17" t="str">
        <f t="shared" si="43"/>
        <v>Aug</v>
      </c>
      <c r="N434" s="18">
        <f>YEAR(Table13[[#This Row],[Order_Date]])</f>
        <v>2023</v>
      </c>
      <c r="O434" s="18">
        <f>Table13[[#This Row],[Price]]*0.7</f>
        <v>2817.5</v>
      </c>
      <c r="P434" s="18">
        <f t="shared" si="44"/>
        <v>10867.5</v>
      </c>
      <c r="Q434" s="18">
        <f t="shared" si="45"/>
        <v>0.1</v>
      </c>
      <c r="R434" s="18">
        <f t="shared" si="46"/>
        <v>28857.86</v>
      </c>
      <c r="S434" s="18" t="str">
        <f>IF(Table13[[#This Row],[Quantity]]&lt;=3,"Small",IF(Table13[[#This Row],[Quantity]]&lt;=6,"Medium","Bulk"))</f>
        <v>Bulk</v>
      </c>
      <c r="T434" s="18" t="str">
        <f t="shared" si="47"/>
        <v>Normal</v>
      </c>
      <c r="U434" s="18" t="str">
        <f t="shared" si="48"/>
        <v>High Value</v>
      </c>
    </row>
    <row r="435" spans="1:21" x14ac:dyDescent="0.3">
      <c r="A435" t="s">
        <v>443</v>
      </c>
      <c r="B435" s="1">
        <v>44974</v>
      </c>
      <c r="C435" t="s">
        <v>1210</v>
      </c>
      <c r="D435" t="s">
        <v>1218</v>
      </c>
      <c r="E435" t="s">
        <v>1219</v>
      </c>
      <c r="F435" t="s">
        <v>1238</v>
      </c>
      <c r="G435" s="6">
        <v>4</v>
      </c>
      <c r="H435">
        <v>1102</v>
      </c>
      <c r="I435">
        <v>4408</v>
      </c>
      <c r="J435" s="2">
        <v>1069.06</v>
      </c>
      <c r="K435" s="16">
        <f>Table13[[#This Row],[Profit]]/Table13[[#This Row],[Sales]]</f>
        <v>0.24252722323049</v>
      </c>
      <c r="L435" s="17" t="str">
        <f t="shared" si="42"/>
        <v>Low</v>
      </c>
      <c r="M435" s="17" t="str">
        <f t="shared" si="43"/>
        <v>Feb</v>
      </c>
      <c r="N435" s="18">
        <f>YEAR(Table13[[#This Row],[Order_Date]])</f>
        <v>2023</v>
      </c>
      <c r="O435" s="18">
        <f>Table13[[#This Row],[Price]]*0.7</f>
        <v>771.4</v>
      </c>
      <c r="P435" s="18">
        <f t="shared" si="44"/>
        <v>1322.4</v>
      </c>
      <c r="Q435" s="18">
        <f t="shared" si="45"/>
        <v>0.05</v>
      </c>
      <c r="R435" s="18">
        <f t="shared" si="46"/>
        <v>3338.94</v>
      </c>
      <c r="S435" s="18" t="str">
        <f>IF(Table13[[#This Row],[Quantity]]&lt;=3,"Small",IF(Table13[[#This Row],[Quantity]]&lt;=6,"Medium","Bulk"))</f>
        <v>Medium</v>
      </c>
      <c r="T435" s="18" t="str">
        <f t="shared" si="47"/>
        <v>Normal</v>
      </c>
      <c r="U435" s="18" t="str">
        <f t="shared" si="48"/>
        <v>low Value</v>
      </c>
    </row>
    <row r="436" spans="1:21" x14ac:dyDescent="0.3">
      <c r="A436" t="s">
        <v>444</v>
      </c>
      <c r="B436" s="1">
        <v>45278</v>
      </c>
      <c r="C436" t="s">
        <v>1213</v>
      </c>
      <c r="D436" t="s">
        <v>1214</v>
      </c>
      <c r="E436" t="s">
        <v>1221</v>
      </c>
      <c r="F436" t="s">
        <v>1226</v>
      </c>
      <c r="G436" s="6">
        <v>1</v>
      </c>
      <c r="H436">
        <v>2584</v>
      </c>
      <c r="I436">
        <v>2584</v>
      </c>
      <c r="J436" s="2">
        <v>578.78</v>
      </c>
      <c r="K436" s="16">
        <f>Table13[[#This Row],[Profit]]/Table13[[#This Row],[Sales]]</f>
        <v>0.22398606811145511</v>
      </c>
      <c r="L436" s="17" t="str">
        <f t="shared" si="42"/>
        <v>Low</v>
      </c>
      <c r="M436" s="17" t="str">
        <f t="shared" si="43"/>
        <v>Dec</v>
      </c>
      <c r="N436" s="18">
        <f>YEAR(Table13[[#This Row],[Order_Date]])</f>
        <v>2023</v>
      </c>
      <c r="O436" s="18">
        <f>Table13[[#This Row],[Price]]*0.7</f>
        <v>1808.8</v>
      </c>
      <c r="P436" s="18">
        <f t="shared" si="44"/>
        <v>775.2</v>
      </c>
      <c r="Q436" s="18">
        <f t="shared" si="45"/>
        <v>0.05</v>
      </c>
      <c r="R436" s="18">
        <f t="shared" si="46"/>
        <v>2005.2199999999998</v>
      </c>
      <c r="S436" s="18" t="str">
        <f>IF(Table13[[#This Row],[Quantity]]&lt;=3,"Small",IF(Table13[[#This Row],[Quantity]]&lt;=6,"Medium","Bulk"))</f>
        <v>Small</v>
      </c>
      <c r="T436" s="18" t="str">
        <f t="shared" si="47"/>
        <v>Normal</v>
      </c>
      <c r="U436" s="18" t="str">
        <f t="shared" si="48"/>
        <v>low Value</v>
      </c>
    </row>
    <row r="437" spans="1:21" x14ac:dyDescent="0.3">
      <c r="A437" t="s">
        <v>445</v>
      </c>
      <c r="B437" s="1">
        <v>45115</v>
      </c>
      <c r="C437" t="s">
        <v>1210</v>
      </c>
      <c r="D437" t="s">
        <v>1217</v>
      </c>
      <c r="E437" t="s">
        <v>1219</v>
      </c>
      <c r="F437" t="s">
        <v>1233</v>
      </c>
      <c r="G437" s="6">
        <v>3</v>
      </c>
      <c r="H437">
        <v>2690</v>
      </c>
      <c r="I437">
        <v>8070</v>
      </c>
      <c r="J437" s="2">
        <v>687.84</v>
      </c>
      <c r="K437" s="16">
        <f>Table13[[#This Row],[Profit]]/Table13[[#This Row],[Sales]]</f>
        <v>8.5234200743494429E-2</v>
      </c>
      <c r="L437" s="17" t="str">
        <f t="shared" si="42"/>
        <v>Low</v>
      </c>
      <c r="M437" s="17" t="str">
        <f t="shared" si="43"/>
        <v>Jul</v>
      </c>
      <c r="N437" s="18">
        <f>YEAR(Table13[[#This Row],[Order_Date]])</f>
        <v>2023</v>
      </c>
      <c r="O437" s="18">
        <f>Table13[[#This Row],[Price]]*0.7</f>
        <v>1882.9999999999998</v>
      </c>
      <c r="P437" s="18">
        <f t="shared" si="44"/>
        <v>2421.0000000000009</v>
      </c>
      <c r="Q437" s="18">
        <f t="shared" si="45"/>
        <v>0.05</v>
      </c>
      <c r="R437" s="18">
        <f t="shared" si="46"/>
        <v>7382.16</v>
      </c>
      <c r="S437" s="18" t="str">
        <f>IF(Table13[[#This Row],[Quantity]]&lt;=3,"Small",IF(Table13[[#This Row],[Quantity]]&lt;=6,"Medium","Bulk"))</f>
        <v>Small</v>
      </c>
      <c r="T437" s="18" t="str">
        <f t="shared" si="47"/>
        <v>Normal</v>
      </c>
      <c r="U437" s="18" t="str">
        <f t="shared" si="48"/>
        <v>low Value</v>
      </c>
    </row>
    <row r="438" spans="1:21" x14ac:dyDescent="0.3">
      <c r="A438" t="s">
        <v>446</v>
      </c>
      <c r="B438" s="1">
        <v>45224</v>
      </c>
      <c r="C438" t="s">
        <v>1213</v>
      </c>
      <c r="D438" t="s">
        <v>1215</v>
      </c>
      <c r="E438" t="s">
        <v>1221</v>
      </c>
      <c r="F438" t="s">
        <v>1229</v>
      </c>
      <c r="G438" s="6">
        <v>6</v>
      </c>
      <c r="H438">
        <v>4978</v>
      </c>
      <c r="I438">
        <v>29868</v>
      </c>
      <c r="J438" s="2">
        <v>6817.32</v>
      </c>
      <c r="K438" s="16">
        <f>Table13[[#This Row],[Profit]]/Table13[[#This Row],[Sales]]</f>
        <v>0.22824829248694253</v>
      </c>
      <c r="L438" s="17" t="str">
        <f t="shared" si="42"/>
        <v>High</v>
      </c>
      <c r="M438" s="17" t="str">
        <f t="shared" si="43"/>
        <v>Oct</v>
      </c>
      <c r="N438" s="18">
        <f>YEAR(Table13[[#This Row],[Order_Date]])</f>
        <v>2023</v>
      </c>
      <c r="O438" s="18">
        <f>Table13[[#This Row],[Price]]*0.7</f>
        <v>3484.6</v>
      </c>
      <c r="P438" s="18">
        <f t="shared" si="44"/>
        <v>8960.4000000000015</v>
      </c>
      <c r="Q438" s="18">
        <f t="shared" si="45"/>
        <v>0.1</v>
      </c>
      <c r="R438" s="18">
        <f t="shared" si="46"/>
        <v>23050.68</v>
      </c>
      <c r="S438" s="18" t="str">
        <f>IF(Table13[[#This Row],[Quantity]]&lt;=3,"Small",IF(Table13[[#This Row],[Quantity]]&lt;=6,"Medium","Bulk"))</f>
        <v>Medium</v>
      </c>
      <c r="T438" s="18" t="str">
        <f t="shared" si="47"/>
        <v>Normal</v>
      </c>
      <c r="U438" s="18" t="str">
        <f t="shared" si="48"/>
        <v>High Value</v>
      </c>
    </row>
    <row r="439" spans="1:21" x14ac:dyDescent="0.3">
      <c r="A439" t="s">
        <v>447</v>
      </c>
      <c r="B439" s="1">
        <v>45110</v>
      </c>
      <c r="C439" t="s">
        <v>1211</v>
      </c>
      <c r="D439" t="s">
        <v>1218</v>
      </c>
      <c r="E439" t="s">
        <v>1221</v>
      </c>
      <c r="F439" t="s">
        <v>1226</v>
      </c>
      <c r="G439" s="6">
        <v>2</v>
      </c>
      <c r="H439">
        <v>3952</v>
      </c>
      <c r="I439">
        <v>7904</v>
      </c>
      <c r="J439" s="2">
        <v>1006.88</v>
      </c>
      <c r="K439" s="16">
        <f>Table13[[#This Row],[Profit]]/Table13[[#This Row],[Sales]]</f>
        <v>0.12738866396761134</v>
      </c>
      <c r="L439" s="17" t="str">
        <f t="shared" si="42"/>
        <v>Low</v>
      </c>
      <c r="M439" s="17" t="str">
        <f t="shared" si="43"/>
        <v>Jul</v>
      </c>
      <c r="N439" s="18">
        <f>YEAR(Table13[[#This Row],[Order_Date]])</f>
        <v>2023</v>
      </c>
      <c r="O439" s="18">
        <f>Table13[[#This Row],[Price]]*0.7</f>
        <v>2766.3999999999996</v>
      </c>
      <c r="P439" s="18">
        <f t="shared" si="44"/>
        <v>2371.2000000000007</v>
      </c>
      <c r="Q439" s="18">
        <f t="shared" si="45"/>
        <v>0.05</v>
      </c>
      <c r="R439" s="18">
        <f t="shared" si="46"/>
        <v>6897.12</v>
      </c>
      <c r="S439" s="18" t="str">
        <f>IF(Table13[[#This Row],[Quantity]]&lt;=3,"Small",IF(Table13[[#This Row],[Quantity]]&lt;=6,"Medium","Bulk"))</f>
        <v>Small</v>
      </c>
      <c r="T439" s="18" t="str">
        <f t="shared" si="47"/>
        <v>Normal</v>
      </c>
      <c r="U439" s="18" t="str">
        <f t="shared" si="48"/>
        <v>low Value</v>
      </c>
    </row>
    <row r="440" spans="1:21" x14ac:dyDescent="0.3">
      <c r="A440" t="s">
        <v>448</v>
      </c>
      <c r="B440" s="1">
        <v>45208</v>
      </c>
      <c r="C440" t="s">
        <v>1212</v>
      </c>
      <c r="D440" t="s">
        <v>1214</v>
      </c>
      <c r="E440" t="s">
        <v>1220</v>
      </c>
      <c r="F440" t="s">
        <v>1237</v>
      </c>
      <c r="G440" s="6">
        <v>3</v>
      </c>
      <c r="H440">
        <v>4314</v>
      </c>
      <c r="I440">
        <v>12942</v>
      </c>
      <c r="J440" s="2">
        <v>1476.82</v>
      </c>
      <c r="K440" s="16">
        <f>Table13[[#This Row],[Profit]]/Table13[[#This Row],[Sales]]</f>
        <v>0.11411064750424972</v>
      </c>
      <c r="L440" s="17" t="str">
        <f t="shared" si="42"/>
        <v>Medium</v>
      </c>
      <c r="M440" s="17" t="str">
        <f t="shared" si="43"/>
        <v>Oct</v>
      </c>
      <c r="N440" s="18">
        <f>YEAR(Table13[[#This Row],[Order_Date]])</f>
        <v>2023</v>
      </c>
      <c r="O440" s="18">
        <f>Table13[[#This Row],[Price]]*0.7</f>
        <v>3019.7999999999997</v>
      </c>
      <c r="P440" s="18">
        <f t="shared" si="44"/>
        <v>3882.6000000000004</v>
      </c>
      <c r="Q440" s="18">
        <f t="shared" si="45"/>
        <v>0.05</v>
      </c>
      <c r="R440" s="18">
        <f t="shared" si="46"/>
        <v>11465.18</v>
      </c>
      <c r="S440" s="18" t="str">
        <f>IF(Table13[[#This Row],[Quantity]]&lt;=3,"Small",IF(Table13[[#This Row],[Quantity]]&lt;=6,"Medium","Bulk"))</f>
        <v>Small</v>
      </c>
      <c r="T440" s="18" t="str">
        <f t="shared" si="47"/>
        <v>High Demand</v>
      </c>
      <c r="U440" s="18" t="str">
        <f t="shared" si="48"/>
        <v>Medium Value</v>
      </c>
    </row>
    <row r="441" spans="1:21" x14ac:dyDescent="0.3">
      <c r="A441" t="s">
        <v>449</v>
      </c>
      <c r="B441" s="1">
        <v>44963</v>
      </c>
      <c r="C441" t="s">
        <v>1212</v>
      </c>
      <c r="D441" t="s">
        <v>1215</v>
      </c>
      <c r="E441" t="s">
        <v>1222</v>
      </c>
      <c r="F441" t="s">
        <v>1236</v>
      </c>
      <c r="G441" s="6">
        <v>9</v>
      </c>
      <c r="H441">
        <v>1772</v>
      </c>
      <c r="I441">
        <v>15948</v>
      </c>
      <c r="J441" s="2">
        <v>3283.39</v>
      </c>
      <c r="K441" s="16">
        <f>Table13[[#This Row],[Profit]]/Table13[[#This Row],[Sales]]</f>
        <v>0.20588098821168799</v>
      </c>
      <c r="L441" s="17" t="str">
        <f t="shared" si="42"/>
        <v>Medium</v>
      </c>
      <c r="M441" s="17" t="str">
        <f t="shared" si="43"/>
        <v>Feb</v>
      </c>
      <c r="N441" s="18">
        <f>YEAR(Table13[[#This Row],[Order_Date]])</f>
        <v>2023</v>
      </c>
      <c r="O441" s="18">
        <f>Table13[[#This Row],[Price]]*0.7</f>
        <v>1240.3999999999999</v>
      </c>
      <c r="P441" s="18">
        <f t="shared" si="44"/>
        <v>4784.4000000000015</v>
      </c>
      <c r="Q441" s="18">
        <f t="shared" si="45"/>
        <v>0.1</v>
      </c>
      <c r="R441" s="18">
        <f t="shared" si="46"/>
        <v>12664.61</v>
      </c>
      <c r="S441" s="18" t="str">
        <f>IF(Table13[[#This Row],[Quantity]]&lt;=3,"Small",IF(Table13[[#This Row],[Quantity]]&lt;=6,"Medium","Bulk"))</f>
        <v>Bulk</v>
      </c>
      <c r="T441" s="18" t="str">
        <f t="shared" si="47"/>
        <v>High Demand</v>
      </c>
      <c r="U441" s="18" t="str">
        <f t="shared" si="48"/>
        <v>Medium Value</v>
      </c>
    </row>
    <row r="442" spans="1:21" x14ac:dyDescent="0.3">
      <c r="A442" t="s">
        <v>450</v>
      </c>
      <c r="B442" s="1">
        <v>44961</v>
      </c>
      <c r="C442" t="s">
        <v>1211</v>
      </c>
      <c r="D442" t="s">
        <v>1218</v>
      </c>
      <c r="E442" t="s">
        <v>1221</v>
      </c>
      <c r="F442" t="s">
        <v>1226</v>
      </c>
      <c r="G442" s="6">
        <v>9</v>
      </c>
      <c r="H442">
        <v>3398</v>
      </c>
      <c r="I442">
        <v>30582</v>
      </c>
      <c r="J442" s="2">
        <v>7044.63</v>
      </c>
      <c r="K442" s="16">
        <f>Table13[[#This Row],[Profit]]/Table13[[#This Row],[Sales]]</f>
        <v>0.23035216794192662</v>
      </c>
      <c r="L442" s="17" t="str">
        <f t="shared" si="42"/>
        <v>High</v>
      </c>
      <c r="M442" s="17" t="str">
        <f t="shared" si="43"/>
        <v>Feb</v>
      </c>
      <c r="N442" s="18">
        <f>YEAR(Table13[[#This Row],[Order_Date]])</f>
        <v>2023</v>
      </c>
      <c r="O442" s="18">
        <f>Table13[[#This Row],[Price]]*0.7</f>
        <v>2378.6</v>
      </c>
      <c r="P442" s="18">
        <f t="shared" si="44"/>
        <v>9174.6000000000022</v>
      </c>
      <c r="Q442" s="18">
        <f t="shared" si="45"/>
        <v>0.1</v>
      </c>
      <c r="R442" s="18">
        <f t="shared" si="46"/>
        <v>23537.370000000003</v>
      </c>
      <c r="S442" s="18" t="str">
        <f>IF(Table13[[#This Row],[Quantity]]&lt;=3,"Small",IF(Table13[[#This Row],[Quantity]]&lt;=6,"Medium","Bulk"))</f>
        <v>Bulk</v>
      </c>
      <c r="T442" s="18" t="str">
        <f t="shared" si="47"/>
        <v>Normal</v>
      </c>
      <c r="U442" s="18" t="str">
        <f t="shared" si="48"/>
        <v>High Value</v>
      </c>
    </row>
    <row r="443" spans="1:21" x14ac:dyDescent="0.3">
      <c r="A443" t="s">
        <v>451</v>
      </c>
      <c r="B443" s="1">
        <v>45001</v>
      </c>
      <c r="C443" t="s">
        <v>1210</v>
      </c>
      <c r="D443" t="s">
        <v>1214</v>
      </c>
      <c r="E443" t="s">
        <v>1220</v>
      </c>
      <c r="F443" t="s">
        <v>1225</v>
      </c>
      <c r="G443" s="6">
        <v>4</v>
      </c>
      <c r="H443">
        <v>613</v>
      </c>
      <c r="I443">
        <v>2452</v>
      </c>
      <c r="J443" s="2">
        <v>206.37</v>
      </c>
      <c r="K443" s="16">
        <f>Table13[[#This Row],[Profit]]/Table13[[#This Row],[Sales]]</f>
        <v>8.4163947797716146E-2</v>
      </c>
      <c r="L443" s="17" t="str">
        <f t="shared" si="42"/>
        <v>Low</v>
      </c>
      <c r="M443" s="17" t="str">
        <f t="shared" si="43"/>
        <v>Mar</v>
      </c>
      <c r="N443" s="18">
        <f>YEAR(Table13[[#This Row],[Order_Date]])</f>
        <v>2023</v>
      </c>
      <c r="O443" s="18">
        <f>Table13[[#This Row],[Price]]*0.7</f>
        <v>429.09999999999997</v>
      </c>
      <c r="P443" s="18">
        <f t="shared" si="44"/>
        <v>735.60000000000014</v>
      </c>
      <c r="Q443" s="18">
        <f t="shared" si="45"/>
        <v>0.05</v>
      </c>
      <c r="R443" s="18">
        <f t="shared" si="46"/>
        <v>2245.63</v>
      </c>
      <c r="S443" s="18" t="str">
        <f>IF(Table13[[#This Row],[Quantity]]&lt;=3,"Small",IF(Table13[[#This Row],[Quantity]]&lt;=6,"Medium","Bulk"))</f>
        <v>Medium</v>
      </c>
      <c r="T443" s="18" t="str">
        <f t="shared" si="47"/>
        <v>Normal</v>
      </c>
      <c r="U443" s="18" t="str">
        <f t="shared" si="48"/>
        <v>low Value</v>
      </c>
    </row>
    <row r="444" spans="1:21" x14ac:dyDescent="0.3">
      <c r="A444" t="s">
        <v>452</v>
      </c>
      <c r="B444" s="1">
        <v>45049</v>
      </c>
      <c r="C444" t="s">
        <v>1211</v>
      </c>
      <c r="D444" t="s">
        <v>1217</v>
      </c>
      <c r="E444" t="s">
        <v>1220</v>
      </c>
      <c r="F444" t="s">
        <v>1224</v>
      </c>
      <c r="G444" s="6">
        <v>2</v>
      </c>
      <c r="H444">
        <v>2292</v>
      </c>
      <c r="I444">
        <v>4584</v>
      </c>
      <c r="J444" s="2">
        <v>1111.02</v>
      </c>
      <c r="K444" s="16">
        <f>Table13[[#This Row],[Profit]]/Table13[[#This Row],[Sales]]</f>
        <v>0.24236910994764396</v>
      </c>
      <c r="L444" s="17" t="str">
        <f t="shared" si="42"/>
        <v>Low</v>
      </c>
      <c r="M444" s="17" t="str">
        <f t="shared" si="43"/>
        <v>May</v>
      </c>
      <c r="N444" s="18">
        <f>YEAR(Table13[[#This Row],[Order_Date]])</f>
        <v>2023</v>
      </c>
      <c r="O444" s="18">
        <f>Table13[[#This Row],[Price]]*0.7</f>
        <v>1604.3999999999999</v>
      </c>
      <c r="P444" s="18">
        <f t="shared" si="44"/>
        <v>1375.2000000000003</v>
      </c>
      <c r="Q444" s="18">
        <f t="shared" si="45"/>
        <v>0.05</v>
      </c>
      <c r="R444" s="18">
        <f t="shared" si="46"/>
        <v>3472.98</v>
      </c>
      <c r="S444" s="18" t="str">
        <f>IF(Table13[[#This Row],[Quantity]]&lt;=3,"Small",IF(Table13[[#This Row],[Quantity]]&lt;=6,"Medium","Bulk"))</f>
        <v>Small</v>
      </c>
      <c r="T444" s="18" t="str">
        <f t="shared" si="47"/>
        <v>Normal</v>
      </c>
      <c r="U444" s="18" t="str">
        <f t="shared" si="48"/>
        <v>low Value</v>
      </c>
    </row>
    <row r="445" spans="1:21" x14ac:dyDescent="0.3">
      <c r="A445" t="s">
        <v>453</v>
      </c>
      <c r="B445" s="1">
        <v>45070</v>
      </c>
      <c r="C445" t="s">
        <v>1211</v>
      </c>
      <c r="D445" t="s">
        <v>1216</v>
      </c>
      <c r="E445" t="s">
        <v>1221</v>
      </c>
      <c r="F445" t="s">
        <v>1231</v>
      </c>
      <c r="G445" s="6">
        <v>7</v>
      </c>
      <c r="H445">
        <v>4457</v>
      </c>
      <c r="I445">
        <v>31199</v>
      </c>
      <c r="J445" s="2">
        <v>6709.9</v>
      </c>
      <c r="K445" s="16">
        <f>Table13[[#This Row],[Profit]]/Table13[[#This Row],[Sales]]</f>
        <v>0.21506779063431519</v>
      </c>
      <c r="L445" s="17" t="str">
        <f t="shared" si="42"/>
        <v>High</v>
      </c>
      <c r="M445" s="17" t="str">
        <f t="shared" si="43"/>
        <v>May</v>
      </c>
      <c r="N445" s="18">
        <f>YEAR(Table13[[#This Row],[Order_Date]])</f>
        <v>2023</v>
      </c>
      <c r="O445" s="18">
        <f>Table13[[#This Row],[Price]]*0.7</f>
        <v>3119.8999999999996</v>
      </c>
      <c r="P445" s="18">
        <f t="shared" si="44"/>
        <v>9359.7000000000044</v>
      </c>
      <c r="Q445" s="18">
        <f t="shared" si="45"/>
        <v>0.1</v>
      </c>
      <c r="R445" s="18">
        <f t="shared" si="46"/>
        <v>24489.1</v>
      </c>
      <c r="S445" s="18" t="str">
        <f>IF(Table13[[#This Row],[Quantity]]&lt;=3,"Small",IF(Table13[[#This Row],[Quantity]]&lt;=6,"Medium","Bulk"))</f>
        <v>Bulk</v>
      </c>
      <c r="T445" s="18" t="str">
        <f t="shared" si="47"/>
        <v>Normal</v>
      </c>
      <c r="U445" s="18" t="str">
        <f t="shared" si="48"/>
        <v>High Value</v>
      </c>
    </row>
    <row r="446" spans="1:21" x14ac:dyDescent="0.3">
      <c r="A446" t="s">
        <v>454</v>
      </c>
      <c r="B446" s="1">
        <v>45216</v>
      </c>
      <c r="C446" t="s">
        <v>1210</v>
      </c>
      <c r="D446" t="s">
        <v>1214</v>
      </c>
      <c r="E446" t="s">
        <v>1220</v>
      </c>
      <c r="F446" t="s">
        <v>1225</v>
      </c>
      <c r="G446" s="6">
        <v>8</v>
      </c>
      <c r="H446">
        <v>2358</v>
      </c>
      <c r="I446">
        <v>18864</v>
      </c>
      <c r="J446" s="2">
        <v>2186.13</v>
      </c>
      <c r="K446" s="16">
        <f>Table13[[#This Row],[Profit]]/Table13[[#This Row],[Sales]]</f>
        <v>0.11588899491094148</v>
      </c>
      <c r="L446" s="17" t="str">
        <f t="shared" si="42"/>
        <v>Medium</v>
      </c>
      <c r="M446" s="17" t="str">
        <f t="shared" si="43"/>
        <v>Oct</v>
      </c>
      <c r="N446" s="18">
        <f>YEAR(Table13[[#This Row],[Order_Date]])</f>
        <v>2023</v>
      </c>
      <c r="O446" s="18">
        <f>Table13[[#This Row],[Price]]*0.7</f>
        <v>1650.6</v>
      </c>
      <c r="P446" s="18">
        <f t="shared" si="44"/>
        <v>5659.2000000000007</v>
      </c>
      <c r="Q446" s="18">
        <f t="shared" si="45"/>
        <v>0.1</v>
      </c>
      <c r="R446" s="18">
        <f t="shared" si="46"/>
        <v>16677.87</v>
      </c>
      <c r="S446" s="18" t="str">
        <f>IF(Table13[[#This Row],[Quantity]]&lt;=3,"Small",IF(Table13[[#This Row],[Quantity]]&lt;=6,"Medium","Bulk"))</f>
        <v>Bulk</v>
      </c>
      <c r="T446" s="18" t="str">
        <f t="shared" si="47"/>
        <v>Normal</v>
      </c>
      <c r="U446" s="18" t="str">
        <f t="shared" si="48"/>
        <v>Medium Value</v>
      </c>
    </row>
    <row r="447" spans="1:21" x14ac:dyDescent="0.3">
      <c r="A447" t="s">
        <v>455</v>
      </c>
      <c r="B447" s="1">
        <v>45044</v>
      </c>
      <c r="C447" t="s">
        <v>1212</v>
      </c>
      <c r="D447" t="s">
        <v>1215</v>
      </c>
      <c r="E447" t="s">
        <v>1221</v>
      </c>
      <c r="F447" t="s">
        <v>1235</v>
      </c>
      <c r="G447" s="6">
        <v>8</v>
      </c>
      <c r="H447">
        <v>4165</v>
      </c>
      <c r="I447">
        <v>33320</v>
      </c>
      <c r="J447" s="2">
        <v>4173.28</v>
      </c>
      <c r="K447" s="16">
        <f>Table13[[#This Row],[Profit]]/Table13[[#This Row],[Sales]]</f>
        <v>0.1252484993997599</v>
      </c>
      <c r="L447" s="17" t="str">
        <f t="shared" si="42"/>
        <v>High</v>
      </c>
      <c r="M447" s="17" t="str">
        <f t="shared" si="43"/>
        <v>Apr</v>
      </c>
      <c r="N447" s="18">
        <f>YEAR(Table13[[#This Row],[Order_Date]])</f>
        <v>2023</v>
      </c>
      <c r="O447" s="18">
        <f>Table13[[#This Row],[Price]]*0.7</f>
        <v>2915.5</v>
      </c>
      <c r="P447" s="18">
        <f t="shared" si="44"/>
        <v>9996</v>
      </c>
      <c r="Q447" s="18">
        <f t="shared" si="45"/>
        <v>0.1</v>
      </c>
      <c r="R447" s="18">
        <f t="shared" si="46"/>
        <v>29146.720000000001</v>
      </c>
      <c r="S447" s="18" t="str">
        <f>IF(Table13[[#This Row],[Quantity]]&lt;=3,"Small",IF(Table13[[#This Row],[Quantity]]&lt;=6,"Medium","Bulk"))</f>
        <v>Bulk</v>
      </c>
      <c r="T447" s="18" t="str">
        <f t="shared" si="47"/>
        <v>High Demand</v>
      </c>
      <c r="U447" s="18" t="str">
        <f t="shared" si="48"/>
        <v>High Value</v>
      </c>
    </row>
    <row r="448" spans="1:21" x14ac:dyDescent="0.3">
      <c r="A448" t="s">
        <v>456</v>
      </c>
      <c r="B448" s="1">
        <v>44979</v>
      </c>
      <c r="C448" t="s">
        <v>1210</v>
      </c>
      <c r="D448" t="s">
        <v>1218</v>
      </c>
      <c r="E448" t="s">
        <v>1219</v>
      </c>
      <c r="F448" t="s">
        <v>1232</v>
      </c>
      <c r="G448" s="6">
        <v>1</v>
      </c>
      <c r="H448">
        <v>636</v>
      </c>
      <c r="I448">
        <v>636</v>
      </c>
      <c r="J448" s="2">
        <v>54.52</v>
      </c>
      <c r="K448" s="16">
        <f>Table13[[#This Row],[Profit]]/Table13[[#This Row],[Sales]]</f>
        <v>8.5723270440251575E-2</v>
      </c>
      <c r="L448" s="17" t="str">
        <f t="shared" si="42"/>
        <v>Low</v>
      </c>
      <c r="M448" s="17" t="str">
        <f t="shared" si="43"/>
        <v>Feb</v>
      </c>
      <c r="N448" s="18">
        <f>YEAR(Table13[[#This Row],[Order_Date]])</f>
        <v>2023</v>
      </c>
      <c r="O448" s="18">
        <f>Table13[[#This Row],[Price]]*0.7</f>
        <v>445.2</v>
      </c>
      <c r="P448" s="18">
        <f t="shared" si="44"/>
        <v>190.8</v>
      </c>
      <c r="Q448" s="18">
        <f t="shared" si="45"/>
        <v>0.05</v>
      </c>
      <c r="R448" s="18">
        <f t="shared" si="46"/>
        <v>581.48</v>
      </c>
      <c r="S448" s="18" t="str">
        <f>IF(Table13[[#This Row],[Quantity]]&lt;=3,"Small",IF(Table13[[#This Row],[Quantity]]&lt;=6,"Medium","Bulk"))</f>
        <v>Small</v>
      </c>
      <c r="T448" s="18" t="str">
        <f t="shared" si="47"/>
        <v>Normal</v>
      </c>
      <c r="U448" s="18" t="str">
        <f t="shared" si="48"/>
        <v>low Value</v>
      </c>
    </row>
    <row r="449" spans="1:21" x14ac:dyDescent="0.3">
      <c r="A449" t="s">
        <v>457</v>
      </c>
      <c r="B449" s="1">
        <v>45000</v>
      </c>
      <c r="C449" t="s">
        <v>1211</v>
      </c>
      <c r="D449" t="s">
        <v>1216</v>
      </c>
      <c r="E449" t="s">
        <v>1222</v>
      </c>
      <c r="F449" t="s">
        <v>1230</v>
      </c>
      <c r="G449" s="6">
        <v>1</v>
      </c>
      <c r="H449">
        <v>382</v>
      </c>
      <c r="I449">
        <v>382</v>
      </c>
      <c r="J449" s="2">
        <v>63.23</v>
      </c>
      <c r="K449" s="16">
        <f>Table13[[#This Row],[Profit]]/Table13[[#This Row],[Sales]]</f>
        <v>0.16552356020942408</v>
      </c>
      <c r="L449" s="17" t="str">
        <f t="shared" si="42"/>
        <v>Low</v>
      </c>
      <c r="M449" s="17" t="str">
        <f t="shared" si="43"/>
        <v>Mar</v>
      </c>
      <c r="N449" s="18">
        <f>YEAR(Table13[[#This Row],[Order_Date]])</f>
        <v>2023</v>
      </c>
      <c r="O449" s="18">
        <f>Table13[[#This Row],[Price]]*0.7</f>
        <v>267.39999999999998</v>
      </c>
      <c r="P449" s="18">
        <f t="shared" si="44"/>
        <v>114.60000000000002</v>
      </c>
      <c r="Q449" s="18">
        <f t="shared" si="45"/>
        <v>0.05</v>
      </c>
      <c r="R449" s="18">
        <f t="shared" si="46"/>
        <v>318.77000000000004</v>
      </c>
      <c r="S449" s="18" t="str">
        <f>IF(Table13[[#This Row],[Quantity]]&lt;=3,"Small",IF(Table13[[#This Row],[Quantity]]&lt;=6,"Medium","Bulk"))</f>
        <v>Small</v>
      </c>
      <c r="T449" s="18" t="str">
        <f t="shared" si="47"/>
        <v>Normal</v>
      </c>
      <c r="U449" s="18" t="str">
        <f t="shared" si="48"/>
        <v>low Value</v>
      </c>
    </row>
    <row r="450" spans="1:21" x14ac:dyDescent="0.3">
      <c r="A450" t="s">
        <v>458</v>
      </c>
      <c r="B450" s="1">
        <v>44940</v>
      </c>
      <c r="C450" t="s">
        <v>1211</v>
      </c>
      <c r="D450" t="s">
        <v>1216</v>
      </c>
      <c r="E450" t="s">
        <v>1221</v>
      </c>
      <c r="F450" t="s">
        <v>1229</v>
      </c>
      <c r="G450" s="6">
        <v>4</v>
      </c>
      <c r="H450">
        <v>859</v>
      </c>
      <c r="I450">
        <v>3436</v>
      </c>
      <c r="J450" s="2">
        <v>673.61</v>
      </c>
      <c r="K450" s="16">
        <f>Table13[[#This Row],[Profit]]/Table13[[#This Row],[Sales]]</f>
        <v>0.19604481955762515</v>
      </c>
      <c r="L450" s="17" t="str">
        <f t="shared" ref="L450:L513" si="49">IF(I450&gt;20000,"High",IF(I450&gt;10000,"Medium","Low"))</f>
        <v>Low</v>
      </c>
      <c r="M450" s="17" t="str">
        <f t="shared" ref="M450:M513" si="50">TEXT(B450,"mmm")</f>
        <v>Jan</v>
      </c>
      <c r="N450" s="18">
        <f>YEAR(Table13[[#This Row],[Order_Date]])</f>
        <v>2023</v>
      </c>
      <c r="O450" s="18">
        <f>Table13[[#This Row],[Price]]*0.7</f>
        <v>601.29999999999995</v>
      </c>
      <c r="P450" s="18">
        <f t="shared" ref="P450:P513" si="51">I450 - (G450 *O450)</f>
        <v>1030.8000000000002</v>
      </c>
      <c r="Q450" s="18">
        <f t="shared" ref="Q450:Q513" si="52">IF(G450&gt;5,0.1,0.05)</f>
        <v>0.05</v>
      </c>
      <c r="R450" s="18">
        <f t="shared" ref="R450:R513" si="53">I450*(1-K450)</f>
        <v>2762.39</v>
      </c>
      <c r="S450" s="18" t="str">
        <f>IF(Table13[[#This Row],[Quantity]]&lt;=3,"Small",IF(Table13[[#This Row],[Quantity]]&lt;=6,"Medium","Bulk"))</f>
        <v>Medium</v>
      </c>
      <c r="T450" s="18" t="str">
        <f t="shared" ref="T450:T513" si="54">IF(C450="North","High Demand","Normal")</f>
        <v>Normal</v>
      </c>
      <c r="U450" s="18" t="str">
        <f t="shared" ref="U450:U513" si="55">IF(I450&gt;20000,"High Value",IF(I450&gt;10000,"Medium Value","low Value"))</f>
        <v>low Value</v>
      </c>
    </row>
    <row r="451" spans="1:21" x14ac:dyDescent="0.3">
      <c r="A451" t="s">
        <v>459</v>
      </c>
      <c r="B451" s="1">
        <v>45190</v>
      </c>
      <c r="C451" t="s">
        <v>1211</v>
      </c>
      <c r="D451" t="s">
        <v>1216</v>
      </c>
      <c r="E451" t="s">
        <v>1220</v>
      </c>
      <c r="F451" t="s">
        <v>1224</v>
      </c>
      <c r="G451" s="6">
        <v>5</v>
      </c>
      <c r="H451">
        <v>2507</v>
      </c>
      <c r="I451">
        <v>12535</v>
      </c>
      <c r="J451" s="2">
        <v>1307.26</v>
      </c>
      <c r="K451" s="16">
        <f>Table13[[#This Row],[Profit]]/Table13[[#This Row],[Sales]]</f>
        <v>0.10428879138412445</v>
      </c>
      <c r="L451" s="17" t="str">
        <f t="shared" si="49"/>
        <v>Medium</v>
      </c>
      <c r="M451" s="17" t="str">
        <f t="shared" si="50"/>
        <v>Sep</v>
      </c>
      <c r="N451" s="18">
        <f>YEAR(Table13[[#This Row],[Order_Date]])</f>
        <v>2023</v>
      </c>
      <c r="O451" s="18">
        <f>Table13[[#This Row],[Price]]*0.7</f>
        <v>1754.8999999999999</v>
      </c>
      <c r="P451" s="18">
        <f t="shared" si="51"/>
        <v>3760.5</v>
      </c>
      <c r="Q451" s="18">
        <f t="shared" si="52"/>
        <v>0.05</v>
      </c>
      <c r="R451" s="18">
        <f t="shared" si="53"/>
        <v>11227.740000000002</v>
      </c>
      <c r="S451" s="18" t="str">
        <f>IF(Table13[[#This Row],[Quantity]]&lt;=3,"Small",IF(Table13[[#This Row],[Quantity]]&lt;=6,"Medium","Bulk"))</f>
        <v>Medium</v>
      </c>
      <c r="T451" s="18" t="str">
        <f t="shared" si="54"/>
        <v>Normal</v>
      </c>
      <c r="U451" s="18" t="str">
        <f t="shared" si="55"/>
        <v>Medium Value</v>
      </c>
    </row>
    <row r="452" spans="1:21" x14ac:dyDescent="0.3">
      <c r="A452" t="s">
        <v>460</v>
      </c>
      <c r="B452" s="1">
        <v>45287</v>
      </c>
      <c r="C452" t="s">
        <v>1213</v>
      </c>
      <c r="D452" t="s">
        <v>1218</v>
      </c>
      <c r="E452" t="s">
        <v>1219</v>
      </c>
      <c r="F452" t="s">
        <v>1238</v>
      </c>
      <c r="G452" s="6">
        <v>2</v>
      </c>
      <c r="H452">
        <v>4649</v>
      </c>
      <c r="I452">
        <v>9298</v>
      </c>
      <c r="J452" s="2">
        <v>1884.64</v>
      </c>
      <c r="K452" s="16">
        <f>Table13[[#This Row],[Profit]]/Table13[[#This Row],[Sales]]</f>
        <v>0.20269305226930523</v>
      </c>
      <c r="L452" s="17" t="str">
        <f t="shared" si="49"/>
        <v>Low</v>
      </c>
      <c r="M452" s="17" t="str">
        <f t="shared" si="50"/>
        <v>Dec</v>
      </c>
      <c r="N452" s="18">
        <f>YEAR(Table13[[#This Row],[Order_Date]])</f>
        <v>2023</v>
      </c>
      <c r="O452" s="18">
        <f>Table13[[#This Row],[Price]]*0.7</f>
        <v>3254.2999999999997</v>
      </c>
      <c r="P452" s="18">
        <f t="shared" si="51"/>
        <v>2789.4000000000005</v>
      </c>
      <c r="Q452" s="18">
        <f t="shared" si="52"/>
        <v>0.05</v>
      </c>
      <c r="R452" s="18">
        <f t="shared" si="53"/>
        <v>7413.36</v>
      </c>
      <c r="S452" s="18" t="str">
        <f>IF(Table13[[#This Row],[Quantity]]&lt;=3,"Small",IF(Table13[[#This Row],[Quantity]]&lt;=6,"Medium","Bulk"))</f>
        <v>Small</v>
      </c>
      <c r="T452" s="18" t="str">
        <f t="shared" si="54"/>
        <v>Normal</v>
      </c>
      <c r="U452" s="18" t="str">
        <f t="shared" si="55"/>
        <v>low Value</v>
      </c>
    </row>
    <row r="453" spans="1:21" x14ac:dyDescent="0.3">
      <c r="A453" t="s">
        <v>461</v>
      </c>
      <c r="B453" s="1">
        <v>45022</v>
      </c>
      <c r="C453" t="s">
        <v>1211</v>
      </c>
      <c r="D453" t="s">
        <v>1218</v>
      </c>
      <c r="E453" t="s">
        <v>1219</v>
      </c>
      <c r="F453" t="s">
        <v>1232</v>
      </c>
      <c r="G453" s="6">
        <v>1</v>
      </c>
      <c r="H453">
        <v>2084</v>
      </c>
      <c r="I453">
        <v>2084</v>
      </c>
      <c r="J453" s="2">
        <v>183.32</v>
      </c>
      <c r="K453" s="16">
        <f>Table13[[#This Row],[Profit]]/Table13[[#This Row],[Sales]]</f>
        <v>8.7965451055662183E-2</v>
      </c>
      <c r="L453" s="17" t="str">
        <f t="shared" si="49"/>
        <v>Low</v>
      </c>
      <c r="M453" s="17" t="str">
        <f t="shared" si="50"/>
        <v>Apr</v>
      </c>
      <c r="N453" s="18">
        <f>YEAR(Table13[[#This Row],[Order_Date]])</f>
        <v>2023</v>
      </c>
      <c r="O453" s="18">
        <f>Table13[[#This Row],[Price]]*0.7</f>
        <v>1458.8</v>
      </c>
      <c r="P453" s="18">
        <f t="shared" si="51"/>
        <v>625.20000000000005</v>
      </c>
      <c r="Q453" s="18">
        <f t="shared" si="52"/>
        <v>0.05</v>
      </c>
      <c r="R453" s="18">
        <f t="shared" si="53"/>
        <v>1900.6799999999998</v>
      </c>
      <c r="S453" s="18" t="str">
        <f>IF(Table13[[#This Row],[Quantity]]&lt;=3,"Small",IF(Table13[[#This Row],[Quantity]]&lt;=6,"Medium","Bulk"))</f>
        <v>Small</v>
      </c>
      <c r="T453" s="18" t="str">
        <f t="shared" si="54"/>
        <v>Normal</v>
      </c>
      <c r="U453" s="18" t="str">
        <f t="shared" si="55"/>
        <v>low Value</v>
      </c>
    </row>
    <row r="454" spans="1:21" x14ac:dyDescent="0.3">
      <c r="A454" t="s">
        <v>462</v>
      </c>
      <c r="B454" s="1">
        <v>45246</v>
      </c>
      <c r="C454" t="s">
        <v>1212</v>
      </c>
      <c r="D454" t="s">
        <v>1216</v>
      </c>
      <c r="E454" t="s">
        <v>1219</v>
      </c>
      <c r="F454" t="s">
        <v>1223</v>
      </c>
      <c r="G454" s="6">
        <v>2</v>
      </c>
      <c r="H454">
        <v>2637</v>
      </c>
      <c r="I454">
        <v>5274</v>
      </c>
      <c r="J454" s="2">
        <v>643.22</v>
      </c>
      <c r="K454" s="16">
        <f>Table13[[#This Row],[Profit]]/Table13[[#This Row],[Sales]]</f>
        <v>0.1219605612438377</v>
      </c>
      <c r="L454" s="17" t="str">
        <f t="shared" si="49"/>
        <v>Low</v>
      </c>
      <c r="M454" s="17" t="str">
        <f t="shared" si="50"/>
        <v>Nov</v>
      </c>
      <c r="N454" s="18">
        <f>YEAR(Table13[[#This Row],[Order_Date]])</f>
        <v>2023</v>
      </c>
      <c r="O454" s="18">
        <f>Table13[[#This Row],[Price]]*0.7</f>
        <v>1845.8999999999999</v>
      </c>
      <c r="P454" s="18">
        <f t="shared" si="51"/>
        <v>1582.2000000000003</v>
      </c>
      <c r="Q454" s="18">
        <f t="shared" si="52"/>
        <v>0.05</v>
      </c>
      <c r="R454" s="18">
        <f t="shared" si="53"/>
        <v>4630.78</v>
      </c>
      <c r="S454" s="18" t="str">
        <f>IF(Table13[[#This Row],[Quantity]]&lt;=3,"Small",IF(Table13[[#This Row],[Quantity]]&lt;=6,"Medium","Bulk"))</f>
        <v>Small</v>
      </c>
      <c r="T454" s="18" t="str">
        <f t="shared" si="54"/>
        <v>High Demand</v>
      </c>
      <c r="U454" s="18" t="str">
        <f t="shared" si="55"/>
        <v>low Value</v>
      </c>
    </row>
    <row r="455" spans="1:21" x14ac:dyDescent="0.3">
      <c r="A455" t="s">
        <v>463</v>
      </c>
      <c r="B455" s="1">
        <v>45026</v>
      </c>
      <c r="C455" t="s">
        <v>1211</v>
      </c>
      <c r="D455" t="s">
        <v>1214</v>
      </c>
      <c r="E455" t="s">
        <v>1219</v>
      </c>
      <c r="F455" t="s">
        <v>1232</v>
      </c>
      <c r="G455" s="6">
        <v>1</v>
      </c>
      <c r="H455">
        <v>4432</v>
      </c>
      <c r="I455">
        <v>4432</v>
      </c>
      <c r="J455" s="2">
        <v>989.49</v>
      </c>
      <c r="K455" s="16">
        <f>Table13[[#This Row],[Profit]]/Table13[[#This Row],[Sales]]</f>
        <v>0.22326037906137183</v>
      </c>
      <c r="L455" s="17" t="str">
        <f t="shared" si="49"/>
        <v>Low</v>
      </c>
      <c r="M455" s="17" t="str">
        <f t="shared" si="50"/>
        <v>Apr</v>
      </c>
      <c r="N455" s="18">
        <f>YEAR(Table13[[#This Row],[Order_Date]])</f>
        <v>2023</v>
      </c>
      <c r="O455" s="18">
        <f>Table13[[#This Row],[Price]]*0.7</f>
        <v>3102.3999999999996</v>
      </c>
      <c r="P455" s="18">
        <f t="shared" si="51"/>
        <v>1329.6000000000004</v>
      </c>
      <c r="Q455" s="18">
        <f t="shared" si="52"/>
        <v>0.05</v>
      </c>
      <c r="R455" s="18">
        <f t="shared" si="53"/>
        <v>3442.5099999999998</v>
      </c>
      <c r="S455" s="18" t="str">
        <f>IF(Table13[[#This Row],[Quantity]]&lt;=3,"Small",IF(Table13[[#This Row],[Quantity]]&lt;=6,"Medium","Bulk"))</f>
        <v>Small</v>
      </c>
      <c r="T455" s="18" t="str">
        <f t="shared" si="54"/>
        <v>Normal</v>
      </c>
      <c r="U455" s="18" t="str">
        <f t="shared" si="55"/>
        <v>low Value</v>
      </c>
    </row>
    <row r="456" spans="1:21" x14ac:dyDescent="0.3">
      <c r="A456" t="s">
        <v>464</v>
      </c>
      <c r="B456" s="1">
        <v>45105</v>
      </c>
      <c r="C456" t="s">
        <v>1212</v>
      </c>
      <c r="D456" t="s">
        <v>1218</v>
      </c>
      <c r="E456" t="s">
        <v>1222</v>
      </c>
      <c r="F456" t="s">
        <v>1227</v>
      </c>
      <c r="G456" s="6">
        <v>1</v>
      </c>
      <c r="H456">
        <v>397</v>
      </c>
      <c r="I456">
        <v>397</v>
      </c>
      <c r="J456" s="2">
        <v>57.23</v>
      </c>
      <c r="K456" s="16">
        <f>Table13[[#This Row],[Profit]]/Table13[[#This Row],[Sales]]</f>
        <v>0.14415617128463476</v>
      </c>
      <c r="L456" s="17" t="str">
        <f t="shared" si="49"/>
        <v>Low</v>
      </c>
      <c r="M456" s="17" t="str">
        <f t="shared" si="50"/>
        <v>Jun</v>
      </c>
      <c r="N456" s="18">
        <f>YEAR(Table13[[#This Row],[Order_Date]])</f>
        <v>2023</v>
      </c>
      <c r="O456" s="18">
        <f>Table13[[#This Row],[Price]]*0.7</f>
        <v>277.89999999999998</v>
      </c>
      <c r="P456" s="18">
        <f t="shared" si="51"/>
        <v>119.10000000000002</v>
      </c>
      <c r="Q456" s="18">
        <f t="shared" si="52"/>
        <v>0.05</v>
      </c>
      <c r="R456" s="18">
        <f t="shared" si="53"/>
        <v>339.77</v>
      </c>
      <c r="S456" s="18" t="str">
        <f>IF(Table13[[#This Row],[Quantity]]&lt;=3,"Small",IF(Table13[[#This Row],[Quantity]]&lt;=6,"Medium","Bulk"))</f>
        <v>Small</v>
      </c>
      <c r="T456" s="18" t="str">
        <f t="shared" si="54"/>
        <v>High Demand</v>
      </c>
      <c r="U456" s="18" t="str">
        <f t="shared" si="55"/>
        <v>low Value</v>
      </c>
    </row>
    <row r="457" spans="1:21" x14ac:dyDescent="0.3">
      <c r="A457" t="s">
        <v>465</v>
      </c>
      <c r="B457" s="1">
        <v>45046</v>
      </c>
      <c r="C457" t="s">
        <v>1210</v>
      </c>
      <c r="D457" t="s">
        <v>1217</v>
      </c>
      <c r="E457" t="s">
        <v>1220</v>
      </c>
      <c r="F457" t="s">
        <v>1237</v>
      </c>
      <c r="G457" s="6">
        <v>1</v>
      </c>
      <c r="H457">
        <v>4099</v>
      </c>
      <c r="I457">
        <v>4099</v>
      </c>
      <c r="J457" s="2">
        <v>768.81</v>
      </c>
      <c r="K457" s="16">
        <f>Table13[[#This Row],[Profit]]/Table13[[#This Row],[Sales]]</f>
        <v>0.1875603805806294</v>
      </c>
      <c r="L457" s="17" t="str">
        <f t="shared" si="49"/>
        <v>Low</v>
      </c>
      <c r="M457" s="17" t="str">
        <f t="shared" si="50"/>
        <v>Apr</v>
      </c>
      <c r="N457" s="18">
        <f>YEAR(Table13[[#This Row],[Order_Date]])</f>
        <v>2023</v>
      </c>
      <c r="O457" s="18">
        <f>Table13[[#This Row],[Price]]*0.7</f>
        <v>2869.2999999999997</v>
      </c>
      <c r="P457" s="18">
        <f t="shared" si="51"/>
        <v>1229.7000000000003</v>
      </c>
      <c r="Q457" s="18">
        <f t="shared" si="52"/>
        <v>0.05</v>
      </c>
      <c r="R457" s="18">
        <f t="shared" si="53"/>
        <v>3330.19</v>
      </c>
      <c r="S457" s="18" t="str">
        <f>IF(Table13[[#This Row],[Quantity]]&lt;=3,"Small",IF(Table13[[#This Row],[Quantity]]&lt;=6,"Medium","Bulk"))</f>
        <v>Small</v>
      </c>
      <c r="T457" s="18" t="str">
        <f t="shared" si="54"/>
        <v>Normal</v>
      </c>
      <c r="U457" s="18" t="str">
        <f t="shared" si="55"/>
        <v>low Value</v>
      </c>
    </row>
    <row r="458" spans="1:21" x14ac:dyDescent="0.3">
      <c r="A458" t="s">
        <v>466</v>
      </c>
      <c r="B458" s="1">
        <v>45027</v>
      </c>
      <c r="C458" t="s">
        <v>1212</v>
      </c>
      <c r="D458" t="s">
        <v>1216</v>
      </c>
      <c r="E458" t="s">
        <v>1219</v>
      </c>
      <c r="F458" t="s">
        <v>1238</v>
      </c>
      <c r="G458" s="6">
        <v>5</v>
      </c>
      <c r="H458">
        <v>4188</v>
      </c>
      <c r="I458">
        <v>20940</v>
      </c>
      <c r="J458" s="2">
        <v>4791.84</v>
      </c>
      <c r="K458" s="16">
        <f>Table13[[#This Row],[Profit]]/Table13[[#This Row],[Sales]]</f>
        <v>0.22883667621776504</v>
      </c>
      <c r="L458" s="17" t="str">
        <f t="shared" si="49"/>
        <v>High</v>
      </c>
      <c r="M458" s="17" t="str">
        <f t="shared" si="50"/>
        <v>Apr</v>
      </c>
      <c r="N458" s="18">
        <f>YEAR(Table13[[#This Row],[Order_Date]])</f>
        <v>2023</v>
      </c>
      <c r="O458" s="18">
        <f>Table13[[#This Row],[Price]]*0.7</f>
        <v>2931.6</v>
      </c>
      <c r="P458" s="18">
        <f t="shared" si="51"/>
        <v>6282</v>
      </c>
      <c r="Q458" s="18">
        <f t="shared" si="52"/>
        <v>0.05</v>
      </c>
      <c r="R458" s="18">
        <f t="shared" si="53"/>
        <v>16148.16</v>
      </c>
      <c r="S458" s="18" t="str">
        <f>IF(Table13[[#This Row],[Quantity]]&lt;=3,"Small",IF(Table13[[#This Row],[Quantity]]&lt;=6,"Medium","Bulk"))</f>
        <v>Medium</v>
      </c>
      <c r="T458" s="18" t="str">
        <f t="shared" si="54"/>
        <v>High Demand</v>
      </c>
      <c r="U458" s="18" t="str">
        <f t="shared" si="55"/>
        <v>High Value</v>
      </c>
    </row>
    <row r="459" spans="1:21" x14ac:dyDescent="0.3">
      <c r="A459" t="s">
        <v>467</v>
      </c>
      <c r="B459" s="1">
        <v>45127</v>
      </c>
      <c r="C459" t="s">
        <v>1212</v>
      </c>
      <c r="D459" t="s">
        <v>1216</v>
      </c>
      <c r="E459" t="s">
        <v>1219</v>
      </c>
      <c r="F459" t="s">
        <v>1232</v>
      </c>
      <c r="G459" s="6">
        <v>4</v>
      </c>
      <c r="H459">
        <v>4726</v>
      </c>
      <c r="I459">
        <v>18904</v>
      </c>
      <c r="J459" s="2">
        <v>4545.9799999999996</v>
      </c>
      <c r="K459" s="16">
        <f>Table13[[#This Row],[Profit]]/Table13[[#This Row],[Sales]]</f>
        <v>0.24047714769360978</v>
      </c>
      <c r="L459" s="17" t="str">
        <f t="shared" si="49"/>
        <v>Medium</v>
      </c>
      <c r="M459" s="17" t="str">
        <f t="shared" si="50"/>
        <v>Jul</v>
      </c>
      <c r="N459" s="18">
        <f>YEAR(Table13[[#This Row],[Order_Date]])</f>
        <v>2023</v>
      </c>
      <c r="O459" s="18">
        <f>Table13[[#This Row],[Price]]*0.7</f>
        <v>3308.2</v>
      </c>
      <c r="P459" s="18">
        <f t="shared" si="51"/>
        <v>5671.2000000000007</v>
      </c>
      <c r="Q459" s="18">
        <f t="shared" si="52"/>
        <v>0.05</v>
      </c>
      <c r="R459" s="18">
        <f t="shared" si="53"/>
        <v>14358.02</v>
      </c>
      <c r="S459" s="18" t="str">
        <f>IF(Table13[[#This Row],[Quantity]]&lt;=3,"Small",IF(Table13[[#This Row],[Quantity]]&lt;=6,"Medium","Bulk"))</f>
        <v>Medium</v>
      </c>
      <c r="T459" s="18" t="str">
        <f t="shared" si="54"/>
        <v>High Demand</v>
      </c>
      <c r="U459" s="18" t="str">
        <f t="shared" si="55"/>
        <v>Medium Value</v>
      </c>
    </row>
    <row r="460" spans="1:21" x14ac:dyDescent="0.3">
      <c r="A460" t="s">
        <v>468</v>
      </c>
      <c r="B460" s="1">
        <v>45230</v>
      </c>
      <c r="C460" t="s">
        <v>1210</v>
      </c>
      <c r="D460" t="s">
        <v>1216</v>
      </c>
      <c r="E460" t="s">
        <v>1219</v>
      </c>
      <c r="F460" t="s">
        <v>1238</v>
      </c>
      <c r="G460" s="6">
        <v>5</v>
      </c>
      <c r="H460">
        <v>3057</v>
      </c>
      <c r="I460">
        <v>15285</v>
      </c>
      <c r="J460" s="2">
        <v>1495.14</v>
      </c>
      <c r="K460" s="16">
        <f>Table13[[#This Row],[Profit]]/Table13[[#This Row],[Sales]]</f>
        <v>9.7817468105986266E-2</v>
      </c>
      <c r="L460" s="17" t="str">
        <f t="shared" si="49"/>
        <v>Medium</v>
      </c>
      <c r="M460" s="17" t="str">
        <f t="shared" si="50"/>
        <v>Oct</v>
      </c>
      <c r="N460" s="18">
        <f>YEAR(Table13[[#This Row],[Order_Date]])</f>
        <v>2023</v>
      </c>
      <c r="O460" s="18">
        <f>Table13[[#This Row],[Price]]*0.7</f>
        <v>2139.9</v>
      </c>
      <c r="P460" s="18">
        <f t="shared" si="51"/>
        <v>4585.5</v>
      </c>
      <c r="Q460" s="18">
        <f t="shared" si="52"/>
        <v>0.05</v>
      </c>
      <c r="R460" s="18">
        <f t="shared" si="53"/>
        <v>13789.86</v>
      </c>
      <c r="S460" s="18" t="str">
        <f>IF(Table13[[#This Row],[Quantity]]&lt;=3,"Small",IF(Table13[[#This Row],[Quantity]]&lt;=6,"Medium","Bulk"))</f>
        <v>Medium</v>
      </c>
      <c r="T460" s="18" t="str">
        <f t="shared" si="54"/>
        <v>Normal</v>
      </c>
      <c r="U460" s="18" t="str">
        <f t="shared" si="55"/>
        <v>Medium Value</v>
      </c>
    </row>
    <row r="461" spans="1:21" x14ac:dyDescent="0.3">
      <c r="A461" t="s">
        <v>469</v>
      </c>
      <c r="B461" s="1">
        <v>45182</v>
      </c>
      <c r="C461" t="s">
        <v>1211</v>
      </c>
      <c r="D461" t="s">
        <v>1214</v>
      </c>
      <c r="E461" t="s">
        <v>1221</v>
      </c>
      <c r="F461" t="s">
        <v>1231</v>
      </c>
      <c r="G461" s="6">
        <v>3</v>
      </c>
      <c r="H461">
        <v>3574</v>
      </c>
      <c r="I461">
        <v>10722</v>
      </c>
      <c r="J461" s="2">
        <v>1060.04</v>
      </c>
      <c r="K461" s="16">
        <f>Table13[[#This Row],[Profit]]/Table13[[#This Row],[Sales]]</f>
        <v>9.8865883230740526E-2</v>
      </c>
      <c r="L461" s="17" t="str">
        <f t="shared" si="49"/>
        <v>Medium</v>
      </c>
      <c r="M461" s="17" t="str">
        <f t="shared" si="50"/>
        <v>Sep</v>
      </c>
      <c r="N461" s="18">
        <f>YEAR(Table13[[#This Row],[Order_Date]])</f>
        <v>2023</v>
      </c>
      <c r="O461" s="18">
        <f>Table13[[#This Row],[Price]]*0.7</f>
        <v>2501.7999999999997</v>
      </c>
      <c r="P461" s="18">
        <f t="shared" si="51"/>
        <v>3216.6000000000004</v>
      </c>
      <c r="Q461" s="18">
        <f t="shared" si="52"/>
        <v>0.05</v>
      </c>
      <c r="R461" s="18">
        <f t="shared" si="53"/>
        <v>9661.9600000000009</v>
      </c>
      <c r="S461" s="18" t="str">
        <f>IF(Table13[[#This Row],[Quantity]]&lt;=3,"Small",IF(Table13[[#This Row],[Quantity]]&lt;=6,"Medium","Bulk"))</f>
        <v>Small</v>
      </c>
      <c r="T461" s="18" t="str">
        <f t="shared" si="54"/>
        <v>Normal</v>
      </c>
      <c r="U461" s="18" t="str">
        <f t="shared" si="55"/>
        <v>Medium Value</v>
      </c>
    </row>
    <row r="462" spans="1:21" x14ac:dyDescent="0.3">
      <c r="A462" t="s">
        <v>470</v>
      </c>
      <c r="B462" s="1">
        <v>45155</v>
      </c>
      <c r="C462" t="s">
        <v>1212</v>
      </c>
      <c r="D462" t="s">
        <v>1216</v>
      </c>
      <c r="E462" t="s">
        <v>1221</v>
      </c>
      <c r="F462" t="s">
        <v>1231</v>
      </c>
      <c r="G462" s="6">
        <v>7</v>
      </c>
      <c r="H462">
        <v>4272</v>
      </c>
      <c r="I462">
        <v>29904</v>
      </c>
      <c r="J462" s="2">
        <v>3338</v>
      </c>
      <c r="K462" s="16">
        <f>Table13[[#This Row],[Profit]]/Table13[[#This Row],[Sales]]</f>
        <v>0.1116238630283574</v>
      </c>
      <c r="L462" s="17" t="str">
        <f t="shared" si="49"/>
        <v>High</v>
      </c>
      <c r="M462" s="17" t="str">
        <f t="shared" si="50"/>
        <v>Aug</v>
      </c>
      <c r="N462" s="18">
        <f>YEAR(Table13[[#This Row],[Order_Date]])</f>
        <v>2023</v>
      </c>
      <c r="O462" s="18">
        <f>Table13[[#This Row],[Price]]*0.7</f>
        <v>2990.3999999999996</v>
      </c>
      <c r="P462" s="18">
        <f t="shared" si="51"/>
        <v>8971.2000000000044</v>
      </c>
      <c r="Q462" s="18">
        <f t="shared" si="52"/>
        <v>0.1</v>
      </c>
      <c r="R462" s="18">
        <f t="shared" si="53"/>
        <v>26566</v>
      </c>
      <c r="S462" s="18" t="str">
        <f>IF(Table13[[#This Row],[Quantity]]&lt;=3,"Small",IF(Table13[[#This Row],[Quantity]]&lt;=6,"Medium","Bulk"))</f>
        <v>Bulk</v>
      </c>
      <c r="T462" s="18" t="str">
        <f t="shared" si="54"/>
        <v>High Demand</v>
      </c>
      <c r="U462" s="18" t="str">
        <f t="shared" si="55"/>
        <v>High Value</v>
      </c>
    </row>
    <row r="463" spans="1:21" x14ac:dyDescent="0.3">
      <c r="A463" t="s">
        <v>471</v>
      </c>
      <c r="B463" s="1">
        <v>45236</v>
      </c>
      <c r="C463" t="s">
        <v>1213</v>
      </c>
      <c r="D463" t="s">
        <v>1218</v>
      </c>
      <c r="E463" t="s">
        <v>1219</v>
      </c>
      <c r="F463" t="s">
        <v>1233</v>
      </c>
      <c r="G463" s="6">
        <v>9</v>
      </c>
      <c r="H463">
        <v>4624</v>
      </c>
      <c r="I463">
        <v>41616</v>
      </c>
      <c r="J463" s="2">
        <v>9482.61</v>
      </c>
      <c r="K463" s="16">
        <f>Table13[[#This Row],[Profit]]/Table13[[#This Row],[Sales]]</f>
        <v>0.22785971741637834</v>
      </c>
      <c r="L463" s="17" t="str">
        <f t="shared" si="49"/>
        <v>High</v>
      </c>
      <c r="M463" s="17" t="str">
        <f t="shared" si="50"/>
        <v>Nov</v>
      </c>
      <c r="N463" s="18">
        <f>YEAR(Table13[[#This Row],[Order_Date]])</f>
        <v>2023</v>
      </c>
      <c r="O463" s="18">
        <f>Table13[[#This Row],[Price]]*0.7</f>
        <v>3236.7999999999997</v>
      </c>
      <c r="P463" s="18">
        <f t="shared" si="51"/>
        <v>12484.800000000003</v>
      </c>
      <c r="Q463" s="18">
        <f t="shared" si="52"/>
        <v>0.1</v>
      </c>
      <c r="R463" s="18">
        <f t="shared" si="53"/>
        <v>32133.39</v>
      </c>
      <c r="S463" s="18" t="str">
        <f>IF(Table13[[#This Row],[Quantity]]&lt;=3,"Small",IF(Table13[[#This Row],[Quantity]]&lt;=6,"Medium","Bulk"))</f>
        <v>Bulk</v>
      </c>
      <c r="T463" s="18" t="str">
        <f t="shared" si="54"/>
        <v>Normal</v>
      </c>
      <c r="U463" s="18" t="str">
        <f t="shared" si="55"/>
        <v>High Value</v>
      </c>
    </row>
    <row r="464" spans="1:21" x14ac:dyDescent="0.3">
      <c r="A464" t="s">
        <v>472</v>
      </c>
      <c r="B464" s="1">
        <v>45142</v>
      </c>
      <c r="C464" t="s">
        <v>1213</v>
      </c>
      <c r="D464" t="s">
        <v>1216</v>
      </c>
      <c r="E464" t="s">
        <v>1221</v>
      </c>
      <c r="F464" t="s">
        <v>1231</v>
      </c>
      <c r="G464" s="6">
        <v>7</v>
      </c>
      <c r="H464">
        <v>1396</v>
      </c>
      <c r="I464">
        <v>9772</v>
      </c>
      <c r="J464" s="2">
        <v>841.46</v>
      </c>
      <c r="K464" s="16">
        <f>Table13[[#This Row],[Profit]]/Table13[[#This Row],[Sales]]</f>
        <v>8.6109291854277528E-2</v>
      </c>
      <c r="L464" s="17" t="str">
        <f t="shared" si="49"/>
        <v>Low</v>
      </c>
      <c r="M464" s="17" t="str">
        <f t="shared" si="50"/>
        <v>Aug</v>
      </c>
      <c r="N464" s="18">
        <f>YEAR(Table13[[#This Row],[Order_Date]])</f>
        <v>2023</v>
      </c>
      <c r="O464" s="18">
        <f>Table13[[#This Row],[Price]]*0.7</f>
        <v>977.19999999999993</v>
      </c>
      <c r="P464" s="18">
        <f t="shared" si="51"/>
        <v>2931.6000000000004</v>
      </c>
      <c r="Q464" s="18">
        <f t="shared" si="52"/>
        <v>0.1</v>
      </c>
      <c r="R464" s="18">
        <f t="shared" si="53"/>
        <v>8930.5400000000009</v>
      </c>
      <c r="S464" s="18" t="str">
        <f>IF(Table13[[#This Row],[Quantity]]&lt;=3,"Small",IF(Table13[[#This Row],[Quantity]]&lt;=6,"Medium","Bulk"))</f>
        <v>Bulk</v>
      </c>
      <c r="T464" s="18" t="str">
        <f t="shared" si="54"/>
        <v>Normal</v>
      </c>
      <c r="U464" s="18" t="str">
        <f t="shared" si="55"/>
        <v>low Value</v>
      </c>
    </row>
    <row r="465" spans="1:21" x14ac:dyDescent="0.3">
      <c r="A465" t="s">
        <v>473</v>
      </c>
      <c r="B465" s="1">
        <v>45236</v>
      </c>
      <c r="C465" t="s">
        <v>1211</v>
      </c>
      <c r="D465" t="s">
        <v>1218</v>
      </c>
      <c r="E465" t="s">
        <v>1220</v>
      </c>
      <c r="F465" t="s">
        <v>1237</v>
      </c>
      <c r="G465" s="6">
        <v>6</v>
      </c>
      <c r="H465">
        <v>1139</v>
      </c>
      <c r="I465">
        <v>6834</v>
      </c>
      <c r="J465" s="2">
        <v>1005.78</v>
      </c>
      <c r="K465" s="16">
        <f>Table13[[#This Row],[Profit]]/Table13[[#This Row],[Sales]]</f>
        <v>0.14717295873573311</v>
      </c>
      <c r="L465" s="17" t="str">
        <f t="shared" si="49"/>
        <v>Low</v>
      </c>
      <c r="M465" s="17" t="str">
        <f t="shared" si="50"/>
        <v>Nov</v>
      </c>
      <c r="N465" s="18">
        <f>YEAR(Table13[[#This Row],[Order_Date]])</f>
        <v>2023</v>
      </c>
      <c r="O465" s="18">
        <f>Table13[[#This Row],[Price]]*0.7</f>
        <v>797.3</v>
      </c>
      <c r="P465" s="18">
        <f t="shared" si="51"/>
        <v>2050.2000000000007</v>
      </c>
      <c r="Q465" s="18">
        <f t="shared" si="52"/>
        <v>0.1</v>
      </c>
      <c r="R465" s="18">
        <f t="shared" si="53"/>
        <v>5828.22</v>
      </c>
      <c r="S465" s="18" t="str">
        <f>IF(Table13[[#This Row],[Quantity]]&lt;=3,"Small",IF(Table13[[#This Row],[Quantity]]&lt;=6,"Medium","Bulk"))</f>
        <v>Medium</v>
      </c>
      <c r="T465" s="18" t="str">
        <f t="shared" si="54"/>
        <v>Normal</v>
      </c>
      <c r="U465" s="18" t="str">
        <f t="shared" si="55"/>
        <v>low Value</v>
      </c>
    </row>
    <row r="466" spans="1:21" x14ac:dyDescent="0.3">
      <c r="A466" t="s">
        <v>474</v>
      </c>
      <c r="B466" s="1">
        <v>45044</v>
      </c>
      <c r="C466" t="s">
        <v>1211</v>
      </c>
      <c r="D466" t="s">
        <v>1217</v>
      </c>
      <c r="E466" t="s">
        <v>1221</v>
      </c>
      <c r="F466" t="s">
        <v>1231</v>
      </c>
      <c r="G466" s="6">
        <v>3</v>
      </c>
      <c r="H466">
        <v>1748</v>
      </c>
      <c r="I466">
        <v>5244</v>
      </c>
      <c r="J466" s="2">
        <v>471.31</v>
      </c>
      <c r="K466" s="16">
        <f>Table13[[#This Row],[Profit]]/Table13[[#This Row],[Sales]]</f>
        <v>8.9876048817696411E-2</v>
      </c>
      <c r="L466" s="17" t="str">
        <f t="shared" si="49"/>
        <v>Low</v>
      </c>
      <c r="M466" s="17" t="str">
        <f t="shared" si="50"/>
        <v>Apr</v>
      </c>
      <c r="N466" s="18">
        <f>YEAR(Table13[[#This Row],[Order_Date]])</f>
        <v>2023</v>
      </c>
      <c r="O466" s="18">
        <f>Table13[[#This Row],[Price]]*0.7</f>
        <v>1223.5999999999999</v>
      </c>
      <c r="P466" s="18">
        <f t="shared" si="51"/>
        <v>1573.2000000000003</v>
      </c>
      <c r="Q466" s="18">
        <f t="shared" si="52"/>
        <v>0.05</v>
      </c>
      <c r="R466" s="18">
        <f t="shared" si="53"/>
        <v>4772.6900000000005</v>
      </c>
      <c r="S466" s="18" t="str">
        <f>IF(Table13[[#This Row],[Quantity]]&lt;=3,"Small",IF(Table13[[#This Row],[Quantity]]&lt;=6,"Medium","Bulk"))</f>
        <v>Small</v>
      </c>
      <c r="T466" s="18" t="str">
        <f t="shared" si="54"/>
        <v>Normal</v>
      </c>
      <c r="U466" s="18" t="str">
        <f t="shared" si="55"/>
        <v>low Value</v>
      </c>
    </row>
    <row r="467" spans="1:21" x14ac:dyDescent="0.3">
      <c r="A467" t="s">
        <v>475</v>
      </c>
      <c r="B467" s="1">
        <v>45091</v>
      </c>
      <c r="C467" t="s">
        <v>1211</v>
      </c>
      <c r="D467" t="s">
        <v>1217</v>
      </c>
      <c r="E467" t="s">
        <v>1222</v>
      </c>
      <c r="F467" t="s">
        <v>1236</v>
      </c>
      <c r="G467" s="6">
        <v>5</v>
      </c>
      <c r="H467">
        <v>3857</v>
      </c>
      <c r="I467">
        <v>19285</v>
      </c>
      <c r="J467" s="2">
        <v>1590.97</v>
      </c>
      <c r="K467" s="16">
        <f>Table13[[#This Row],[Profit]]/Table13[[#This Row],[Sales]]</f>
        <v>8.2497796214674624E-2</v>
      </c>
      <c r="L467" s="17" t="str">
        <f t="shared" si="49"/>
        <v>Medium</v>
      </c>
      <c r="M467" s="17" t="str">
        <f t="shared" si="50"/>
        <v>Jun</v>
      </c>
      <c r="N467" s="18">
        <f>YEAR(Table13[[#This Row],[Order_Date]])</f>
        <v>2023</v>
      </c>
      <c r="O467" s="18">
        <f>Table13[[#This Row],[Price]]*0.7</f>
        <v>2699.8999999999996</v>
      </c>
      <c r="P467" s="18">
        <f t="shared" si="51"/>
        <v>5785.5000000000018</v>
      </c>
      <c r="Q467" s="18">
        <f t="shared" si="52"/>
        <v>0.05</v>
      </c>
      <c r="R467" s="18">
        <f t="shared" si="53"/>
        <v>17694.03</v>
      </c>
      <c r="S467" s="18" t="str">
        <f>IF(Table13[[#This Row],[Quantity]]&lt;=3,"Small",IF(Table13[[#This Row],[Quantity]]&lt;=6,"Medium","Bulk"))</f>
        <v>Medium</v>
      </c>
      <c r="T467" s="18" t="str">
        <f t="shared" si="54"/>
        <v>Normal</v>
      </c>
      <c r="U467" s="18" t="str">
        <f t="shared" si="55"/>
        <v>Medium Value</v>
      </c>
    </row>
    <row r="468" spans="1:21" x14ac:dyDescent="0.3">
      <c r="A468" t="s">
        <v>476</v>
      </c>
      <c r="B468" s="1">
        <v>45037</v>
      </c>
      <c r="C468" t="s">
        <v>1211</v>
      </c>
      <c r="D468" t="s">
        <v>1218</v>
      </c>
      <c r="E468" t="s">
        <v>1220</v>
      </c>
      <c r="F468" t="s">
        <v>1228</v>
      </c>
      <c r="G468" s="6">
        <v>4</v>
      </c>
      <c r="H468">
        <v>4693</v>
      </c>
      <c r="I468">
        <v>18772</v>
      </c>
      <c r="J468" s="2">
        <v>2821.79</v>
      </c>
      <c r="K468" s="16">
        <f>Table13[[#This Row],[Profit]]/Table13[[#This Row],[Sales]]</f>
        <v>0.15031909226507564</v>
      </c>
      <c r="L468" s="17" t="str">
        <f t="shared" si="49"/>
        <v>Medium</v>
      </c>
      <c r="M468" s="17" t="str">
        <f t="shared" si="50"/>
        <v>Apr</v>
      </c>
      <c r="N468" s="18">
        <f>YEAR(Table13[[#This Row],[Order_Date]])</f>
        <v>2023</v>
      </c>
      <c r="O468" s="18">
        <f>Table13[[#This Row],[Price]]*0.7</f>
        <v>3285.1</v>
      </c>
      <c r="P468" s="18">
        <f t="shared" si="51"/>
        <v>5631.6</v>
      </c>
      <c r="Q468" s="18">
        <f t="shared" si="52"/>
        <v>0.05</v>
      </c>
      <c r="R468" s="18">
        <f t="shared" si="53"/>
        <v>15950.21</v>
      </c>
      <c r="S468" s="18" t="str">
        <f>IF(Table13[[#This Row],[Quantity]]&lt;=3,"Small",IF(Table13[[#This Row],[Quantity]]&lt;=6,"Medium","Bulk"))</f>
        <v>Medium</v>
      </c>
      <c r="T468" s="18" t="str">
        <f t="shared" si="54"/>
        <v>Normal</v>
      </c>
      <c r="U468" s="18" t="str">
        <f t="shared" si="55"/>
        <v>Medium Value</v>
      </c>
    </row>
    <row r="469" spans="1:21" x14ac:dyDescent="0.3">
      <c r="A469" t="s">
        <v>477</v>
      </c>
      <c r="B469" s="1">
        <v>45154</v>
      </c>
      <c r="C469" t="s">
        <v>1211</v>
      </c>
      <c r="D469" t="s">
        <v>1216</v>
      </c>
      <c r="E469" t="s">
        <v>1221</v>
      </c>
      <c r="F469" t="s">
        <v>1229</v>
      </c>
      <c r="G469" s="6">
        <v>4</v>
      </c>
      <c r="H469">
        <v>4836</v>
      </c>
      <c r="I469">
        <v>19344</v>
      </c>
      <c r="J469" s="2">
        <v>3073.69</v>
      </c>
      <c r="K469" s="16">
        <f>Table13[[#This Row],[Profit]]/Table13[[#This Row],[Sales]]</f>
        <v>0.15889629859387924</v>
      </c>
      <c r="L469" s="17" t="str">
        <f t="shared" si="49"/>
        <v>Medium</v>
      </c>
      <c r="M469" s="17" t="str">
        <f t="shared" si="50"/>
        <v>Aug</v>
      </c>
      <c r="N469" s="18">
        <f>YEAR(Table13[[#This Row],[Order_Date]])</f>
        <v>2023</v>
      </c>
      <c r="O469" s="18">
        <f>Table13[[#This Row],[Price]]*0.7</f>
        <v>3385.2</v>
      </c>
      <c r="P469" s="18">
        <f t="shared" si="51"/>
        <v>5803.2000000000007</v>
      </c>
      <c r="Q469" s="18">
        <f t="shared" si="52"/>
        <v>0.05</v>
      </c>
      <c r="R469" s="18">
        <f t="shared" si="53"/>
        <v>16270.310000000001</v>
      </c>
      <c r="S469" s="18" t="str">
        <f>IF(Table13[[#This Row],[Quantity]]&lt;=3,"Small",IF(Table13[[#This Row],[Quantity]]&lt;=6,"Medium","Bulk"))</f>
        <v>Medium</v>
      </c>
      <c r="T469" s="18" t="str">
        <f t="shared" si="54"/>
        <v>Normal</v>
      </c>
      <c r="U469" s="18" t="str">
        <f t="shared" si="55"/>
        <v>Medium Value</v>
      </c>
    </row>
    <row r="470" spans="1:21" x14ac:dyDescent="0.3">
      <c r="A470" t="s">
        <v>478</v>
      </c>
      <c r="B470" s="1">
        <v>45198</v>
      </c>
      <c r="C470" t="s">
        <v>1210</v>
      </c>
      <c r="D470" t="s">
        <v>1218</v>
      </c>
      <c r="E470" t="s">
        <v>1220</v>
      </c>
      <c r="F470" t="s">
        <v>1225</v>
      </c>
      <c r="G470" s="6">
        <v>1</v>
      </c>
      <c r="H470">
        <v>4123</v>
      </c>
      <c r="I470">
        <v>4123</v>
      </c>
      <c r="J470" s="2">
        <v>648.70000000000005</v>
      </c>
      <c r="K470" s="16">
        <f>Table13[[#This Row],[Profit]]/Table13[[#This Row],[Sales]]</f>
        <v>0.15733689061363088</v>
      </c>
      <c r="L470" s="17" t="str">
        <f t="shared" si="49"/>
        <v>Low</v>
      </c>
      <c r="M470" s="17" t="str">
        <f t="shared" si="50"/>
        <v>Sep</v>
      </c>
      <c r="N470" s="18">
        <f>YEAR(Table13[[#This Row],[Order_Date]])</f>
        <v>2023</v>
      </c>
      <c r="O470" s="18">
        <f>Table13[[#This Row],[Price]]*0.7</f>
        <v>2886.1</v>
      </c>
      <c r="P470" s="18">
        <f t="shared" si="51"/>
        <v>1236.9000000000001</v>
      </c>
      <c r="Q470" s="18">
        <f t="shared" si="52"/>
        <v>0.05</v>
      </c>
      <c r="R470" s="18">
        <f t="shared" si="53"/>
        <v>3474.2999999999997</v>
      </c>
      <c r="S470" s="18" t="str">
        <f>IF(Table13[[#This Row],[Quantity]]&lt;=3,"Small",IF(Table13[[#This Row],[Quantity]]&lt;=6,"Medium","Bulk"))</f>
        <v>Small</v>
      </c>
      <c r="T470" s="18" t="str">
        <f t="shared" si="54"/>
        <v>Normal</v>
      </c>
      <c r="U470" s="18" t="str">
        <f t="shared" si="55"/>
        <v>low Value</v>
      </c>
    </row>
    <row r="471" spans="1:21" x14ac:dyDescent="0.3">
      <c r="A471" t="s">
        <v>479</v>
      </c>
      <c r="B471" s="1">
        <v>45101</v>
      </c>
      <c r="C471" t="s">
        <v>1211</v>
      </c>
      <c r="D471" t="s">
        <v>1218</v>
      </c>
      <c r="E471" t="s">
        <v>1221</v>
      </c>
      <c r="F471" t="s">
        <v>1226</v>
      </c>
      <c r="G471" s="6">
        <v>6</v>
      </c>
      <c r="H471">
        <v>3964</v>
      </c>
      <c r="I471">
        <v>23784</v>
      </c>
      <c r="J471" s="2">
        <v>2211.5700000000002</v>
      </c>
      <c r="K471" s="16">
        <f>Table13[[#This Row],[Profit]]/Table13[[#This Row],[Sales]]</f>
        <v>9.2985620585267409E-2</v>
      </c>
      <c r="L471" s="17" t="str">
        <f t="shared" si="49"/>
        <v>High</v>
      </c>
      <c r="M471" s="17" t="str">
        <f t="shared" si="50"/>
        <v>Jun</v>
      </c>
      <c r="N471" s="18">
        <f>YEAR(Table13[[#This Row],[Order_Date]])</f>
        <v>2023</v>
      </c>
      <c r="O471" s="18">
        <f>Table13[[#This Row],[Price]]*0.7</f>
        <v>2774.7999999999997</v>
      </c>
      <c r="P471" s="18">
        <f t="shared" si="51"/>
        <v>7135.2000000000007</v>
      </c>
      <c r="Q471" s="18">
        <f t="shared" si="52"/>
        <v>0.1</v>
      </c>
      <c r="R471" s="18">
        <f t="shared" si="53"/>
        <v>21572.43</v>
      </c>
      <c r="S471" s="18" t="str">
        <f>IF(Table13[[#This Row],[Quantity]]&lt;=3,"Small",IF(Table13[[#This Row],[Quantity]]&lt;=6,"Medium","Bulk"))</f>
        <v>Medium</v>
      </c>
      <c r="T471" s="18" t="str">
        <f t="shared" si="54"/>
        <v>Normal</v>
      </c>
      <c r="U471" s="18" t="str">
        <f t="shared" si="55"/>
        <v>High Value</v>
      </c>
    </row>
    <row r="472" spans="1:21" x14ac:dyDescent="0.3">
      <c r="A472" t="s">
        <v>480</v>
      </c>
      <c r="B472" s="1">
        <v>45079</v>
      </c>
      <c r="C472" t="s">
        <v>1212</v>
      </c>
      <c r="D472" t="s">
        <v>1239</v>
      </c>
      <c r="E472" t="s">
        <v>1220</v>
      </c>
      <c r="F472" t="s">
        <v>1239</v>
      </c>
      <c r="G472" s="6">
        <v>6</v>
      </c>
      <c r="H472">
        <v>3662</v>
      </c>
      <c r="I472">
        <v>21972</v>
      </c>
      <c r="J472" s="2">
        <v>1823.32</v>
      </c>
      <c r="K472" s="16">
        <f>Table13[[#This Row],[Profit]]/Table13[[#This Row],[Sales]]</f>
        <v>8.2983797560531578E-2</v>
      </c>
      <c r="L472" s="17" t="str">
        <f t="shared" si="49"/>
        <v>High</v>
      </c>
      <c r="M472" s="17" t="str">
        <f t="shared" si="50"/>
        <v>Jun</v>
      </c>
      <c r="N472" s="18">
        <f>YEAR(Table13[[#This Row],[Order_Date]])</f>
        <v>2023</v>
      </c>
      <c r="O472" s="18">
        <f>Table13[[#This Row],[Price]]*0.7</f>
        <v>2563.3999999999996</v>
      </c>
      <c r="P472" s="18">
        <f t="shared" si="51"/>
        <v>6591.6000000000022</v>
      </c>
      <c r="Q472" s="18">
        <f t="shared" si="52"/>
        <v>0.1</v>
      </c>
      <c r="R472" s="18">
        <f t="shared" si="53"/>
        <v>20148.68</v>
      </c>
      <c r="S472" s="18" t="str">
        <f>IF(Table13[[#This Row],[Quantity]]&lt;=3,"Small",IF(Table13[[#This Row],[Quantity]]&lt;=6,"Medium","Bulk"))</f>
        <v>Medium</v>
      </c>
      <c r="T472" s="18" t="str">
        <f t="shared" si="54"/>
        <v>High Demand</v>
      </c>
      <c r="U472" s="18" t="str">
        <f t="shared" si="55"/>
        <v>High Value</v>
      </c>
    </row>
    <row r="473" spans="1:21" x14ac:dyDescent="0.3">
      <c r="A473" t="s">
        <v>481</v>
      </c>
      <c r="B473" s="1">
        <v>45134</v>
      </c>
      <c r="C473" t="s">
        <v>1210</v>
      </c>
      <c r="D473" t="s">
        <v>1215</v>
      </c>
      <c r="E473" t="s">
        <v>1219</v>
      </c>
      <c r="F473" t="s">
        <v>1223</v>
      </c>
      <c r="G473" s="6">
        <v>9</v>
      </c>
      <c r="H473">
        <v>3909</v>
      </c>
      <c r="I473">
        <v>35181</v>
      </c>
      <c r="J473" s="2">
        <v>6227.4</v>
      </c>
      <c r="K473" s="16">
        <f>Table13[[#This Row],[Profit]]/Table13[[#This Row],[Sales]]</f>
        <v>0.17701031806941245</v>
      </c>
      <c r="L473" s="17" t="str">
        <f t="shared" si="49"/>
        <v>High</v>
      </c>
      <c r="M473" s="17" t="str">
        <f t="shared" si="50"/>
        <v>Jul</v>
      </c>
      <c r="N473" s="18">
        <f>YEAR(Table13[[#This Row],[Order_Date]])</f>
        <v>2023</v>
      </c>
      <c r="O473" s="18">
        <f>Table13[[#This Row],[Price]]*0.7</f>
        <v>2736.2999999999997</v>
      </c>
      <c r="P473" s="18">
        <f t="shared" si="51"/>
        <v>10554.300000000003</v>
      </c>
      <c r="Q473" s="18">
        <f t="shared" si="52"/>
        <v>0.1</v>
      </c>
      <c r="R473" s="18">
        <f t="shared" si="53"/>
        <v>28953.599999999999</v>
      </c>
      <c r="S473" s="18" t="str">
        <f>IF(Table13[[#This Row],[Quantity]]&lt;=3,"Small",IF(Table13[[#This Row],[Quantity]]&lt;=6,"Medium","Bulk"))</f>
        <v>Bulk</v>
      </c>
      <c r="T473" s="18" t="str">
        <f t="shared" si="54"/>
        <v>Normal</v>
      </c>
      <c r="U473" s="18" t="str">
        <f t="shared" si="55"/>
        <v>High Value</v>
      </c>
    </row>
    <row r="474" spans="1:21" x14ac:dyDescent="0.3">
      <c r="A474" t="s">
        <v>482</v>
      </c>
      <c r="B474" s="1">
        <v>45257</v>
      </c>
      <c r="C474" t="s">
        <v>1213</v>
      </c>
      <c r="D474" t="s">
        <v>1218</v>
      </c>
      <c r="E474" t="s">
        <v>1221</v>
      </c>
      <c r="F474" t="s">
        <v>1231</v>
      </c>
      <c r="G474" s="6">
        <v>7</v>
      </c>
      <c r="H474">
        <v>4602</v>
      </c>
      <c r="I474">
        <v>32214</v>
      </c>
      <c r="J474" s="2">
        <v>2706.33</v>
      </c>
      <c r="K474" s="16">
        <f>Table13[[#This Row],[Profit]]/Table13[[#This Row],[Sales]]</f>
        <v>8.401098901098901E-2</v>
      </c>
      <c r="L474" s="17" t="str">
        <f t="shared" si="49"/>
        <v>High</v>
      </c>
      <c r="M474" s="17" t="str">
        <f t="shared" si="50"/>
        <v>Nov</v>
      </c>
      <c r="N474" s="18">
        <f>YEAR(Table13[[#This Row],[Order_Date]])</f>
        <v>2023</v>
      </c>
      <c r="O474" s="18">
        <f>Table13[[#This Row],[Price]]*0.7</f>
        <v>3221.3999999999996</v>
      </c>
      <c r="P474" s="18">
        <f t="shared" si="51"/>
        <v>9664.2000000000044</v>
      </c>
      <c r="Q474" s="18">
        <f t="shared" si="52"/>
        <v>0.1</v>
      </c>
      <c r="R474" s="18">
        <f t="shared" si="53"/>
        <v>29507.67</v>
      </c>
      <c r="S474" s="18" t="str">
        <f>IF(Table13[[#This Row],[Quantity]]&lt;=3,"Small",IF(Table13[[#This Row],[Quantity]]&lt;=6,"Medium","Bulk"))</f>
        <v>Bulk</v>
      </c>
      <c r="T474" s="18" t="str">
        <f t="shared" si="54"/>
        <v>Normal</v>
      </c>
      <c r="U474" s="18" t="str">
        <f t="shared" si="55"/>
        <v>High Value</v>
      </c>
    </row>
    <row r="475" spans="1:21" x14ac:dyDescent="0.3">
      <c r="A475" t="s">
        <v>483</v>
      </c>
      <c r="B475" s="1">
        <v>45058</v>
      </c>
      <c r="C475" t="s">
        <v>1213</v>
      </c>
      <c r="D475" t="s">
        <v>1214</v>
      </c>
      <c r="E475" t="s">
        <v>1219</v>
      </c>
      <c r="F475" t="s">
        <v>1232</v>
      </c>
      <c r="G475" s="6">
        <v>8</v>
      </c>
      <c r="H475">
        <v>3316</v>
      </c>
      <c r="I475">
        <v>26528</v>
      </c>
      <c r="J475" s="2">
        <v>3917.15</v>
      </c>
      <c r="K475" s="16">
        <f>Table13[[#This Row],[Profit]]/Table13[[#This Row],[Sales]]</f>
        <v>0.14766096200241255</v>
      </c>
      <c r="L475" s="17" t="str">
        <f t="shared" si="49"/>
        <v>High</v>
      </c>
      <c r="M475" s="17" t="str">
        <f t="shared" si="50"/>
        <v>May</v>
      </c>
      <c r="N475" s="18">
        <f>YEAR(Table13[[#This Row],[Order_Date]])</f>
        <v>2023</v>
      </c>
      <c r="O475" s="18">
        <f>Table13[[#This Row],[Price]]*0.7</f>
        <v>2321.1999999999998</v>
      </c>
      <c r="P475" s="18">
        <f t="shared" si="51"/>
        <v>7958.4000000000015</v>
      </c>
      <c r="Q475" s="18">
        <f t="shared" si="52"/>
        <v>0.1</v>
      </c>
      <c r="R475" s="18">
        <f t="shared" si="53"/>
        <v>22610.850000000002</v>
      </c>
      <c r="S475" s="18" t="str">
        <f>IF(Table13[[#This Row],[Quantity]]&lt;=3,"Small",IF(Table13[[#This Row],[Quantity]]&lt;=6,"Medium","Bulk"))</f>
        <v>Bulk</v>
      </c>
      <c r="T475" s="18" t="str">
        <f t="shared" si="54"/>
        <v>Normal</v>
      </c>
      <c r="U475" s="18" t="str">
        <f t="shared" si="55"/>
        <v>High Value</v>
      </c>
    </row>
    <row r="476" spans="1:21" x14ac:dyDescent="0.3">
      <c r="A476" t="s">
        <v>484</v>
      </c>
      <c r="B476" s="1">
        <v>45144</v>
      </c>
      <c r="C476" t="s">
        <v>1213</v>
      </c>
      <c r="D476" t="s">
        <v>1217</v>
      </c>
      <c r="E476" t="s">
        <v>1222</v>
      </c>
      <c r="F476" t="s">
        <v>1234</v>
      </c>
      <c r="G476" s="6">
        <v>2</v>
      </c>
      <c r="H476">
        <v>3476</v>
      </c>
      <c r="I476">
        <v>6952</v>
      </c>
      <c r="J476" s="2">
        <v>1439.52</v>
      </c>
      <c r="K476" s="16">
        <f>Table13[[#This Row],[Profit]]/Table13[[#This Row],[Sales]]</f>
        <v>0.20706559263521288</v>
      </c>
      <c r="L476" s="17" t="str">
        <f t="shared" si="49"/>
        <v>Low</v>
      </c>
      <c r="M476" s="17" t="str">
        <f t="shared" si="50"/>
        <v>Aug</v>
      </c>
      <c r="N476" s="18">
        <f>YEAR(Table13[[#This Row],[Order_Date]])</f>
        <v>2023</v>
      </c>
      <c r="O476" s="18">
        <f>Table13[[#This Row],[Price]]*0.7</f>
        <v>2433.1999999999998</v>
      </c>
      <c r="P476" s="18">
        <f t="shared" si="51"/>
        <v>2085.6000000000004</v>
      </c>
      <c r="Q476" s="18">
        <f t="shared" si="52"/>
        <v>0.05</v>
      </c>
      <c r="R476" s="18">
        <f t="shared" si="53"/>
        <v>5512.4800000000005</v>
      </c>
      <c r="S476" s="18" t="str">
        <f>IF(Table13[[#This Row],[Quantity]]&lt;=3,"Small",IF(Table13[[#This Row],[Quantity]]&lt;=6,"Medium","Bulk"))</f>
        <v>Small</v>
      </c>
      <c r="T476" s="18" t="str">
        <f t="shared" si="54"/>
        <v>Normal</v>
      </c>
      <c r="U476" s="18" t="str">
        <f t="shared" si="55"/>
        <v>low Value</v>
      </c>
    </row>
    <row r="477" spans="1:21" x14ac:dyDescent="0.3">
      <c r="A477" t="s">
        <v>485</v>
      </c>
      <c r="B477" s="1">
        <v>45257</v>
      </c>
      <c r="C477" t="s">
        <v>1210</v>
      </c>
      <c r="D477" t="s">
        <v>1216</v>
      </c>
      <c r="E477" t="s">
        <v>1221</v>
      </c>
      <c r="F477" t="s">
        <v>1231</v>
      </c>
      <c r="G477" s="6">
        <v>7</v>
      </c>
      <c r="H477">
        <v>3916</v>
      </c>
      <c r="I477">
        <v>27412</v>
      </c>
      <c r="J477" s="2">
        <v>4666.22</v>
      </c>
      <c r="K477" s="16">
        <f>Table13[[#This Row],[Profit]]/Table13[[#This Row],[Sales]]</f>
        <v>0.1702254487085948</v>
      </c>
      <c r="L477" s="17" t="str">
        <f t="shared" si="49"/>
        <v>High</v>
      </c>
      <c r="M477" s="17" t="str">
        <f t="shared" si="50"/>
        <v>Nov</v>
      </c>
      <c r="N477" s="18">
        <f>YEAR(Table13[[#This Row],[Order_Date]])</f>
        <v>2023</v>
      </c>
      <c r="O477" s="18">
        <f>Table13[[#This Row],[Price]]*0.7</f>
        <v>2741.2</v>
      </c>
      <c r="P477" s="18">
        <f t="shared" si="51"/>
        <v>8223.6000000000022</v>
      </c>
      <c r="Q477" s="18">
        <f t="shared" si="52"/>
        <v>0.1</v>
      </c>
      <c r="R477" s="18">
        <f t="shared" si="53"/>
        <v>22745.78</v>
      </c>
      <c r="S477" s="18" t="str">
        <f>IF(Table13[[#This Row],[Quantity]]&lt;=3,"Small",IF(Table13[[#This Row],[Quantity]]&lt;=6,"Medium","Bulk"))</f>
        <v>Bulk</v>
      </c>
      <c r="T477" s="18" t="str">
        <f t="shared" si="54"/>
        <v>Normal</v>
      </c>
      <c r="U477" s="18" t="str">
        <f t="shared" si="55"/>
        <v>High Value</v>
      </c>
    </row>
    <row r="478" spans="1:21" x14ac:dyDescent="0.3">
      <c r="A478" t="s">
        <v>486</v>
      </c>
      <c r="B478" s="1">
        <v>44952</v>
      </c>
      <c r="C478" t="s">
        <v>1212</v>
      </c>
      <c r="D478" t="s">
        <v>1217</v>
      </c>
      <c r="E478" t="s">
        <v>1220</v>
      </c>
      <c r="F478" t="s">
        <v>1228</v>
      </c>
      <c r="G478" s="6">
        <v>1</v>
      </c>
      <c r="H478">
        <v>3470</v>
      </c>
      <c r="I478">
        <v>3470</v>
      </c>
      <c r="J478" s="2">
        <v>360.66</v>
      </c>
      <c r="K478" s="16">
        <f>Table13[[#This Row],[Profit]]/Table13[[#This Row],[Sales]]</f>
        <v>0.10393659942363113</v>
      </c>
      <c r="L478" s="17" t="str">
        <f t="shared" si="49"/>
        <v>Low</v>
      </c>
      <c r="M478" s="17" t="str">
        <f t="shared" si="50"/>
        <v>Jan</v>
      </c>
      <c r="N478" s="18">
        <f>YEAR(Table13[[#This Row],[Order_Date]])</f>
        <v>2023</v>
      </c>
      <c r="O478" s="18">
        <f>Table13[[#This Row],[Price]]*0.7</f>
        <v>2429</v>
      </c>
      <c r="P478" s="18">
        <f t="shared" si="51"/>
        <v>1041</v>
      </c>
      <c r="Q478" s="18">
        <f t="shared" si="52"/>
        <v>0.05</v>
      </c>
      <c r="R478" s="18">
        <f t="shared" si="53"/>
        <v>3109.34</v>
      </c>
      <c r="S478" s="18" t="str">
        <f>IF(Table13[[#This Row],[Quantity]]&lt;=3,"Small",IF(Table13[[#This Row],[Quantity]]&lt;=6,"Medium","Bulk"))</f>
        <v>Small</v>
      </c>
      <c r="T478" s="18" t="str">
        <f t="shared" si="54"/>
        <v>High Demand</v>
      </c>
      <c r="U478" s="18" t="str">
        <f t="shared" si="55"/>
        <v>low Value</v>
      </c>
    </row>
    <row r="479" spans="1:21" x14ac:dyDescent="0.3">
      <c r="A479" t="s">
        <v>487</v>
      </c>
      <c r="B479" s="1">
        <v>45286</v>
      </c>
      <c r="C479" t="s">
        <v>1213</v>
      </c>
      <c r="D479" t="s">
        <v>1216</v>
      </c>
      <c r="E479" t="s">
        <v>1219</v>
      </c>
      <c r="F479" t="s">
        <v>1232</v>
      </c>
      <c r="G479" s="6">
        <v>3</v>
      </c>
      <c r="H479">
        <v>660</v>
      </c>
      <c r="I479">
        <v>1980</v>
      </c>
      <c r="J479" s="2">
        <v>431.42</v>
      </c>
      <c r="K479" s="16">
        <f>Table13[[#This Row],[Profit]]/Table13[[#This Row],[Sales]]</f>
        <v>0.21788888888888891</v>
      </c>
      <c r="L479" s="17" t="str">
        <f t="shared" si="49"/>
        <v>Low</v>
      </c>
      <c r="M479" s="17" t="str">
        <f t="shared" si="50"/>
        <v>Dec</v>
      </c>
      <c r="N479" s="18">
        <f>YEAR(Table13[[#This Row],[Order_Date]])</f>
        <v>2023</v>
      </c>
      <c r="O479" s="18">
        <f>Table13[[#This Row],[Price]]*0.7</f>
        <v>461.99999999999994</v>
      </c>
      <c r="P479" s="18">
        <f t="shared" si="51"/>
        <v>594.00000000000023</v>
      </c>
      <c r="Q479" s="18">
        <f t="shared" si="52"/>
        <v>0.05</v>
      </c>
      <c r="R479" s="18">
        <f t="shared" si="53"/>
        <v>1548.58</v>
      </c>
      <c r="S479" s="18" t="str">
        <f>IF(Table13[[#This Row],[Quantity]]&lt;=3,"Small",IF(Table13[[#This Row],[Quantity]]&lt;=6,"Medium","Bulk"))</f>
        <v>Small</v>
      </c>
      <c r="T479" s="18" t="str">
        <f t="shared" si="54"/>
        <v>Normal</v>
      </c>
      <c r="U479" s="18" t="str">
        <f t="shared" si="55"/>
        <v>low Value</v>
      </c>
    </row>
    <row r="480" spans="1:21" x14ac:dyDescent="0.3">
      <c r="A480" t="s">
        <v>488</v>
      </c>
      <c r="B480" s="1">
        <v>45028</v>
      </c>
      <c r="C480" t="s">
        <v>1213</v>
      </c>
      <c r="D480" t="s">
        <v>1216</v>
      </c>
      <c r="E480" t="s">
        <v>1219</v>
      </c>
      <c r="F480" t="s">
        <v>1238</v>
      </c>
      <c r="G480" s="6">
        <v>1</v>
      </c>
      <c r="H480">
        <v>1272</v>
      </c>
      <c r="I480">
        <v>1272</v>
      </c>
      <c r="J480" s="2">
        <v>306.62</v>
      </c>
      <c r="K480" s="16">
        <f>Table13[[#This Row],[Profit]]/Table13[[#This Row],[Sales]]</f>
        <v>0.24105345911949685</v>
      </c>
      <c r="L480" s="17" t="str">
        <f t="shared" si="49"/>
        <v>Low</v>
      </c>
      <c r="M480" s="17" t="str">
        <f t="shared" si="50"/>
        <v>Apr</v>
      </c>
      <c r="N480" s="18">
        <f>YEAR(Table13[[#This Row],[Order_Date]])</f>
        <v>2023</v>
      </c>
      <c r="O480" s="18">
        <f>Table13[[#This Row],[Price]]*0.7</f>
        <v>890.4</v>
      </c>
      <c r="P480" s="18">
        <f t="shared" si="51"/>
        <v>381.6</v>
      </c>
      <c r="Q480" s="18">
        <f t="shared" si="52"/>
        <v>0.05</v>
      </c>
      <c r="R480" s="18">
        <f t="shared" si="53"/>
        <v>965.38</v>
      </c>
      <c r="S480" s="18" t="str">
        <f>IF(Table13[[#This Row],[Quantity]]&lt;=3,"Small",IF(Table13[[#This Row],[Quantity]]&lt;=6,"Medium","Bulk"))</f>
        <v>Small</v>
      </c>
      <c r="T480" s="18" t="str">
        <f t="shared" si="54"/>
        <v>Normal</v>
      </c>
      <c r="U480" s="18" t="str">
        <f t="shared" si="55"/>
        <v>low Value</v>
      </c>
    </row>
    <row r="481" spans="1:21" x14ac:dyDescent="0.3">
      <c r="A481" t="s">
        <v>489</v>
      </c>
      <c r="B481" s="1">
        <v>45167</v>
      </c>
      <c r="C481" t="s">
        <v>1211</v>
      </c>
      <c r="D481" t="s">
        <v>1215</v>
      </c>
      <c r="E481" t="s">
        <v>1222</v>
      </c>
      <c r="F481" t="s">
        <v>1227</v>
      </c>
      <c r="G481" s="6">
        <v>9</v>
      </c>
      <c r="H481">
        <v>4981</v>
      </c>
      <c r="I481">
        <v>44829</v>
      </c>
      <c r="J481" s="2">
        <v>4060.37</v>
      </c>
      <c r="K481" s="16">
        <f>Table13[[#This Row],[Profit]]/Table13[[#This Row],[Sales]]</f>
        <v>9.0574628030962098E-2</v>
      </c>
      <c r="L481" s="17" t="str">
        <f t="shared" si="49"/>
        <v>High</v>
      </c>
      <c r="M481" s="17" t="str">
        <f t="shared" si="50"/>
        <v>Aug</v>
      </c>
      <c r="N481" s="18">
        <f>YEAR(Table13[[#This Row],[Order_Date]])</f>
        <v>2023</v>
      </c>
      <c r="O481" s="18">
        <f>Table13[[#This Row],[Price]]*0.7</f>
        <v>3486.7</v>
      </c>
      <c r="P481" s="18">
        <f t="shared" si="51"/>
        <v>13448.7</v>
      </c>
      <c r="Q481" s="18">
        <f t="shared" si="52"/>
        <v>0.1</v>
      </c>
      <c r="R481" s="18">
        <f t="shared" si="53"/>
        <v>40768.630000000005</v>
      </c>
      <c r="S481" s="18" t="str">
        <f>IF(Table13[[#This Row],[Quantity]]&lt;=3,"Small",IF(Table13[[#This Row],[Quantity]]&lt;=6,"Medium","Bulk"))</f>
        <v>Bulk</v>
      </c>
      <c r="T481" s="18" t="str">
        <f t="shared" si="54"/>
        <v>Normal</v>
      </c>
      <c r="U481" s="18" t="str">
        <f t="shared" si="55"/>
        <v>High Value</v>
      </c>
    </row>
    <row r="482" spans="1:21" x14ac:dyDescent="0.3">
      <c r="A482" t="s">
        <v>490</v>
      </c>
      <c r="B482" s="1">
        <v>45152</v>
      </c>
      <c r="C482" t="s">
        <v>1210</v>
      </c>
      <c r="D482" t="s">
        <v>1215</v>
      </c>
      <c r="E482" t="s">
        <v>1221</v>
      </c>
      <c r="F482" t="s">
        <v>1226</v>
      </c>
      <c r="G482" s="6">
        <v>9</v>
      </c>
      <c r="H482">
        <v>2495</v>
      </c>
      <c r="I482">
        <v>22455</v>
      </c>
      <c r="J482" s="2">
        <v>2308.9699999999998</v>
      </c>
      <c r="K482" s="16">
        <f>Table13[[#This Row],[Profit]]/Table13[[#This Row],[Sales]]</f>
        <v>0.10282654197283454</v>
      </c>
      <c r="L482" s="17" t="str">
        <f t="shared" si="49"/>
        <v>High</v>
      </c>
      <c r="M482" s="17" t="str">
        <f t="shared" si="50"/>
        <v>Aug</v>
      </c>
      <c r="N482" s="18">
        <f>YEAR(Table13[[#This Row],[Order_Date]])</f>
        <v>2023</v>
      </c>
      <c r="O482" s="18">
        <f>Table13[[#This Row],[Price]]*0.7</f>
        <v>1746.5</v>
      </c>
      <c r="P482" s="18">
        <f t="shared" si="51"/>
        <v>6736.5</v>
      </c>
      <c r="Q482" s="18">
        <f t="shared" si="52"/>
        <v>0.1</v>
      </c>
      <c r="R482" s="18">
        <f t="shared" si="53"/>
        <v>20146.03</v>
      </c>
      <c r="S482" s="18" t="str">
        <f>IF(Table13[[#This Row],[Quantity]]&lt;=3,"Small",IF(Table13[[#This Row],[Quantity]]&lt;=6,"Medium","Bulk"))</f>
        <v>Bulk</v>
      </c>
      <c r="T482" s="18" t="str">
        <f t="shared" si="54"/>
        <v>Normal</v>
      </c>
      <c r="U482" s="18" t="str">
        <f t="shared" si="55"/>
        <v>High Value</v>
      </c>
    </row>
    <row r="483" spans="1:21" x14ac:dyDescent="0.3">
      <c r="A483" t="s">
        <v>491</v>
      </c>
      <c r="B483" s="1">
        <v>45136</v>
      </c>
      <c r="C483" t="s">
        <v>1211</v>
      </c>
      <c r="D483" t="s">
        <v>1217</v>
      </c>
      <c r="E483" t="s">
        <v>1220</v>
      </c>
      <c r="F483" t="s">
        <v>1228</v>
      </c>
      <c r="G483" s="6">
        <v>5</v>
      </c>
      <c r="H483">
        <v>3845</v>
      </c>
      <c r="I483">
        <v>19225</v>
      </c>
      <c r="J483" s="2">
        <v>4175.3599999999997</v>
      </c>
      <c r="K483" s="16">
        <f>Table13[[#This Row],[Profit]]/Table13[[#This Row],[Sales]]</f>
        <v>0.21718387516254875</v>
      </c>
      <c r="L483" s="17" t="str">
        <f t="shared" si="49"/>
        <v>Medium</v>
      </c>
      <c r="M483" s="17" t="str">
        <f t="shared" si="50"/>
        <v>Jul</v>
      </c>
      <c r="N483" s="18">
        <f>YEAR(Table13[[#This Row],[Order_Date]])</f>
        <v>2023</v>
      </c>
      <c r="O483" s="18">
        <f>Table13[[#This Row],[Price]]*0.7</f>
        <v>2691.5</v>
      </c>
      <c r="P483" s="18">
        <f t="shared" si="51"/>
        <v>5767.5</v>
      </c>
      <c r="Q483" s="18">
        <f t="shared" si="52"/>
        <v>0.05</v>
      </c>
      <c r="R483" s="18">
        <f t="shared" si="53"/>
        <v>15049.64</v>
      </c>
      <c r="S483" s="18" t="str">
        <f>IF(Table13[[#This Row],[Quantity]]&lt;=3,"Small",IF(Table13[[#This Row],[Quantity]]&lt;=6,"Medium","Bulk"))</f>
        <v>Medium</v>
      </c>
      <c r="T483" s="18" t="str">
        <f t="shared" si="54"/>
        <v>Normal</v>
      </c>
      <c r="U483" s="18" t="str">
        <f t="shared" si="55"/>
        <v>Medium Value</v>
      </c>
    </row>
    <row r="484" spans="1:21" x14ac:dyDescent="0.3">
      <c r="A484" t="s">
        <v>492</v>
      </c>
      <c r="B484" s="1">
        <v>45161</v>
      </c>
      <c r="C484" t="s">
        <v>1213</v>
      </c>
      <c r="D484" t="s">
        <v>1218</v>
      </c>
      <c r="E484" t="s">
        <v>1220</v>
      </c>
      <c r="F484" t="s">
        <v>1228</v>
      </c>
      <c r="G484" s="6">
        <v>3</v>
      </c>
      <c r="H484">
        <v>1316</v>
      </c>
      <c r="I484">
        <v>3948</v>
      </c>
      <c r="J484" s="2">
        <v>638.89</v>
      </c>
      <c r="K484" s="16">
        <f>Table13[[#This Row],[Profit]]/Table13[[#This Row],[Sales]]</f>
        <v>0.16182624113475177</v>
      </c>
      <c r="L484" s="17" t="str">
        <f t="shared" si="49"/>
        <v>Low</v>
      </c>
      <c r="M484" s="17" t="str">
        <f t="shared" si="50"/>
        <v>Aug</v>
      </c>
      <c r="N484" s="18">
        <f>YEAR(Table13[[#This Row],[Order_Date]])</f>
        <v>2023</v>
      </c>
      <c r="O484" s="18">
        <f>Table13[[#This Row],[Price]]*0.7</f>
        <v>921.19999999999993</v>
      </c>
      <c r="P484" s="18">
        <f t="shared" si="51"/>
        <v>1184.4000000000001</v>
      </c>
      <c r="Q484" s="18">
        <f t="shared" si="52"/>
        <v>0.05</v>
      </c>
      <c r="R484" s="18">
        <f t="shared" si="53"/>
        <v>3309.11</v>
      </c>
      <c r="S484" s="18" t="str">
        <f>IF(Table13[[#This Row],[Quantity]]&lt;=3,"Small",IF(Table13[[#This Row],[Quantity]]&lt;=6,"Medium","Bulk"))</f>
        <v>Small</v>
      </c>
      <c r="T484" s="18" t="str">
        <f t="shared" si="54"/>
        <v>Normal</v>
      </c>
      <c r="U484" s="18" t="str">
        <f t="shared" si="55"/>
        <v>low Value</v>
      </c>
    </row>
    <row r="485" spans="1:21" x14ac:dyDescent="0.3">
      <c r="A485" t="s">
        <v>493</v>
      </c>
      <c r="B485" s="1">
        <v>44996</v>
      </c>
      <c r="C485" t="s">
        <v>1212</v>
      </c>
      <c r="D485" t="s">
        <v>1216</v>
      </c>
      <c r="E485" t="s">
        <v>1222</v>
      </c>
      <c r="F485" t="s">
        <v>1236</v>
      </c>
      <c r="G485" s="6">
        <v>2</v>
      </c>
      <c r="H485">
        <v>1746</v>
      </c>
      <c r="I485">
        <v>3492</v>
      </c>
      <c r="J485" s="2">
        <v>511.98</v>
      </c>
      <c r="K485" s="16">
        <f>Table13[[#This Row],[Profit]]/Table13[[#This Row],[Sales]]</f>
        <v>0.14661512027491411</v>
      </c>
      <c r="L485" s="17" t="str">
        <f t="shared" si="49"/>
        <v>Low</v>
      </c>
      <c r="M485" s="17" t="str">
        <f t="shared" si="50"/>
        <v>Mar</v>
      </c>
      <c r="N485" s="18">
        <f>YEAR(Table13[[#This Row],[Order_Date]])</f>
        <v>2023</v>
      </c>
      <c r="O485" s="18">
        <f>Table13[[#This Row],[Price]]*0.7</f>
        <v>1222.1999999999998</v>
      </c>
      <c r="P485" s="18">
        <f t="shared" si="51"/>
        <v>1047.6000000000004</v>
      </c>
      <c r="Q485" s="18">
        <f t="shared" si="52"/>
        <v>0.05</v>
      </c>
      <c r="R485" s="18">
        <f t="shared" si="53"/>
        <v>2980.02</v>
      </c>
      <c r="S485" s="18" t="str">
        <f>IF(Table13[[#This Row],[Quantity]]&lt;=3,"Small",IF(Table13[[#This Row],[Quantity]]&lt;=6,"Medium","Bulk"))</f>
        <v>Small</v>
      </c>
      <c r="T485" s="18" t="str">
        <f t="shared" si="54"/>
        <v>High Demand</v>
      </c>
      <c r="U485" s="18" t="str">
        <f t="shared" si="55"/>
        <v>low Value</v>
      </c>
    </row>
    <row r="486" spans="1:21" x14ac:dyDescent="0.3">
      <c r="A486" t="s">
        <v>494</v>
      </c>
      <c r="B486" s="1">
        <v>45065</v>
      </c>
      <c r="C486" t="s">
        <v>1212</v>
      </c>
      <c r="D486" t="s">
        <v>1218</v>
      </c>
      <c r="E486" t="s">
        <v>1219</v>
      </c>
      <c r="F486" t="s">
        <v>1223</v>
      </c>
      <c r="G486" s="6">
        <v>8</v>
      </c>
      <c r="H486">
        <v>2693</v>
      </c>
      <c r="I486">
        <v>21544</v>
      </c>
      <c r="J486" s="2">
        <v>3809.45</v>
      </c>
      <c r="K486" s="16">
        <f>Table13[[#This Row],[Profit]]/Table13[[#This Row],[Sales]]</f>
        <v>0.17682185295209801</v>
      </c>
      <c r="L486" s="17" t="str">
        <f t="shared" si="49"/>
        <v>High</v>
      </c>
      <c r="M486" s="17" t="str">
        <f t="shared" si="50"/>
        <v>May</v>
      </c>
      <c r="N486" s="18">
        <f>YEAR(Table13[[#This Row],[Order_Date]])</f>
        <v>2023</v>
      </c>
      <c r="O486" s="18">
        <f>Table13[[#This Row],[Price]]*0.7</f>
        <v>1885.1</v>
      </c>
      <c r="P486" s="18">
        <f t="shared" si="51"/>
        <v>6463.2000000000007</v>
      </c>
      <c r="Q486" s="18">
        <f t="shared" si="52"/>
        <v>0.1</v>
      </c>
      <c r="R486" s="18">
        <f t="shared" si="53"/>
        <v>17734.550000000003</v>
      </c>
      <c r="S486" s="18" t="str">
        <f>IF(Table13[[#This Row],[Quantity]]&lt;=3,"Small",IF(Table13[[#This Row],[Quantity]]&lt;=6,"Medium","Bulk"))</f>
        <v>Bulk</v>
      </c>
      <c r="T486" s="18" t="str">
        <f t="shared" si="54"/>
        <v>High Demand</v>
      </c>
      <c r="U486" s="18" t="str">
        <f t="shared" si="55"/>
        <v>High Value</v>
      </c>
    </row>
    <row r="487" spans="1:21" x14ac:dyDescent="0.3">
      <c r="A487" t="s">
        <v>495</v>
      </c>
      <c r="B487" s="1">
        <v>45080</v>
      </c>
      <c r="C487" t="s">
        <v>1211</v>
      </c>
      <c r="D487" t="s">
        <v>1216</v>
      </c>
      <c r="E487" t="s">
        <v>1220</v>
      </c>
      <c r="F487" t="s">
        <v>1237</v>
      </c>
      <c r="G487" s="6">
        <v>7</v>
      </c>
      <c r="H487">
        <v>1069</v>
      </c>
      <c r="I487">
        <v>7483</v>
      </c>
      <c r="J487" s="2">
        <v>1390.33</v>
      </c>
      <c r="K487" s="16">
        <f>Table13[[#This Row],[Profit]]/Table13[[#This Row],[Sales]]</f>
        <v>0.18579847654683948</v>
      </c>
      <c r="L487" s="17" t="str">
        <f t="shared" si="49"/>
        <v>Low</v>
      </c>
      <c r="M487" s="17" t="str">
        <f t="shared" si="50"/>
        <v>Jun</v>
      </c>
      <c r="N487" s="18">
        <f>YEAR(Table13[[#This Row],[Order_Date]])</f>
        <v>2023</v>
      </c>
      <c r="O487" s="18">
        <f>Table13[[#This Row],[Price]]*0.7</f>
        <v>748.3</v>
      </c>
      <c r="P487" s="18">
        <f t="shared" si="51"/>
        <v>2244.9000000000005</v>
      </c>
      <c r="Q487" s="18">
        <f t="shared" si="52"/>
        <v>0.1</v>
      </c>
      <c r="R487" s="18">
        <f t="shared" si="53"/>
        <v>6092.67</v>
      </c>
      <c r="S487" s="18" t="str">
        <f>IF(Table13[[#This Row],[Quantity]]&lt;=3,"Small",IF(Table13[[#This Row],[Quantity]]&lt;=6,"Medium","Bulk"))</f>
        <v>Bulk</v>
      </c>
      <c r="T487" s="18" t="str">
        <f t="shared" si="54"/>
        <v>Normal</v>
      </c>
      <c r="U487" s="18" t="str">
        <f t="shared" si="55"/>
        <v>low Value</v>
      </c>
    </row>
    <row r="488" spans="1:21" x14ac:dyDescent="0.3">
      <c r="A488" t="s">
        <v>496</v>
      </c>
      <c r="B488" s="1">
        <v>45171</v>
      </c>
      <c r="C488" t="s">
        <v>1213</v>
      </c>
      <c r="D488" t="s">
        <v>1217</v>
      </c>
      <c r="E488" t="s">
        <v>1221</v>
      </c>
      <c r="F488" t="s">
        <v>1235</v>
      </c>
      <c r="G488" s="6">
        <v>2</v>
      </c>
      <c r="H488">
        <v>1496</v>
      </c>
      <c r="I488">
        <v>2992</v>
      </c>
      <c r="J488" s="2">
        <v>727.72</v>
      </c>
      <c r="K488" s="16">
        <f>Table13[[#This Row],[Profit]]/Table13[[#This Row],[Sales]]</f>
        <v>0.24322192513368984</v>
      </c>
      <c r="L488" s="17" t="str">
        <f t="shared" si="49"/>
        <v>Low</v>
      </c>
      <c r="M488" s="17" t="str">
        <f t="shared" si="50"/>
        <v>Sep</v>
      </c>
      <c r="N488" s="18">
        <f>YEAR(Table13[[#This Row],[Order_Date]])</f>
        <v>2023</v>
      </c>
      <c r="O488" s="18">
        <f>Table13[[#This Row],[Price]]*0.7</f>
        <v>1047.2</v>
      </c>
      <c r="P488" s="18">
        <f t="shared" si="51"/>
        <v>897.59999999999991</v>
      </c>
      <c r="Q488" s="18">
        <f t="shared" si="52"/>
        <v>0.05</v>
      </c>
      <c r="R488" s="18">
        <f t="shared" si="53"/>
        <v>2264.2800000000002</v>
      </c>
      <c r="S488" s="18" t="str">
        <f>IF(Table13[[#This Row],[Quantity]]&lt;=3,"Small",IF(Table13[[#This Row],[Quantity]]&lt;=6,"Medium","Bulk"))</f>
        <v>Small</v>
      </c>
      <c r="T488" s="18" t="str">
        <f t="shared" si="54"/>
        <v>Normal</v>
      </c>
      <c r="U488" s="18" t="str">
        <f t="shared" si="55"/>
        <v>low Value</v>
      </c>
    </row>
    <row r="489" spans="1:21" x14ac:dyDescent="0.3">
      <c r="A489" t="s">
        <v>497</v>
      </c>
      <c r="B489" s="1">
        <v>45278</v>
      </c>
      <c r="C489" t="s">
        <v>1213</v>
      </c>
      <c r="D489" t="s">
        <v>1218</v>
      </c>
      <c r="E489" t="s">
        <v>1220</v>
      </c>
      <c r="F489" t="s">
        <v>1237</v>
      </c>
      <c r="G489" s="6">
        <v>8</v>
      </c>
      <c r="H489">
        <v>3412</v>
      </c>
      <c r="I489">
        <v>27296</v>
      </c>
      <c r="J489" s="2">
        <v>6147.54</v>
      </c>
      <c r="K489" s="16">
        <f>Table13[[#This Row],[Profit]]/Table13[[#This Row],[Sales]]</f>
        <v>0.2252176143024619</v>
      </c>
      <c r="L489" s="17" t="str">
        <f t="shared" si="49"/>
        <v>High</v>
      </c>
      <c r="M489" s="17" t="str">
        <f t="shared" si="50"/>
        <v>Dec</v>
      </c>
      <c r="N489" s="18">
        <f>YEAR(Table13[[#This Row],[Order_Date]])</f>
        <v>2023</v>
      </c>
      <c r="O489" s="18">
        <f>Table13[[#This Row],[Price]]*0.7</f>
        <v>2388.3999999999996</v>
      </c>
      <c r="P489" s="18">
        <f t="shared" si="51"/>
        <v>8188.8000000000029</v>
      </c>
      <c r="Q489" s="18">
        <f t="shared" si="52"/>
        <v>0.1</v>
      </c>
      <c r="R489" s="18">
        <f t="shared" si="53"/>
        <v>21148.46</v>
      </c>
      <c r="S489" s="18" t="str">
        <f>IF(Table13[[#This Row],[Quantity]]&lt;=3,"Small",IF(Table13[[#This Row],[Quantity]]&lt;=6,"Medium","Bulk"))</f>
        <v>Bulk</v>
      </c>
      <c r="T489" s="18" t="str">
        <f t="shared" si="54"/>
        <v>Normal</v>
      </c>
      <c r="U489" s="18" t="str">
        <f t="shared" si="55"/>
        <v>High Value</v>
      </c>
    </row>
    <row r="490" spans="1:21" x14ac:dyDescent="0.3">
      <c r="A490" t="s">
        <v>498</v>
      </c>
      <c r="B490" s="1">
        <v>45168</v>
      </c>
      <c r="C490" t="s">
        <v>1211</v>
      </c>
      <c r="D490" t="s">
        <v>1215</v>
      </c>
      <c r="E490" t="s">
        <v>1219</v>
      </c>
      <c r="F490" t="s">
        <v>1238</v>
      </c>
      <c r="G490" s="6">
        <v>1</v>
      </c>
      <c r="H490">
        <v>4482</v>
      </c>
      <c r="I490">
        <v>4482</v>
      </c>
      <c r="J490" s="2">
        <v>1090.1500000000001</v>
      </c>
      <c r="K490" s="16">
        <f>Table13[[#This Row],[Profit]]/Table13[[#This Row],[Sales]]</f>
        <v>0.24322846943328874</v>
      </c>
      <c r="L490" s="17" t="str">
        <f t="shared" si="49"/>
        <v>Low</v>
      </c>
      <c r="M490" s="17" t="str">
        <f t="shared" si="50"/>
        <v>Aug</v>
      </c>
      <c r="N490" s="18">
        <f>YEAR(Table13[[#This Row],[Order_Date]])</f>
        <v>2023</v>
      </c>
      <c r="O490" s="18">
        <f>Table13[[#This Row],[Price]]*0.7</f>
        <v>3137.3999999999996</v>
      </c>
      <c r="P490" s="18">
        <f t="shared" si="51"/>
        <v>1344.6000000000004</v>
      </c>
      <c r="Q490" s="18">
        <f t="shared" si="52"/>
        <v>0.05</v>
      </c>
      <c r="R490" s="18">
        <f t="shared" si="53"/>
        <v>3391.85</v>
      </c>
      <c r="S490" s="18" t="str">
        <f>IF(Table13[[#This Row],[Quantity]]&lt;=3,"Small",IF(Table13[[#This Row],[Quantity]]&lt;=6,"Medium","Bulk"))</f>
        <v>Small</v>
      </c>
      <c r="T490" s="18" t="str">
        <f t="shared" si="54"/>
        <v>Normal</v>
      </c>
      <c r="U490" s="18" t="str">
        <f t="shared" si="55"/>
        <v>low Value</v>
      </c>
    </row>
    <row r="491" spans="1:21" x14ac:dyDescent="0.3">
      <c r="A491" t="s">
        <v>499</v>
      </c>
      <c r="B491" s="1">
        <v>45027</v>
      </c>
      <c r="C491" t="s">
        <v>1213</v>
      </c>
      <c r="D491" t="s">
        <v>1216</v>
      </c>
      <c r="E491" t="s">
        <v>1220</v>
      </c>
      <c r="F491" t="s">
        <v>1224</v>
      </c>
      <c r="G491" s="6">
        <v>9</v>
      </c>
      <c r="H491">
        <v>2668</v>
      </c>
      <c r="I491">
        <v>24012</v>
      </c>
      <c r="J491" s="2">
        <v>1957.86</v>
      </c>
      <c r="K491" s="16">
        <f>Table13[[#This Row],[Profit]]/Table13[[#This Row],[Sales]]</f>
        <v>8.1536731634182902E-2</v>
      </c>
      <c r="L491" s="17" t="str">
        <f t="shared" si="49"/>
        <v>High</v>
      </c>
      <c r="M491" s="17" t="str">
        <f t="shared" si="50"/>
        <v>Apr</v>
      </c>
      <c r="N491" s="18">
        <f>YEAR(Table13[[#This Row],[Order_Date]])</f>
        <v>2023</v>
      </c>
      <c r="O491" s="18">
        <f>Table13[[#This Row],[Price]]*0.7</f>
        <v>1867.6</v>
      </c>
      <c r="P491" s="18">
        <f t="shared" si="51"/>
        <v>7203.6000000000022</v>
      </c>
      <c r="Q491" s="18">
        <f t="shared" si="52"/>
        <v>0.1</v>
      </c>
      <c r="R491" s="18">
        <f t="shared" si="53"/>
        <v>22054.140000000003</v>
      </c>
      <c r="S491" s="18" t="str">
        <f>IF(Table13[[#This Row],[Quantity]]&lt;=3,"Small",IF(Table13[[#This Row],[Quantity]]&lt;=6,"Medium","Bulk"))</f>
        <v>Bulk</v>
      </c>
      <c r="T491" s="18" t="str">
        <f t="shared" si="54"/>
        <v>Normal</v>
      </c>
      <c r="U491" s="18" t="str">
        <f t="shared" si="55"/>
        <v>High Value</v>
      </c>
    </row>
    <row r="492" spans="1:21" x14ac:dyDescent="0.3">
      <c r="A492" t="s">
        <v>500</v>
      </c>
      <c r="B492" s="1">
        <v>45248</v>
      </c>
      <c r="C492" t="s">
        <v>1210</v>
      </c>
      <c r="D492" t="s">
        <v>1214</v>
      </c>
      <c r="E492" t="s">
        <v>1220</v>
      </c>
      <c r="F492" t="s">
        <v>1237</v>
      </c>
      <c r="G492" s="6">
        <v>5</v>
      </c>
      <c r="H492">
        <v>2417</v>
      </c>
      <c r="I492">
        <v>12085</v>
      </c>
      <c r="J492" s="2">
        <v>1627.65</v>
      </c>
      <c r="K492" s="16">
        <f>Table13[[#This Row],[Profit]]/Table13[[#This Row],[Sales]]</f>
        <v>0.13468349193214729</v>
      </c>
      <c r="L492" s="17" t="str">
        <f t="shared" si="49"/>
        <v>Medium</v>
      </c>
      <c r="M492" s="17" t="str">
        <f t="shared" si="50"/>
        <v>Nov</v>
      </c>
      <c r="N492" s="18">
        <f>YEAR(Table13[[#This Row],[Order_Date]])</f>
        <v>2023</v>
      </c>
      <c r="O492" s="18">
        <f>Table13[[#This Row],[Price]]*0.7</f>
        <v>1691.8999999999999</v>
      </c>
      <c r="P492" s="18">
        <f t="shared" si="51"/>
        <v>3625.5</v>
      </c>
      <c r="Q492" s="18">
        <f t="shared" si="52"/>
        <v>0.05</v>
      </c>
      <c r="R492" s="18">
        <f t="shared" si="53"/>
        <v>10457.349999999999</v>
      </c>
      <c r="S492" s="18" t="str">
        <f>IF(Table13[[#This Row],[Quantity]]&lt;=3,"Small",IF(Table13[[#This Row],[Quantity]]&lt;=6,"Medium","Bulk"))</f>
        <v>Medium</v>
      </c>
      <c r="T492" s="18" t="str">
        <f t="shared" si="54"/>
        <v>Normal</v>
      </c>
      <c r="U492" s="18" t="str">
        <f t="shared" si="55"/>
        <v>Medium Value</v>
      </c>
    </row>
    <row r="493" spans="1:21" x14ac:dyDescent="0.3">
      <c r="A493" t="s">
        <v>501</v>
      </c>
      <c r="B493" s="1">
        <v>45067</v>
      </c>
      <c r="C493" t="s">
        <v>1212</v>
      </c>
      <c r="D493" t="s">
        <v>1217</v>
      </c>
      <c r="E493" t="s">
        <v>1220</v>
      </c>
      <c r="F493" t="s">
        <v>1228</v>
      </c>
      <c r="G493" s="6">
        <v>9</v>
      </c>
      <c r="H493">
        <v>4644</v>
      </c>
      <c r="I493">
        <v>41796</v>
      </c>
      <c r="J493" s="2">
        <v>6760.56</v>
      </c>
      <c r="K493" s="16">
        <f>Table13[[#This Row],[Profit]]/Table13[[#This Row],[Sales]]</f>
        <v>0.16175136376686766</v>
      </c>
      <c r="L493" s="17" t="str">
        <f t="shared" si="49"/>
        <v>High</v>
      </c>
      <c r="M493" s="17" t="str">
        <f t="shared" si="50"/>
        <v>May</v>
      </c>
      <c r="N493" s="18">
        <f>YEAR(Table13[[#This Row],[Order_Date]])</f>
        <v>2023</v>
      </c>
      <c r="O493" s="18">
        <f>Table13[[#This Row],[Price]]*0.7</f>
        <v>3250.7999999999997</v>
      </c>
      <c r="P493" s="18">
        <f t="shared" si="51"/>
        <v>12538.800000000003</v>
      </c>
      <c r="Q493" s="18">
        <f t="shared" si="52"/>
        <v>0.1</v>
      </c>
      <c r="R493" s="18">
        <f t="shared" si="53"/>
        <v>35035.439999999995</v>
      </c>
      <c r="S493" s="18" t="str">
        <f>IF(Table13[[#This Row],[Quantity]]&lt;=3,"Small",IF(Table13[[#This Row],[Quantity]]&lt;=6,"Medium","Bulk"))</f>
        <v>Bulk</v>
      </c>
      <c r="T493" s="18" t="str">
        <f t="shared" si="54"/>
        <v>High Demand</v>
      </c>
      <c r="U493" s="18" t="str">
        <f t="shared" si="55"/>
        <v>High Value</v>
      </c>
    </row>
    <row r="494" spans="1:21" x14ac:dyDescent="0.3">
      <c r="A494" t="s">
        <v>502</v>
      </c>
      <c r="B494" s="1">
        <v>45055</v>
      </c>
      <c r="C494" t="s">
        <v>1213</v>
      </c>
      <c r="D494" t="s">
        <v>1218</v>
      </c>
      <c r="E494" t="s">
        <v>1221</v>
      </c>
      <c r="F494" t="s">
        <v>1231</v>
      </c>
      <c r="G494" s="6">
        <v>6</v>
      </c>
      <c r="H494">
        <v>3518</v>
      </c>
      <c r="I494">
        <v>21108</v>
      </c>
      <c r="J494" s="2">
        <v>4988.25</v>
      </c>
      <c r="K494" s="16">
        <f>Table13[[#This Row],[Profit]]/Table13[[#This Row],[Sales]]</f>
        <v>0.23632035247299601</v>
      </c>
      <c r="L494" s="17" t="str">
        <f t="shared" si="49"/>
        <v>High</v>
      </c>
      <c r="M494" s="17" t="str">
        <f t="shared" si="50"/>
        <v>May</v>
      </c>
      <c r="N494" s="18">
        <f>YEAR(Table13[[#This Row],[Order_Date]])</f>
        <v>2023</v>
      </c>
      <c r="O494" s="18">
        <f>Table13[[#This Row],[Price]]*0.7</f>
        <v>2462.6</v>
      </c>
      <c r="P494" s="18">
        <f t="shared" si="51"/>
        <v>6332.4000000000015</v>
      </c>
      <c r="Q494" s="18">
        <f t="shared" si="52"/>
        <v>0.1</v>
      </c>
      <c r="R494" s="18">
        <f t="shared" si="53"/>
        <v>16119.75</v>
      </c>
      <c r="S494" s="18" t="str">
        <f>IF(Table13[[#This Row],[Quantity]]&lt;=3,"Small",IF(Table13[[#This Row],[Quantity]]&lt;=6,"Medium","Bulk"))</f>
        <v>Medium</v>
      </c>
      <c r="T494" s="18" t="str">
        <f t="shared" si="54"/>
        <v>Normal</v>
      </c>
      <c r="U494" s="18" t="str">
        <f t="shared" si="55"/>
        <v>High Value</v>
      </c>
    </row>
    <row r="495" spans="1:21" x14ac:dyDescent="0.3">
      <c r="A495" t="s">
        <v>503</v>
      </c>
      <c r="B495" s="1">
        <v>45043</v>
      </c>
      <c r="C495" t="s">
        <v>1211</v>
      </c>
      <c r="D495" t="s">
        <v>1214</v>
      </c>
      <c r="E495" t="s">
        <v>1222</v>
      </c>
      <c r="F495" t="s">
        <v>1227</v>
      </c>
      <c r="G495" s="6">
        <v>1</v>
      </c>
      <c r="H495">
        <v>4106</v>
      </c>
      <c r="I495">
        <v>4106</v>
      </c>
      <c r="J495" s="2">
        <v>602.41999999999996</v>
      </c>
      <c r="K495" s="16">
        <f>Table13[[#This Row],[Profit]]/Table13[[#This Row],[Sales]]</f>
        <v>0.14671699951290793</v>
      </c>
      <c r="L495" s="17" t="str">
        <f t="shared" si="49"/>
        <v>Low</v>
      </c>
      <c r="M495" s="17" t="str">
        <f t="shared" si="50"/>
        <v>Apr</v>
      </c>
      <c r="N495" s="18">
        <f>YEAR(Table13[[#This Row],[Order_Date]])</f>
        <v>2023</v>
      </c>
      <c r="O495" s="18">
        <f>Table13[[#This Row],[Price]]*0.7</f>
        <v>2874.2</v>
      </c>
      <c r="P495" s="18">
        <f t="shared" si="51"/>
        <v>1231.8000000000002</v>
      </c>
      <c r="Q495" s="18">
        <f t="shared" si="52"/>
        <v>0.05</v>
      </c>
      <c r="R495" s="18">
        <f t="shared" si="53"/>
        <v>3503.58</v>
      </c>
      <c r="S495" s="18" t="str">
        <f>IF(Table13[[#This Row],[Quantity]]&lt;=3,"Small",IF(Table13[[#This Row],[Quantity]]&lt;=6,"Medium","Bulk"))</f>
        <v>Small</v>
      </c>
      <c r="T495" s="18" t="str">
        <f t="shared" si="54"/>
        <v>Normal</v>
      </c>
      <c r="U495" s="18" t="str">
        <f t="shared" si="55"/>
        <v>low Value</v>
      </c>
    </row>
    <row r="496" spans="1:21" x14ac:dyDescent="0.3">
      <c r="A496" t="s">
        <v>504</v>
      </c>
      <c r="B496" s="1">
        <v>44943</v>
      </c>
      <c r="C496" t="s">
        <v>1211</v>
      </c>
      <c r="D496" t="s">
        <v>1215</v>
      </c>
      <c r="E496" t="s">
        <v>1219</v>
      </c>
      <c r="F496" t="s">
        <v>1232</v>
      </c>
      <c r="G496" s="6">
        <v>7</v>
      </c>
      <c r="H496">
        <v>3874</v>
      </c>
      <c r="I496">
        <v>27118</v>
      </c>
      <c r="J496" s="2">
        <v>3439.73</v>
      </c>
      <c r="K496" s="16">
        <f>Table13[[#This Row],[Profit]]/Table13[[#This Row],[Sales]]</f>
        <v>0.12684305627258646</v>
      </c>
      <c r="L496" s="17" t="str">
        <f t="shared" si="49"/>
        <v>High</v>
      </c>
      <c r="M496" s="17" t="str">
        <f t="shared" si="50"/>
        <v>Jan</v>
      </c>
      <c r="N496" s="18">
        <f>YEAR(Table13[[#This Row],[Order_Date]])</f>
        <v>2023</v>
      </c>
      <c r="O496" s="18">
        <f>Table13[[#This Row],[Price]]*0.7</f>
        <v>2711.7999999999997</v>
      </c>
      <c r="P496" s="18">
        <f t="shared" si="51"/>
        <v>8135.4000000000015</v>
      </c>
      <c r="Q496" s="18">
        <f t="shared" si="52"/>
        <v>0.1</v>
      </c>
      <c r="R496" s="18">
        <f t="shared" si="53"/>
        <v>23678.27</v>
      </c>
      <c r="S496" s="18" t="str">
        <f>IF(Table13[[#This Row],[Quantity]]&lt;=3,"Small",IF(Table13[[#This Row],[Quantity]]&lt;=6,"Medium","Bulk"))</f>
        <v>Bulk</v>
      </c>
      <c r="T496" s="18" t="str">
        <f t="shared" si="54"/>
        <v>Normal</v>
      </c>
      <c r="U496" s="18" t="str">
        <f t="shared" si="55"/>
        <v>High Value</v>
      </c>
    </row>
    <row r="497" spans="1:21" x14ac:dyDescent="0.3">
      <c r="A497" t="s">
        <v>505</v>
      </c>
      <c r="B497" s="1">
        <v>45250</v>
      </c>
      <c r="C497" t="s">
        <v>1212</v>
      </c>
      <c r="D497" t="s">
        <v>1217</v>
      </c>
      <c r="E497" t="s">
        <v>1221</v>
      </c>
      <c r="F497" t="s">
        <v>1231</v>
      </c>
      <c r="G497" s="6">
        <v>4</v>
      </c>
      <c r="H497">
        <v>892</v>
      </c>
      <c r="I497">
        <v>3568</v>
      </c>
      <c r="J497" s="2">
        <v>502.94</v>
      </c>
      <c r="K497" s="16">
        <f>Table13[[#This Row],[Profit]]/Table13[[#This Row],[Sales]]</f>
        <v>0.14095852017937219</v>
      </c>
      <c r="L497" s="17" t="str">
        <f t="shared" si="49"/>
        <v>Low</v>
      </c>
      <c r="M497" s="17" t="str">
        <f t="shared" si="50"/>
        <v>Nov</v>
      </c>
      <c r="N497" s="18">
        <f>YEAR(Table13[[#This Row],[Order_Date]])</f>
        <v>2023</v>
      </c>
      <c r="O497" s="18">
        <f>Table13[[#This Row],[Price]]*0.7</f>
        <v>624.4</v>
      </c>
      <c r="P497" s="18">
        <f t="shared" si="51"/>
        <v>1070.4000000000001</v>
      </c>
      <c r="Q497" s="18">
        <f t="shared" si="52"/>
        <v>0.05</v>
      </c>
      <c r="R497" s="18">
        <f t="shared" si="53"/>
        <v>3065.06</v>
      </c>
      <c r="S497" s="18" t="str">
        <f>IF(Table13[[#This Row],[Quantity]]&lt;=3,"Small",IF(Table13[[#This Row],[Quantity]]&lt;=6,"Medium","Bulk"))</f>
        <v>Medium</v>
      </c>
      <c r="T497" s="18" t="str">
        <f t="shared" si="54"/>
        <v>High Demand</v>
      </c>
      <c r="U497" s="18" t="str">
        <f t="shared" si="55"/>
        <v>low Value</v>
      </c>
    </row>
    <row r="498" spans="1:21" x14ac:dyDescent="0.3">
      <c r="A498" t="s">
        <v>506</v>
      </c>
      <c r="B498" s="1">
        <v>45241</v>
      </c>
      <c r="C498" t="s">
        <v>1210</v>
      </c>
      <c r="D498" t="s">
        <v>1218</v>
      </c>
      <c r="E498" t="s">
        <v>1222</v>
      </c>
      <c r="F498" t="s">
        <v>1230</v>
      </c>
      <c r="G498" s="6">
        <v>4</v>
      </c>
      <c r="H498">
        <v>3899</v>
      </c>
      <c r="I498">
        <v>15596</v>
      </c>
      <c r="J498" s="2">
        <v>1320.64</v>
      </c>
      <c r="K498" s="16">
        <f>Table13[[#This Row],[Profit]]/Table13[[#This Row],[Sales]]</f>
        <v>8.4678122595537322E-2</v>
      </c>
      <c r="L498" s="17" t="str">
        <f t="shared" si="49"/>
        <v>Medium</v>
      </c>
      <c r="M498" s="17" t="str">
        <f t="shared" si="50"/>
        <v>Nov</v>
      </c>
      <c r="N498" s="18">
        <f>YEAR(Table13[[#This Row],[Order_Date]])</f>
        <v>2023</v>
      </c>
      <c r="O498" s="18">
        <f>Table13[[#This Row],[Price]]*0.7</f>
        <v>2729.2999999999997</v>
      </c>
      <c r="P498" s="18">
        <f t="shared" si="51"/>
        <v>4678.8000000000011</v>
      </c>
      <c r="Q498" s="18">
        <f t="shared" si="52"/>
        <v>0.05</v>
      </c>
      <c r="R498" s="18">
        <f t="shared" si="53"/>
        <v>14275.36</v>
      </c>
      <c r="S498" s="18" t="str">
        <f>IF(Table13[[#This Row],[Quantity]]&lt;=3,"Small",IF(Table13[[#This Row],[Quantity]]&lt;=6,"Medium","Bulk"))</f>
        <v>Medium</v>
      </c>
      <c r="T498" s="18" t="str">
        <f t="shared" si="54"/>
        <v>Normal</v>
      </c>
      <c r="U498" s="18" t="str">
        <f t="shared" si="55"/>
        <v>Medium Value</v>
      </c>
    </row>
    <row r="499" spans="1:21" x14ac:dyDescent="0.3">
      <c r="A499" t="s">
        <v>507</v>
      </c>
      <c r="B499" s="1">
        <v>45147</v>
      </c>
      <c r="C499" t="s">
        <v>1213</v>
      </c>
      <c r="D499" t="s">
        <v>1215</v>
      </c>
      <c r="E499" t="s">
        <v>1222</v>
      </c>
      <c r="F499" t="s">
        <v>1234</v>
      </c>
      <c r="G499" s="6">
        <v>1</v>
      </c>
      <c r="H499">
        <v>2601</v>
      </c>
      <c r="I499">
        <v>2601</v>
      </c>
      <c r="J499" s="2">
        <v>508.56</v>
      </c>
      <c r="K499" s="16">
        <f>Table13[[#This Row],[Profit]]/Table13[[#This Row],[Sales]]</f>
        <v>0.19552479815455595</v>
      </c>
      <c r="L499" s="17" t="str">
        <f t="shared" si="49"/>
        <v>Low</v>
      </c>
      <c r="M499" s="17" t="str">
        <f t="shared" si="50"/>
        <v>Aug</v>
      </c>
      <c r="N499" s="18">
        <f>YEAR(Table13[[#This Row],[Order_Date]])</f>
        <v>2023</v>
      </c>
      <c r="O499" s="18">
        <f>Table13[[#This Row],[Price]]*0.7</f>
        <v>1820.6999999999998</v>
      </c>
      <c r="P499" s="18">
        <f t="shared" si="51"/>
        <v>780.30000000000018</v>
      </c>
      <c r="Q499" s="18">
        <f t="shared" si="52"/>
        <v>0.05</v>
      </c>
      <c r="R499" s="18">
        <f t="shared" si="53"/>
        <v>2092.44</v>
      </c>
      <c r="S499" s="18" t="str">
        <f>IF(Table13[[#This Row],[Quantity]]&lt;=3,"Small",IF(Table13[[#This Row],[Quantity]]&lt;=6,"Medium","Bulk"))</f>
        <v>Small</v>
      </c>
      <c r="T499" s="18" t="str">
        <f t="shared" si="54"/>
        <v>Normal</v>
      </c>
      <c r="U499" s="18" t="str">
        <f t="shared" si="55"/>
        <v>low Value</v>
      </c>
    </row>
    <row r="500" spans="1:21" x14ac:dyDescent="0.3">
      <c r="A500" t="s">
        <v>508</v>
      </c>
      <c r="B500" s="1">
        <v>45208</v>
      </c>
      <c r="C500" t="s">
        <v>1210</v>
      </c>
      <c r="D500" t="s">
        <v>1214</v>
      </c>
      <c r="E500" t="s">
        <v>1221</v>
      </c>
      <c r="F500" t="s">
        <v>1235</v>
      </c>
      <c r="G500" s="6">
        <v>8</v>
      </c>
      <c r="H500">
        <v>860</v>
      </c>
      <c r="I500">
        <v>6880</v>
      </c>
      <c r="J500" s="2">
        <v>1154.73</v>
      </c>
      <c r="K500" s="16">
        <f>Table13[[#This Row],[Profit]]/Table13[[#This Row],[Sales]]</f>
        <v>0.16783866279069767</v>
      </c>
      <c r="L500" s="17" t="str">
        <f t="shared" si="49"/>
        <v>Low</v>
      </c>
      <c r="M500" s="17" t="str">
        <f t="shared" si="50"/>
        <v>Oct</v>
      </c>
      <c r="N500" s="18">
        <f>YEAR(Table13[[#This Row],[Order_Date]])</f>
        <v>2023</v>
      </c>
      <c r="O500" s="18">
        <f>Table13[[#This Row],[Price]]*0.7</f>
        <v>602</v>
      </c>
      <c r="P500" s="18">
        <f t="shared" si="51"/>
        <v>2064</v>
      </c>
      <c r="Q500" s="18">
        <f t="shared" si="52"/>
        <v>0.1</v>
      </c>
      <c r="R500" s="18">
        <f t="shared" si="53"/>
        <v>5725.2699999999995</v>
      </c>
      <c r="S500" s="18" t="str">
        <f>IF(Table13[[#This Row],[Quantity]]&lt;=3,"Small",IF(Table13[[#This Row],[Quantity]]&lt;=6,"Medium","Bulk"))</f>
        <v>Bulk</v>
      </c>
      <c r="T500" s="18" t="str">
        <f t="shared" si="54"/>
        <v>Normal</v>
      </c>
      <c r="U500" s="18" t="str">
        <f t="shared" si="55"/>
        <v>low Value</v>
      </c>
    </row>
    <row r="501" spans="1:21" x14ac:dyDescent="0.3">
      <c r="A501" t="s">
        <v>509</v>
      </c>
      <c r="B501" s="1">
        <v>44966</v>
      </c>
      <c r="C501" t="s">
        <v>1212</v>
      </c>
      <c r="D501" t="s">
        <v>1239</v>
      </c>
      <c r="E501" t="s">
        <v>1222</v>
      </c>
      <c r="F501" t="s">
        <v>1236</v>
      </c>
      <c r="G501" s="6">
        <v>7</v>
      </c>
      <c r="H501">
        <v>2238</v>
      </c>
      <c r="I501">
        <v>15666</v>
      </c>
      <c r="J501" s="2">
        <v>3773.9</v>
      </c>
      <c r="K501" s="16">
        <f>Table13[[#This Row],[Profit]]/Table13[[#This Row],[Sales]]</f>
        <v>0.24089748499936167</v>
      </c>
      <c r="L501" s="17" t="str">
        <f t="shared" si="49"/>
        <v>Medium</v>
      </c>
      <c r="M501" s="17" t="str">
        <f t="shared" si="50"/>
        <v>Feb</v>
      </c>
      <c r="N501" s="18">
        <f>YEAR(Table13[[#This Row],[Order_Date]])</f>
        <v>2023</v>
      </c>
      <c r="O501" s="18">
        <f>Table13[[#This Row],[Price]]*0.7</f>
        <v>1566.6</v>
      </c>
      <c r="P501" s="18">
        <f t="shared" si="51"/>
        <v>4699.8000000000011</v>
      </c>
      <c r="Q501" s="18">
        <f t="shared" si="52"/>
        <v>0.1</v>
      </c>
      <c r="R501" s="18">
        <f t="shared" si="53"/>
        <v>11892.1</v>
      </c>
      <c r="S501" s="18" t="str">
        <f>IF(Table13[[#This Row],[Quantity]]&lt;=3,"Small",IF(Table13[[#This Row],[Quantity]]&lt;=6,"Medium","Bulk"))</f>
        <v>Bulk</v>
      </c>
      <c r="T501" s="18" t="str">
        <f t="shared" si="54"/>
        <v>High Demand</v>
      </c>
      <c r="U501" s="18" t="str">
        <f t="shared" si="55"/>
        <v>Medium Value</v>
      </c>
    </row>
    <row r="502" spans="1:21" x14ac:dyDescent="0.3">
      <c r="A502" t="s">
        <v>510</v>
      </c>
      <c r="B502" s="1">
        <v>45168</v>
      </c>
      <c r="C502" t="s">
        <v>1213</v>
      </c>
      <c r="D502" t="s">
        <v>1215</v>
      </c>
      <c r="E502" t="s">
        <v>1220</v>
      </c>
      <c r="F502" t="s">
        <v>1224</v>
      </c>
      <c r="G502" s="6">
        <v>7</v>
      </c>
      <c r="H502">
        <v>1073</v>
      </c>
      <c r="I502">
        <v>7511</v>
      </c>
      <c r="J502" s="2">
        <v>1735.87</v>
      </c>
      <c r="K502" s="16">
        <f>Table13[[#This Row],[Profit]]/Table13[[#This Row],[Sales]]</f>
        <v>0.23111037145519903</v>
      </c>
      <c r="L502" s="17" t="str">
        <f t="shared" si="49"/>
        <v>Low</v>
      </c>
      <c r="M502" s="17" t="str">
        <f t="shared" si="50"/>
        <v>Aug</v>
      </c>
      <c r="N502" s="18">
        <f>YEAR(Table13[[#This Row],[Order_Date]])</f>
        <v>2023</v>
      </c>
      <c r="O502" s="18">
        <f>Table13[[#This Row],[Price]]*0.7</f>
        <v>751.09999999999991</v>
      </c>
      <c r="P502" s="18">
        <f t="shared" si="51"/>
        <v>2253.3000000000011</v>
      </c>
      <c r="Q502" s="18">
        <f t="shared" si="52"/>
        <v>0.1</v>
      </c>
      <c r="R502" s="18">
        <f t="shared" si="53"/>
        <v>5775.13</v>
      </c>
      <c r="S502" s="18" t="str">
        <f>IF(Table13[[#This Row],[Quantity]]&lt;=3,"Small",IF(Table13[[#This Row],[Quantity]]&lt;=6,"Medium","Bulk"))</f>
        <v>Bulk</v>
      </c>
      <c r="T502" s="18" t="str">
        <f t="shared" si="54"/>
        <v>Normal</v>
      </c>
      <c r="U502" s="18" t="str">
        <f t="shared" si="55"/>
        <v>low Value</v>
      </c>
    </row>
    <row r="503" spans="1:21" x14ac:dyDescent="0.3">
      <c r="A503" t="s">
        <v>511</v>
      </c>
      <c r="B503" s="1">
        <v>45029</v>
      </c>
      <c r="C503" t="s">
        <v>1211</v>
      </c>
      <c r="D503" t="s">
        <v>1216</v>
      </c>
      <c r="E503" t="s">
        <v>1222</v>
      </c>
      <c r="F503" t="s">
        <v>1236</v>
      </c>
      <c r="G503" s="6">
        <v>9</v>
      </c>
      <c r="H503">
        <v>1591</v>
      </c>
      <c r="I503">
        <v>14319</v>
      </c>
      <c r="J503" s="2">
        <v>1952.62</v>
      </c>
      <c r="K503" s="16">
        <f>Table13[[#This Row],[Profit]]/Table13[[#This Row],[Sales]]</f>
        <v>0.13636566799357497</v>
      </c>
      <c r="L503" s="17" t="str">
        <f t="shared" si="49"/>
        <v>Medium</v>
      </c>
      <c r="M503" s="17" t="str">
        <f t="shared" si="50"/>
        <v>Apr</v>
      </c>
      <c r="N503" s="18">
        <f>YEAR(Table13[[#This Row],[Order_Date]])</f>
        <v>2023</v>
      </c>
      <c r="O503" s="18">
        <f>Table13[[#This Row],[Price]]*0.7</f>
        <v>1113.6999999999998</v>
      </c>
      <c r="P503" s="18">
        <f t="shared" si="51"/>
        <v>4295.7000000000007</v>
      </c>
      <c r="Q503" s="18">
        <f t="shared" si="52"/>
        <v>0.1</v>
      </c>
      <c r="R503" s="18">
        <f t="shared" si="53"/>
        <v>12366.38</v>
      </c>
      <c r="S503" s="18" t="str">
        <f>IF(Table13[[#This Row],[Quantity]]&lt;=3,"Small",IF(Table13[[#This Row],[Quantity]]&lt;=6,"Medium","Bulk"))</f>
        <v>Bulk</v>
      </c>
      <c r="T503" s="18" t="str">
        <f t="shared" si="54"/>
        <v>Normal</v>
      </c>
      <c r="U503" s="18" t="str">
        <f t="shared" si="55"/>
        <v>Medium Value</v>
      </c>
    </row>
    <row r="504" spans="1:21" x14ac:dyDescent="0.3">
      <c r="A504" t="s">
        <v>512</v>
      </c>
      <c r="B504" s="1">
        <v>45121</v>
      </c>
      <c r="C504" t="s">
        <v>1210</v>
      </c>
      <c r="D504" t="s">
        <v>1214</v>
      </c>
      <c r="E504" t="s">
        <v>1220</v>
      </c>
      <c r="F504" t="s">
        <v>1228</v>
      </c>
      <c r="G504" s="6">
        <v>4</v>
      </c>
      <c r="H504">
        <v>470</v>
      </c>
      <c r="I504">
        <v>1880</v>
      </c>
      <c r="J504" s="2">
        <v>431.49</v>
      </c>
      <c r="K504" s="16">
        <f>Table13[[#This Row],[Profit]]/Table13[[#This Row],[Sales]]</f>
        <v>0.22951595744680853</v>
      </c>
      <c r="L504" s="17" t="str">
        <f t="shared" si="49"/>
        <v>Low</v>
      </c>
      <c r="M504" s="17" t="str">
        <f t="shared" si="50"/>
        <v>Jul</v>
      </c>
      <c r="N504" s="18">
        <f>YEAR(Table13[[#This Row],[Order_Date]])</f>
        <v>2023</v>
      </c>
      <c r="O504" s="18">
        <f>Table13[[#This Row],[Price]]*0.7</f>
        <v>329</v>
      </c>
      <c r="P504" s="18">
        <f t="shared" si="51"/>
        <v>564</v>
      </c>
      <c r="Q504" s="18">
        <f t="shared" si="52"/>
        <v>0.05</v>
      </c>
      <c r="R504" s="18">
        <f t="shared" si="53"/>
        <v>1448.51</v>
      </c>
      <c r="S504" s="18" t="str">
        <f>IF(Table13[[#This Row],[Quantity]]&lt;=3,"Small",IF(Table13[[#This Row],[Quantity]]&lt;=6,"Medium","Bulk"))</f>
        <v>Medium</v>
      </c>
      <c r="T504" s="18" t="str">
        <f t="shared" si="54"/>
        <v>Normal</v>
      </c>
      <c r="U504" s="18" t="str">
        <f t="shared" si="55"/>
        <v>low Value</v>
      </c>
    </row>
    <row r="505" spans="1:21" x14ac:dyDescent="0.3">
      <c r="A505" t="s">
        <v>513</v>
      </c>
      <c r="B505" s="1">
        <v>44930</v>
      </c>
      <c r="C505" t="s">
        <v>1210</v>
      </c>
      <c r="D505" t="s">
        <v>1217</v>
      </c>
      <c r="E505" t="s">
        <v>1221</v>
      </c>
      <c r="F505" t="s">
        <v>1235</v>
      </c>
      <c r="G505" s="6">
        <v>4</v>
      </c>
      <c r="H505">
        <v>3807</v>
      </c>
      <c r="I505">
        <v>15228</v>
      </c>
      <c r="J505" s="2">
        <v>2131.04</v>
      </c>
      <c r="K505" s="16">
        <f>Table13[[#This Row],[Profit]]/Table13[[#This Row],[Sales]]</f>
        <v>0.13994221171526136</v>
      </c>
      <c r="L505" s="17" t="str">
        <f t="shared" si="49"/>
        <v>Medium</v>
      </c>
      <c r="M505" s="17" t="str">
        <f t="shared" si="50"/>
        <v>Jan</v>
      </c>
      <c r="N505" s="18">
        <f>YEAR(Table13[[#This Row],[Order_Date]])</f>
        <v>2023</v>
      </c>
      <c r="O505" s="18">
        <f>Table13[[#This Row],[Price]]*0.7</f>
        <v>2664.8999999999996</v>
      </c>
      <c r="P505" s="18">
        <f t="shared" si="51"/>
        <v>4568.4000000000015</v>
      </c>
      <c r="Q505" s="18">
        <f t="shared" si="52"/>
        <v>0.05</v>
      </c>
      <c r="R505" s="18">
        <f t="shared" si="53"/>
        <v>13096.960000000001</v>
      </c>
      <c r="S505" s="18" t="str">
        <f>IF(Table13[[#This Row],[Quantity]]&lt;=3,"Small",IF(Table13[[#This Row],[Quantity]]&lt;=6,"Medium","Bulk"))</f>
        <v>Medium</v>
      </c>
      <c r="T505" s="18" t="str">
        <f t="shared" si="54"/>
        <v>Normal</v>
      </c>
      <c r="U505" s="18" t="str">
        <f t="shared" si="55"/>
        <v>Medium Value</v>
      </c>
    </row>
    <row r="506" spans="1:21" x14ac:dyDescent="0.3">
      <c r="A506" t="s">
        <v>514</v>
      </c>
      <c r="B506" s="1">
        <v>45205</v>
      </c>
      <c r="C506" t="s">
        <v>1212</v>
      </c>
      <c r="D506" t="s">
        <v>1215</v>
      </c>
      <c r="E506" t="s">
        <v>1222</v>
      </c>
      <c r="F506" t="s">
        <v>1234</v>
      </c>
      <c r="G506" s="6">
        <v>7</v>
      </c>
      <c r="H506">
        <v>3452</v>
      </c>
      <c r="I506">
        <v>24164</v>
      </c>
      <c r="J506" s="2">
        <v>3093.48</v>
      </c>
      <c r="K506" s="16">
        <f>Table13[[#This Row],[Profit]]/Table13[[#This Row],[Sales]]</f>
        <v>0.12802019533189871</v>
      </c>
      <c r="L506" s="17" t="str">
        <f t="shared" si="49"/>
        <v>High</v>
      </c>
      <c r="M506" s="17" t="str">
        <f t="shared" si="50"/>
        <v>Oct</v>
      </c>
      <c r="N506" s="18">
        <f>YEAR(Table13[[#This Row],[Order_Date]])</f>
        <v>2023</v>
      </c>
      <c r="O506" s="18">
        <f>Table13[[#This Row],[Price]]*0.7</f>
        <v>2416.3999999999996</v>
      </c>
      <c r="P506" s="18">
        <f t="shared" si="51"/>
        <v>7249.2000000000044</v>
      </c>
      <c r="Q506" s="18">
        <f t="shared" si="52"/>
        <v>0.1</v>
      </c>
      <c r="R506" s="18">
        <f t="shared" si="53"/>
        <v>21070.52</v>
      </c>
      <c r="S506" s="18" t="str">
        <f>IF(Table13[[#This Row],[Quantity]]&lt;=3,"Small",IF(Table13[[#This Row],[Quantity]]&lt;=6,"Medium","Bulk"))</f>
        <v>Bulk</v>
      </c>
      <c r="T506" s="18" t="str">
        <f t="shared" si="54"/>
        <v>High Demand</v>
      </c>
      <c r="U506" s="18" t="str">
        <f t="shared" si="55"/>
        <v>High Value</v>
      </c>
    </row>
    <row r="507" spans="1:21" x14ac:dyDescent="0.3">
      <c r="A507" t="s">
        <v>515</v>
      </c>
      <c r="B507" s="1">
        <v>45175</v>
      </c>
      <c r="C507" t="s">
        <v>1213</v>
      </c>
      <c r="D507" t="s">
        <v>1215</v>
      </c>
      <c r="E507" t="s">
        <v>1219</v>
      </c>
      <c r="F507" t="s">
        <v>1233</v>
      </c>
      <c r="G507" s="6">
        <v>5</v>
      </c>
      <c r="H507">
        <v>4976</v>
      </c>
      <c r="I507">
        <v>24880</v>
      </c>
      <c r="J507" s="2">
        <v>1990.45</v>
      </c>
      <c r="K507" s="16">
        <f>Table13[[#This Row],[Profit]]/Table13[[#This Row],[Sales]]</f>
        <v>8.0002009646302247E-2</v>
      </c>
      <c r="L507" s="17" t="str">
        <f t="shared" si="49"/>
        <v>High</v>
      </c>
      <c r="M507" s="17" t="str">
        <f t="shared" si="50"/>
        <v>Sep</v>
      </c>
      <c r="N507" s="18">
        <f>YEAR(Table13[[#This Row],[Order_Date]])</f>
        <v>2023</v>
      </c>
      <c r="O507" s="18">
        <f>Table13[[#This Row],[Price]]*0.7</f>
        <v>3483.2</v>
      </c>
      <c r="P507" s="18">
        <f t="shared" si="51"/>
        <v>7464</v>
      </c>
      <c r="Q507" s="18">
        <f t="shared" si="52"/>
        <v>0.05</v>
      </c>
      <c r="R507" s="18">
        <f t="shared" si="53"/>
        <v>22889.55</v>
      </c>
      <c r="S507" s="18" t="str">
        <f>IF(Table13[[#This Row],[Quantity]]&lt;=3,"Small",IF(Table13[[#This Row],[Quantity]]&lt;=6,"Medium","Bulk"))</f>
        <v>Medium</v>
      </c>
      <c r="T507" s="18" t="str">
        <f t="shared" si="54"/>
        <v>Normal</v>
      </c>
      <c r="U507" s="18" t="str">
        <f t="shared" si="55"/>
        <v>High Value</v>
      </c>
    </row>
    <row r="508" spans="1:21" x14ac:dyDescent="0.3">
      <c r="A508" t="s">
        <v>516</v>
      </c>
      <c r="B508" s="1">
        <v>44929</v>
      </c>
      <c r="C508" t="s">
        <v>1213</v>
      </c>
      <c r="D508" t="s">
        <v>1239</v>
      </c>
      <c r="E508" t="s">
        <v>1222</v>
      </c>
      <c r="F508" t="s">
        <v>1230</v>
      </c>
      <c r="G508" s="6">
        <v>8</v>
      </c>
      <c r="H508">
        <v>3356</v>
      </c>
      <c r="I508">
        <v>26848</v>
      </c>
      <c r="J508" s="2">
        <v>3535.08</v>
      </c>
      <c r="K508" s="16">
        <f>Table13[[#This Row],[Profit]]/Table13[[#This Row],[Sales]]</f>
        <v>0.13167014302741359</v>
      </c>
      <c r="L508" s="17" t="str">
        <f t="shared" si="49"/>
        <v>High</v>
      </c>
      <c r="M508" s="17" t="str">
        <f t="shared" si="50"/>
        <v>Jan</v>
      </c>
      <c r="N508" s="18">
        <f>YEAR(Table13[[#This Row],[Order_Date]])</f>
        <v>2023</v>
      </c>
      <c r="O508" s="18">
        <f>Table13[[#This Row],[Price]]*0.7</f>
        <v>2349.1999999999998</v>
      </c>
      <c r="P508" s="18">
        <f t="shared" si="51"/>
        <v>8054.4000000000015</v>
      </c>
      <c r="Q508" s="18">
        <f t="shared" si="52"/>
        <v>0.1</v>
      </c>
      <c r="R508" s="18">
        <f t="shared" si="53"/>
        <v>23312.92</v>
      </c>
      <c r="S508" s="18" t="str">
        <f>IF(Table13[[#This Row],[Quantity]]&lt;=3,"Small",IF(Table13[[#This Row],[Quantity]]&lt;=6,"Medium","Bulk"))</f>
        <v>Bulk</v>
      </c>
      <c r="T508" s="18" t="str">
        <f t="shared" si="54"/>
        <v>Normal</v>
      </c>
      <c r="U508" s="18" t="str">
        <f t="shared" si="55"/>
        <v>High Value</v>
      </c>
    </row>
    <row r="509" spans="1:21" x14ac:dyDescent="0.3">
      <c r="A509" t="s">
        <v>517</v>
      </c>
      <c r="B509" s="1">
        <v>45165</v>
      </c>
      <c r="C509" t="s">
        <v>1212</v>
      </c>
      <c r="D509" t="s">
        <v>1215</v>
      </c>
      <c r="E509" t="s">
        <v>1220</v>
      </c>
      <c r="F509" t="s">
        <v>1237</v>
      </c>
      <c r="G509" s="6">
        <v>4</v>
      </c>
      <c r="H509">
        <v>4259</v>
      </c>
      <c r="I509">
        <v>17036</v>
      </c>
      <c r="J509" s="2">
        <v>2260.92</v>
      </c>
      <c r="K509" s="16">
        <f>Table13[[#This Row],[Profit]]/Table13[[#This Row],[Sales]]</f>
        <v>0.13271425217187133</v>
      </c>
      <c r="L509" s="17" t="str">
        <f t="shared" si="49"/>
        <v>Medium</v>
      </c>
      <c r="M509" s="17" t="str">
        <f t="shared" si="50"/>
        <v>Aug</v>
      </c>
      <c r="N509" s="18">
        <f>YEAR(Table13[[#This Row],[Order_Date]])</f>
        <v>2023</v>
      </c>
      <c r="O509" s="18">
        <f>Table13[[#This Row],[Price]]*0.7</f>
        <v>2981.2999999999997</v>
      </c>
      <c r="P509" s="18">
        <f t="shared" si="51"/>
        <v>5110.8000000000011</v>
      </c>
      <c r="Q509" s="18">
        <f t="shared" si="52"/>
        <v>0.05</v>
      </c>
      <c r="R509" s="18">
        <f t="shared" si="53"/>
        <v>14775.08</v>
      </c>
      <c r="S509" s="18" t="str">
        <f>IF(Table13[[#This Row],[Quantity]]&lt;=3,"Small",IF(Table13[[#This Row],[Quantity]]&lt;=6,"Medium","Bulk"))</f>
        <v>Medium</v>
      </c>
      <c r="T509" s="18" t="str">
        <f t="shared" si="54"/>
        <v>High Demand</v>
      </c>
      <c r="U509" s="18" t="str">
        <f t="shared" si="55"/>
        <v>Medium Value</v>
      </c>
    </row>
    <row r="510" spans="1:21" x14ac:dyDescent="0.3">
      <c r="A510" t="s">
        <v>518</v>
      </c>
      <c r="B510" s="1">
        <v>44951</v>
      </c>
      <c r="C510" t="s">
        <v>1213</v>
      </c>
      <c r="D510" t="s">
        <v>1214</v>
      </c>
      <c r="E510" t="s">
        <v>1222</v>
      </c>
      <c r="F510" t="s">
        <v>1227</v>
      </c>
      <c r="G510" s="6">
        <v>2</v>
      </c>
      <c r="H510">
        <v>3813</v>
      </c>
      <c r="I510">
        <v>7626</v>
      </c>
      <c r="J510" s="2">
        <v>1031.8</v>
      </c>
      <c r="K510" s="16">
        <f>Table13[[#This Row],[Profit]]/Table13[[#This Row],[Sales]]</f>
        <v>0.13530028848675582</v>
      </c>
      <c r="L510" s="17" t="str">
        <f t="shared" si="49"/>
        <v>Low</v>
      </c>
      <c r="M510" s="17" t="str">
        <f t="shared" si="50"/>
        <v>Jan</v>
      </c>
      <c r="N510" s="18">
        <f>YEAR(Table13[[#This Row],[Order_Date]])</f>
        <v>2023</v>
      </c>
      <c r="O510" s="18">
        <f>Table13[[#This Row],[Price]]*0.7</f>
        <v>2669.1</v>
      </c>
      <c r="P510" s="18">
        <f t="shared" si="51"/>
        <v>2287.8000000000002</v>
      </c>
      <c r="Q510" s="18">
        <f t="shared" si="52"/>
        <v>0.05</v>
      </c>
      <c r="R510" s="18">
        <f t="shared" si="53"/>
        <v>6594.2000000000007</v>
      </c>
      <c r="S510" s="18" t="str">
        <f>IF(Table13[[#This Row],[Quantity]]&lt;=3,"Small",IF(Table13[[#This Row],[Quantity]]&lt;=6,"Medium","Bulk"))</f>
        <v>Small</v>
      </c>
      <c r="T510" s="18" t="str">
        <f t="shared" si="54"/>
        <v>Normal</v>
      </c>
      <c r="U510" s="18" t="str">
        <f t="shared" si="55"/>
        <v>low Value</v>
      </c>
    </row>
    <row r="511" spans="1:21" x14ac:dyDescent="0.3">
      <c r="A511" t="s">
        <v>519</v>
      </c>
      <c r="B511" s="1">
        <v>45154</v>
      </c>
      <c r="C511" t="s">
        <v>1210</v>
      </c>
      <c r="D511" t="s">
        <v>1215</v>
      </c>
      <c r="E511" t="s">
        <v>1219</v>
      </c>
      <c r="F511" t="s">
        <v>1233</v>
      </c>
      <c r="G511" s="6">
        <v>9</v>
      </c>
      <c r="H511">
        <v>4791</v>
      </c>
      <c r="I511">
        <v>43119</v>
      </c>
      <c r="J511" s="2">
        <v>10060.950000000001</v>
      </c>
      <c r="K511" s="16">
        <f>Table13[[#This Row],[Profit]]/Table13[[#This Row],[Sales]]</f>
        <v>0.2333298545884645</v>
      </c>
      <c r="L511" s="17" t="str">
        <f t="shared" si="49"/>
        <v>High</v>
      </c>
      <c r="M511" s="17" t="str">
        <f t="shared" si="50"/>
        <v>Aug</v>
      </c>
      <c r="N511" s="18">
        <f>YEAR(Table13[[#This Row],[Order_Date]])</f>
        <v>2023</v>
      </c>
      <c r="O511" s="18">
        <f>Table13[[#This Row],[Price]]*0.7</f>
        <v>3353.7</v>
      </c>
      <c r="P511" s="18">
        <f t="shared" si="51"/>
        <v>12935.7</v>
      </c>
      <c r="Q511" s="18">
        <f t="shared" si="52"/>
        <v>0.1</v>
      </c>
      <c r="R511" s="18">
        <f t="shared" si="53"/>
        <v>33058.049999999996</v>
      </c>
      <c r="S511" s="18" t="str">
        <f>IF(Table13[[#This Row],[Quantity]]&lt;=3,"Small",IF(Table13[[#This Row],[Quantity]]&lt;=6,"Medium","Bulk"))</f>
        <v>Bulk</v>
      </c>
      <c r="T511" s="18" t="str">
        <f t="shared" si="54"/>
        <v>Normal</v>
      </c>
      <c r="U511" s="18" t="str">
        <f t="shared" si="55"/>
        <v>High Value</v>
      </c>
    </row>
    <row r="512" spans="1:21" x14ac:dyDescent="0.3">
      <c r="A512" t="s">
        <v>520</v>
      </c>
      <c r="B512" s="1">
        <v>45213</v>
      </c>
      <c r="C512" t="s">
        <v>1211</v>
      </c>
      <c r="D512" t="s">
        <v>1217</v>
      </c>
      <c r="E512" t="s">
        <v>1220</v>
      </c>
      <c r="F512" t="s">
        <v>1228</v>
      </c>
      <c r="G512" s="6">
        <v>8</v>
      </c>
      <c r="H512">
        <v>471</v>
      </c>
      <c r="I512">
        <v>3768</v>
      </c>
      <c r="J512" s="2">
        <v>351.7</v>
      </c>
      <c r="K512" s="16">
        <f>Table13[[#This Row],[Profit]]/Table13[[#This Row],[Sales]]</f>
        <v>9.3338641188959653E-2</v>
      </c>
      <c r="L512" s="17" t="str">
        <f t="shared" si="49"/>
        <v>Low</v>
      </c>
      <c r="M512" s="17" t="str">
        <f t="shared" si="50"/>
        <v>Oct</v>
      </c>
      <c r="N512" s="18">
        <f>YEAR(Table13[[#This Row],[Order_Date]])</f>
        <v>2023</v>
      </c>
      <c r="O512" s="18">
        <f>Table13[[#This Row],[Price]]*0.7</f>
        <v>329.7</v>
      </c>
      <c r="P512" s="18">
        <f t="shared" si="51"/>
        <v>1130.4000000000001</v>
      </c>
      <c r="Q512" s="18">
        <f t="shared" si="52"/>
        <v>0.1</v>
      </c>
      <c r="R512" s="18">
        <f t="shared" si="53"/>
        <v>3416.3</v>
      </c>
      <c r="S512" s="18" t="str">
        <f>IF(Table13[[#This Row],[Quantity]]&lt;=3,"Small",IF(Table13[[#This Row],[Quantity]]&lt;=6,"Medium","Bulk"))</f>
        <v>Bulk</v>
      </c>
      <c r="T512" s="18" t="str">
        <f t="shared" si="54"/>
        <v>Normal</v>
      </c>
      <c r="U512" s="18" t="str">
        <f t="shared" si="55"/>
        <v>low Value</v>
      </c>
    </row>
    <row r="513" spans="1:21" x14ac:dyDescent="0.3">
      <c r="A513" t="s">
        <v>521</v>
      </c>
      <c r="B513" s="1">
        <v>45065</v>
      </c>
      <c r="C513" t="s">
        <v>1213</v>
      </c>
      <c r="D513" t="s">
        <v>1217</v>
      </c>
      <c r="E513" t="s">
        <v>1221</v>
      </c>
      <c r="F513" t="s">
        <v>1235</v>
      </c>
      <c r="G513" s="6">
        <v>2</v>
      </c>
      <c r="H513">
        <v>4549</v>
      </c>
      <c r="I513">
        <v>9098</v>
      </c>
      <c r="J513" s="2">
        <v>1630.74</v>
      </c>
      <c r="K513" s="16">
        <f>Table13[[#This Row],[Profit]]/Table13[[#This Row],[Sales]]</f>
        <v>0.1792415915585843</v>
      </c>
      <c r="L513" s="17" t="str">
        <f t="shared" si="49"/>
        <v>Low</v>
      </c>
      <c r="M513" s="17" t="str">
        <f t="shared" si="50"/>
        <v>May</v>
      </c>
      <c r="N513" s="18">
        <f>YEAR(Table13[[#This Row],[Order_Date]])</f>
        <v>2023</v>
      </c>
      <c r="O513" s="18">
        <f>Table13[[#This Row],[Price]]*0.7</f>
        <v>3184.2999999999997</v>
      </c>
      <c r="P513" s="18">
        <f t="shared" si="51"/>
        <v>2729.4000000000005</v>
      </c>
      <c r="Q513" s="18">
        <f t="shared" si="52"/>
        <v>0.05</v>
      </c>
      <c r="R513" s="18">
        <f t="shared" si="53"/>
        <v>7467.26</v>
      </c>
      <c r="S513" s="18" t="str">
        <f>IF(Table13[[#This Row],[Quantity]]&lt;=3,"Small",IF(Table13[[#This Row],[Quantity]]&lt;=6,"Medium","Bulk"))</f>
        <v>Small</v>
      </c>
      <c r="T513" s="18" t="str">
        <f t="shared" si="54"/>
        <v>Normal</v>
      </c>
      <c r="U513" s="18" t="str">
        <f t="shared" si="55"/>
        <v>low Value</v>
      </c>
    </row>
    <row r="514" spans="1:21" x14ac:dyDescent="0.3">
      <c r="A514" t="s">
        <v>522</v>
      </c>
      <c r="B514" s="1">
        <v>45037</v>
      </c>
      <c r="C514" t="s">
        <v>1212</v>
      </c>
      <c r="D514" t="s">
        <v>1214</v>
      </c>
      <c r="E514" t="s">
        <v>1220</v>
      </c>
      <c r="F514" t="s">
        <v>1228</v>
      </c>
      <c r="G514" s="6">
        <v>1</v>
      </c>
      <c r="H514">
        <v>4107</v>
      </c>
      <c r="I514">
        <v>4107</v>
      </c>
      <c r="J514" s="2">
        <v>991.29</v>
      </c>
      <c r="K514" s="16">
        <f>Table13[[#This Row],[Profit]]/Table13[[#This Row],[Sales]]</f>
        <v>0.24136596055514972</v>
      </c>
      <c r="L514" s="17" t="str">
        <f t="shared" ref="L514:L577" si="56">IF(I514&gt;20000,"High",IF(I514&gt;10000,"Medium","Low"))</f>
        <v>Low</v>
      </c>
      <c r="M514" s="17" t="str">
        <f t="shared" ref="M514:M577" si="57">TEXT(B514,"mmm")</f>
        <v>Apr</v>
      </c>
      <c r="N514" s="18">
        <f>YEAR(Table13[[#This Row],[Order_Date]])</f>
        <v>2023</v>
      </c>
      <c r="O514" s="18">
        <f>Table13[[#This Row],[Price]]*0.7</f>
        <v>2874.8999999999996</v>
      </c>
      <c r="P514" s="18">
        <f t="shared" ref="P514:P577" si="58">I514 - (G514 *O514)</f>
        <v>1232.1000000000004</v>
      </c>
      <c r="Q514" s="18">
        <f t="shared" ref="Q514:Q577" si="59">IF(G514&gt;5,0.1,0.05)</f>
        <v>0.05</v>
      </c>
      <c r="R514" s="18">
        <f t="shared" ref="R514:R577" si="60">I514*(1-K514)</f>
        <v>3115.71</v>
      </c>
      <c r="S514" s="18" t="str">
        <f>IF(Table13[[#This Row],[Quantity]]&lt;=3,"Small",IF(Table13[[#This Row],[Quantity]]&lt;=6,"Medium","Bulk"))</f>
        <v>Small</v>
      </c>
      <c r="T514" s="18" t="str">
        <f t="shared" ref="T514:T577" si="61">IF(C514="North","High Demand","Normal")</f>
        <v>High Demand</v>
      </c>
      <c r="U514" s="18" t="str">
        <f t="shared" ref="U514:U577" si="62">IF(I514&gt;20000,"High Value",IF(I514&gt;10000,"Medium Value","low Value"))</f>
        <v>low Value</v>
      </c>
    </row>
    <row r="515" spans="1:21" x14ac:dyDescent="0.3">
      <c r="A515" t="s">
        <v>523</v>
      </c>
      <c r="B515" s="1">
        <v>45143</v>
      </c>
      <c r="C515" t="s">
        <v>1210</v>
      </c>
      <c r="D515" t="s">
        <v>1216</v>
      </c>
      <c r="E515" t="s">
        <v>1222</v>
      </c>
      <c r="F515" t="s">
        <v>1234</v>
      </c>
      <c r="G515" s="6">
        <v>6</v>
      </c>
      <c r="H515">
        <v>3000</v>
      </c>
      <c r="I515">
        <v>18000</v>
      </c>
      <c r="J515" s="2">
        <v>3012.39</v>
      </c>
      <c r="K515" s="16">
        <f>Table13[[#This Row],[Profit]]/Table13[[#This Row],[Sales]]</f>
        <v>0.167355</v>
      </c>
      <c r="L515" s="17" t="str">
        <f t="shared" si="56"/>
        <v>Medium</v>
      </c>
      <c r="M515" s="17" t="str">
        <f t="shared" si="57"/>
        <v>Aug</v>
      </c>
      <c r="N515" s="18">
        <f>YEAR(Table13[[#This Row],[Order_Date]])</f>
        <v>2023</v>
      </c>
      <c r="O515" s="18">
        <f>Table13[[#This Row],[Price]]*0.7</f>
        <v>2100</v>
      </c>
      <c r="P515" s="18">
        <f t="shared" si="58"/>
        <v>5400</v>
      </c>
      <c r="Q515" s="18">
        <f t="shared" si="59"/>
        <v>0.1</v>
      </c>
      <c r="R515" s="18">
        <f t="shared" si="60"/>
        <v>14987.609999999999</v>
      </c>
      <c r="S515" s="18" t="str">
        <f>IF(Table13[[#This Row],[Quantity]]&lt;=3,"Small",IF(Table13[[#This Row],[Quantity]]&lt;=6,"Medium","Bulk"))</f>
        <v>Medium</v>
      </c>
      <c r="T515" s="18" t="str">
        <f t="shared" si="61"/>
        <v>Normal</v>
      </c>
      <c r="U515" s="18" t="str">
        <f t="shared" si="62"/>
        <v>Medium Value</v>
      </c>
    </row>
    <row r="516" spans="1:21" x14ac:dyDescent="0.3">
      <c r="A516" t="s">
        <v>524</v>
      </c>
      <c r="B516" s="1">
        <v>45124</v>
      </c>
      <c r="C516" t="s">
        <v>1212</v>
      </c>
      <c r="D516" t="s">
        <v>1217</v>
      </c>
      <c r="E516" t="s">
        <v>1222</v>
      </c>
      <c r="F516" t="s">
        <v>1234</v>
      </c>
      <c r="G516" s="6">
        <v>8</v>
      </c>
      <c r="H516">
        <v>4399</v>
      </c>
      <c r="I516">
        <v>35192</v>
      </c>
      <c r="J516" s="2">
        <v>3893.41</v>
      </c>
      <c r="K516" s="16">
        <f>Table13[[#This Row],[Profit]]/Table13[[#This Row],[Sales]]</f>
        <v>0.11063338258695157</v>
      </c>
      <c r="L516" s="17" t="str">
        <f t="shared" si="56"/>
        <v>High</v>
      </c>
      <c r="M516" s="17" t="str">
        <f t="shared" si="57"/>
        <v>Jul</v>
      </c>
      <c r="N516" s="18">
        <f>YEAR(Table13[[#This Row],[Order_Date]])</f>
        <v>2023</v>
      </c>
      <c r="O516" s="18">
        <f>Table13[[#This Row],[Price]]*0.7</f>
        <v>3079.2999999999997</v>
      </c>
      <c r="P516" s="18">
        <f t="shared" si="58"/>
        <v>10557.600000000002</v>
      </c>
      <c r="Q516" s="18">
        <f t="shared" si="59"/>
        <v>0.1</v>
      </c>
      <c r="R516" s="18">
        <f t="shared" si="60"/>
        <v>31298.59</v>
      </c>
      <c r="S516" s="18" t="str">
        <f>IF(Table13[[#This Row],[Quantity]]&lt;=3,"Small",IF(Table13[[#This Row],[Quantity]]&lt;=6,"Medium","Bulk"))</f>
        <v>Bulk</v>
      </c>
      <c r="T516" s="18" t="str">
        <f t="shared" si="61"/>
        <v>High Demand</v>
      </c>
      <c r="U516" s="18" t="str">
        <f t="shared" si="62"/>
        <v>High Value</v>
      </c>
    </row>
    <row r="517" spans="1:21" x14ac:dyDescent="0.3">
      <c r="A517" t="s">
        <v>525</v>
      </c>
      <c r="B517" s="1">
        <v>45095</v>
      </c>
      <c r="C517" t="s">
        <v>1212</v>
      </c>
      <c r="D517" t="s">
        <v>1218</v>
      </c>
      <c r="E517" t="s">
        <v>1219</v>
      </c>
      <c r="F517" t="s">
        <v>1232</v>
      </c>
      <c r="G517" s="6">
        <v>9</v>
      </c>
      <c r="H517">
        <v>3864</v>
      </c>
      <c r="I517">
        <v>34776</v>
      </c>
      <c r="J517" s="2">
        <v>2964.51</v>
      </c>
      <c r="K517" s="16">
        <f>Table13[[#This Row],[Profit]]/Table13[[#This Row],[Sales]]</f>
        <v>8.5245859213250522E-2</v>
      </c>
      <c r="L517" s="17" t="str">
        <f t="shared" si="56"/>
        <v>High</v>
      </c>
      <c r="M517" s="17" t="str">
        <f t="shared" si="57"/>
        <v>Jun</v>
      </c>
      <c r="N517" s="18">
        <f>YEAR(Table13[[#This Row],[Order_Date]])</f>
        <v>2023</v>
      </c>
      <c r="O517" s="18">
        <f>Table13[[#This Row],[Price]]*0.7</f>
        <v>2704.7999999999997</v>
      </c>
      <c r="P517" s="18">
        <f t="shared" si="58"/>
        <v>10432.800000000003</v>
      </c>
      <c r="Q517" s="18">
        <f t="shared" si="59"/>
        <v>0.1</v>
      </c>
      <c r="R517" s="18">
        <f t="shared" si="60"/>
        <v>31811.489999999998</v>
      </c>
      <c r="S517" s="18" t="str">
        <f>IF(Table13[[#This Row],[Quantity]]&lt;=3,"Small",IF(Table13[[#This Row],[Quantity]]&lt;=6,"Medium","Bulk"))</f>
        <v>Bulk</v>
      </c>
      <c r="T517" s="18" t="str">
        <f t="shared" si="61"/>
        <v>High Demand</v>
      </c>
      <c r="U517" s="18" t="str">
        <f t="shared" si="62"/>
        <v>High Value</v>
      </c>
    </row>
    <row r="518" spans="1:21" x14ac:dyDescent="0.3">
      <c r="A518" t="s">
        <v>526</v>
      </c>
      <c r="B518" s="1">
        <v>44929</v>
      </c>
      <c r="C518" t="s">
        <v>1212</v>
      </c>
      <c r="D518" t="s">
        <v>1218</v>
      </c>
      <c r="E518" t="s">
        <v>1222</v>
      </c>
      <c r="F518" t="s">
        <v>1230</v>
      </c>
      <c r="G518" s="6">
        <v>6</v>
      </c>
      <c r="H518">
        <v>1563</v>
      </c>
      <c r="I518">
        <v>9378</v>
      </c>
      <c r="J518" s="2">
        <v>2310.2600000000002</v>
      </c>
      <c r="K518" s="16">
        <f>Table13[[#This Row],[Profit]]/Table13[[#This Row],[Sales]]</f>
        <v>0.24634890168479423</v>
      </c>
      <c r="L518" s="17" t="str">
        <f t="shared" si="56"/>
        <v>Low</v>
      </c>
      <c r="M518" s="17" t="str">
        <f t="shared" si="57"/>
        <v>Jan</v>
      </c>
      <c r="N518" s="18">
        <f>YEAR(Table13[[#This Row],[Order_Date]])</f>
        <v>2023</v>
      </c>
      <c r="O518" s="18">
        <f>Table13[[#This Row],[Price]]*0.7</f>
        <v>1094.0999999999999</v>
      </c>
      <c r="P518" s="18">
        <f t="shared" si="58"/>
        <v>2813.4000000000005</v>
      </c>
      <c r="Q518" s="18">
        <f t="shared" si="59"/>
        <v>0.1</v>
      </c>
      <c r="R518" s="18">
        <f t="shared" si="60"/>
        <v>7067.74</v>
      </c>
      <c r="S518" s="18" t="str">
        <f>IF(Table13[[#This Row],[Quantity]]&lt;=3,"Small",IF(Table13[[#This Row],[Quantity]]&lt;=6,"Medium","Bulk"))</f>
        <v>Medium</v>
      </c>
      <c r="T518" s="18" t="str">
        <f t="shared" si="61"/>
        <v>High Demand</v>
      </c>
      <c r="U518" s="18" t="str">
        <f t="shared" si="62"/>
        <v>low Value</v>
      </c>
    </row>
    <row r="519" spans="1:21" x14ac:dyDescent="0.3">
      <c r="A519" t="s">
        <v>527</v>
      </c>
      <c r="B519" s="1">
        <v>45197</v>
      </c>
      <c r="C519" t="s">
        <v>1213</v>
      </c>
      <c r="D519" t="s">
        <v>1216</v>
      </c>
      <c r="E519" t="s">
        <v>1221</v>
      </c>
      <c r="F519" t="s">
        <v>1226</v>
      </c>
      <c r="G519" s="6">
        <v>7</v>
      </c>
      <c r="H519">
        <v>4487</v>
      </c>
      <c r="I519">
        <v>31409</v>
      </c>
      <c r="J519" s="2">
        <v>5162.51</v>
      </c>
      <c r="K519" s="16">
        <f>Table13[[#This Row],[Profit]]/Table13[[#This Row],[Sales]]</f>
        <v>0.16436403578592124</v>
      </c>
      <c r="L519" s="17" t="str">
        <f t="shared" si="56"/>
        <v>High</v>
      </c>
      <c r="M519" s="17" t="str">
        <f t="shared" si="57"/>
        <v>Sep</v>
      </c>
      <c r="N519" s="18">
        <f>YEAR(Table13[[#This Row],[Order_Date]])</f>
        <v>2023</v>
      </c>
      <c r="O519" s="18">
        <f>Table13[[#This Row],[Price]]*0.7</f>
        <v>3140.8999999999996</v>
      </c>
      <c r="P519" s="18">
        <f t="shared" si="58"/>
        <v>9422.7000000000044</v>
      </c>
      <c r="Q519" s="18">
        <f t="shared" si="59"/>
        <v>0.1</v>
      </c>
      <c r="R519" s="18">
        <f t="shared" si="60"/>
        <v>26246.489999999998</v>
      </c>
      <c r="S519" s="18" t="str">
        <f>IF(Table13[[#This Row],[Quantity]]&lt;=3,"Small",IF(Table13[[#This Row],[Quantity]]&lt;=6,"Medium","Bulk"))</f>
        <v>Bulk</v>
      </c>
      <c r="T519" s="18" t="str">
        <f t="shared" si="61"/>
        <v>Normal</v>
      </c>
      <c r="U519" s="18" t="str">
        <f t="shared" si="62"/>
        <v>High Value</v>
      </c>
    </row>
    <row r="520" spans="1:21" x14ac:dyDescent="0.3">
      <c r="A520" t="s">
        <v>528</v>
      </c>
      <c r="B520" s="1">
        <v>45004</v>
      </c>
      <c r="C520" t="s">
        <v>1211</v>
      </c>
      <c r="D520" t="s">
        <v>1218</v>
      </c>
      <c r="E520" t="s">
        <v>1220</v>
      </c>
      <c r="F520" t="s">
        <v>1228</v>
      </c>
      <c r="G520" s="6">
        <v>3</v>
      </c>
      <c r="H520">
        <v>242</v>
      </c>
      <c r="I520">
        <v>726</v>
      </c>
      <c r="J520" s="2">
        <v>161.63</v>
      </c>
      <c r="K520" s="16">
        <f>Table13[[#This Row],[Profit]]/Table13[[#This Row],[Sales]]</f>
        <v>0.22263085399449034</v>
      </c>
      <c r="L520" s="17" t="str">
        <f t="shared" si="56"/>
        <v>Low</v>
      </c>
      <c r="M520" s="17" t="str">
        <f t="shared" si="57"/>
        <v>Mar</v>
      </c>
      <c r="N520" s="18">
        <f>YEAR(Table13[[#This Row],[Order_Date]])</f>
        <v>2023</v>
      </c>
      <c r="O520" s="18">
        <f>Table13[[#This Row],[Price]]*0.7</f>
        <v>169.39999999999998</v>
      </c>
      <c r="P520" s="18">
        <f t="shared" si="58"/>
        <v>217.80000000000007</v>
      </c>
      <c r="Q520" s="18">
        <f t="shared" si="59"/>
        <v>0.05</v>
      </c>
      <c r="R520" s="18">
        <f t="shared" si="60"/>
        <v>564.37</v>
      </c>
      <c r="S520" s="18" t="str">
        <f>IF(Table13[[#This Row],[Quantity]]&lt;=3,"Small",IF(Table13[[#This Row],[Quantity]]&lt;=6,"Medium","Bulk"))</f>
        <v>Small</v>
      </c>
      <c r="T520" s="18" t="str">
        <f t="shared" si="61"/>
        <v>Normal</v>
      </c>
      <c r="U520" s="18" t="str">
        <f t="shared" si="62"/>
        <v>low Value</v>
      </c>
    </row>
    <row r="521" spans="1:21" x14ac:dyDescent="0.3">
      <c r="A521" t="s">
        <v>529</v>
      </c>
      <c r="B521" s="1">
        <v>45094</v>
      </c>
      <c r="C521" t="s">
        <v>1210</v>
      </c>
      <c r="D521" t="s">
        <v>1215</v>
      </c>
      <c r="E521" t="s">
        <v>1220</v>
      </c>
      <c r="F521" t="s">
        <v>1225</v>
      </c>
      <c r="G521" s="6">
        <v>7</v>
      </c>
      <c r="H521">
        <v>3586</v>
      </c>
      <c r="I521">
        <v>25102</v>
      </c>
      <c r="J521" s="2">
        <v>4146.47</v>
      </c>
      <c r="K521" s="16">
        <f>Table13[[#This Row],[Profit]]/Table13[[#This Row],[Sales]]</f>
        <v>0.16518484582901763</v>
      </c>
      <c r="L521" s="17" t="str">
        <f t="shared" si="56"/>
        <v>High</v>
      </c>
      <c r="M521" s="17" t="str">
        <f t="shared" si="57"/>
        <v>Jun</v>
      </c>
      <c r="N521" s="18">
        <f>YEAR(Table13[[#This Row],[Order_Date]])</f>
        <v>2023</v>
      </c>
      <c r="O521" s="18">
        <f>Table13[[#This Row],[Price]]*0.7</f>
        <v>2510.1999999999998</v>
      </c>
      <c r="P521" s="18">
        <f t="shared" si="58"/>
        <v>7530.6000000000022</v>
      </c>
      <c r="Q521" s="18">
        <f t="shared" si="59"/>
        <v>0.1</v>
      </c>
      <c r="R521" s="18">
        <f t="shared" si="60"/>
        <v>20955.53</v>
      </c>
      <c r="S521" s="18" t="str">
        <f>IF(Table13[[#This Row],[Quantity]]&lt;=3,"Small",IF(Table13[[#This Row],[Quantity]]&lt;=6,"Medium","Bulk"))</f>
        <v>Bulk</v>
      </c>
      <c r="T521" s="18" t="str">
        <f t="shared" si="61"/>
        <v>Normal</v>
      </c>
      <c r="U521" s="18" t="str">
        <f t="shared" si="62"/>
        <v>High Value</v>
      </c>
    </row>
    <row r="522" spans="1:21" x14ac:dyDescent="0.3">
      <c r="A522" t="s">
        <v>530</v>
      </c>
      <c r="B522" s="1">
        <v>45246</v>
      </c>
      <c r="C522" t="s">
        <v>1211</v>
      </c>
      <c r="D522" t="s">
        <v>1214</v>
      </c>
      <c r="E522" t="s">
        <v>1222</v>
      </c>
      <c r="F522" t="s">
        <v>1234</v>
      </c>
      <c r="G522" s="6">
        <v>6</v>
      </c>
      <c r="H522">
        <v>1199</v>
      </c>
      <c r="I522">
        <v>7194</v>
      </c>
      <c r="J522" s="2">
        <v>794.75</v>
      </c>
      <c r="K522" s="16">
        <f>Table13[[#This Row],[Profit]]/Table13[[#This Row],[Sales]]</f>
        <v>0.11047400611620795</v>
      </c>
      <c r="L522" s="17" t="str">
        <f t="shared" si="56"/>
        <v>Low</v>
      </c>
      <c r="M522" s="17" t="str">
        <f t="shared" si="57"/>
        <v>Nov</v>
      </c>
      <c r="N522" s="18">
        <f>YEAR(Table13[[#This Row],[Order_Date]])</f>
        <v>2023</v>
      </c>
      <c r="O522" s="18">
        <f>Table13[[#This Row],[Price]]*0.7</f>
        <v>839.3</v>
      </c>
      <c r="P522" s="18">
        <f t="shared" si="58"/>
        <v>2158.2000000000007</v>
      </c>
      <c r="Q522" s="18">
        <f t="shared" si="59"/>
        <v>0.1</v>
      </c>
      <c r="R522" s="18">
        <f t="shared" si="60"/>
        <v>6399.25</v>
      </c>
      <c r="S522" s="18" t="str">
        <f>IF(Table13[[#This Row],[Quantity]]&lt;=3,"Small",IF(Table13[[#This Row],[Quantity]]&lt;=6,"Medium","Bulk"))</f>
        <v>Medium</v>
      </c>
      <c r="T522" s="18" t="str">
        <f t="shared" si="61"/>
        <v>Normal</v>
      </c>
      <c r="U522" s="18" t="str">
        <f t="shared" si="62"/>
        <v>low Value</v>
      </c>
    </row>
    <row r="523" spans="1:21" x14ac:dyDescent="0.3">
      <c r="A523" t="s">
        <v>531</v>
      </c>
      <c r="B523" s="1">
        <v>45077</v>
      </c>
      <c r="C523" t="s">
        <v>1211</v>
      </c>
      <c r="D523" t="s">
        <v>1214</v>
      </c>
      <c r="E523" t="s">
        <v>1219</v>
      </c>
      <c r="F523" t="s">
        <v>1223</v>
      </c>
      <c r="G523" s="6">
        <v>9</v>
      </c>
      <c r="H523">
        <v>3931</v>
      </c>
      <c r="I523">
        <v>35379</v>
      </c>
      <c r="J523" s="2">
        <v>6903.01</v>
      </c>
      <c r="K523" s="16">
        <f>Table13[[#This Row],[Profit]]/Table13[[#This Row],[Sales]]</f>
        <v>0.19511602928290794</v>
      </c>
      <c r="L523" s="17" t="str">
        <f t="shared" si="56"/>
        <v>High</v>
      </c>
      <c r="M523" s="17" t="str">
        <f t="shared" si="57"/>
        <v>May</v>
      </c>
      <c r="N523" s="18">
        <f>YEAR(Table13[[#This Row],[Order_Date]])</f>
        <v>2023</v>
      </c>
      <c r="O523" s="18">
        <f>Table13[[#This Row],[Price]]*0.7</f>
        <v>2751.7</v>
      </c>
      <c r="P523" s="18">
        <f t="shared" si="58"/>
        <v>10613.7</v>
      </c>
      <c r="Q523" s="18">
        <f t="shared" si="59"/>
        <v>0.1</v>
      </c>
      <c r="R523" s="18">
        <f t="shared" si="60"/>
        <v>28475.99</v>
      </c>
      <c r="S523" s="18" t="str">
        <f>IF(Table13[[#This Row],[Quantity]]&lt;=3,"Small",IF(Table13[[#This Row],[Quantity]]&lt;=6,"Medium","Bulk"))</f>
        <v>Bulk</v>
      </c>
      <c r="T523" s="18" t="str">
        <f t="shared" si="61"/>
        <v>Normal</v>
      </c>
      <c r="U523" s="18" t="str">
        <f t="shared" si="62"/>
        <v>High Value</v>
      </c>
    </row>
    <row r="524" spans="1:21" x14ac:dyDescent="0.3">
      <c r="A524" t="s">
        <v>532</v>
      </c>
      <c r="B524" s="1">
        <v>45040</v>
      </c>
      <c r="C524" t="s">
        <v>1213</v>
      </c>
      <c r="D524" t="s">
        <v>1214</v>
      </c>
      <c r="E524" t="s">
        <v>1222</v>
      </c>
      <c r="F524" t="s">
        <v>1234</v>
      </c>
      <c r="G524" s="6">
        <v>8</v>
      </c>
      <c r="H524">
        <v>2766</v>
      </c>
      <c r="I524">
        <v>22128</v>
      </c>
      <c r="J524" s="2">
        <v>2947.16</v>
      </c>
      <c r="K524" s="16">
        <f>Table13[[#This Row],[Profit]]/Table13[[#This Row],[Sales]]</f>
        <v>0.1331869125090383</v>
      </c>
      <c r="L524" s="17" t="str">
        <f t="shared" si="56"/>
        <v>High</v>
      </c>
      <c r="M524" s="17" t="str">
        <f t="shared" si="57"/>
        <v>Apr</v>
      </c>
      <c r="N524" s="18">
        <f>YEAR(Table13[[#This Row],[Order_Date]])</f>
        <v>2023</v>
      </c>
      <c r="O524" s="18">
        <f>Table13[[#This Row],[Price]]*0.7</f>
        <v>1936.1999999999998</v>
      </c>
      <c r="P524" s="18">
        <f t="shared" si="58"/>
        <v>6638.4000000000015</v>
      </c>
      <c r="Q524" s="18">
        <f t="shared" si="59"/>
        <v>0.1</v>
      </c>
      <c r="R524" s="18">
        <f t="shared" si="60"/>
        <v>19180.84</v>
      </c>
      <c r="S524" s="18" t="str">
        <f>IF(Table13[[#This Row],[Quantity]]&lt;=3,"Small",IF(Table13[[#This Row],[Quantity]]&lt;=6,"Medium","Bulk"))</f>
        <v>Bulk</v>
      </c>
      <c r="T524" s="18" t="str">
        <f t="shared" si="61"/>
        <v>Normal</v>
      </c>
      <c r="U524" s="18" t="str">
        <f t="shared" si="62"/>
        <v>High Value</v>
      </c>
    </row>
    <row r="525" spans="1:21" x14ac:dyDescent="0.3">
      <c r="A525" t="s">
        <v>533</v>
      </c>
      <c r="B525" s="1">
        <v>45039</v>
      </c>
      <c r="C525" t="s">
        <v>1213</v>
      </c>
      <c r="D525" t="s">
        <v>1215</v>
      </c>
      <c r="E525" t="s">
        <v>1219</v>
      </c>
      <c r="F525" t="s">
        <v>1233</v>
      </c>
      <c r="G525" s="6">
        <v>4</v>
      </c>
      <c r="H525">
        <v>4759</v>
      </c>
      <c r="I525">
        <v>19036</v>
      </c>
      <c r="J525" s="2">
        <v>2049.77</v>
      </c>
      <c r="K525" s="16">
        <f>Table13[[#This Row],[Profit]]/Table13[[#This Row],[Sales]]</f>
        <v>0.10767860895146039</v>
      </c>
      <c r="L525" s="17" t="str">
        <f t="shared" si="56"/>
        <v>Medium</v>
      </c>
      <c r="M525" s="17" t="str">
        <f t="shared" si="57"/>
        <v>Apr</v>
      </c>
      <c r="N525" s="18">
        <f>YEAR(Table13[[#This Row],[Order_Date]])</f>
        <v>2023</v>
      </c>
      <c r="O525" s="18">
        <f>Table13[[#This Row],[Price]]*0.7</f>
        <v>3331.2999999999997</v>
      </c>
      <c r="P525" s="18">
        <f t="shared" si="58"/>
        <v>5710.8000000000011</v>
      </c>
      <c r="Q525" s="18">
        <f t="shared" si="59"/>
        <v>0.05</v>
      </c>
      <c r="R525" s="18">
        <f t="shared" si="60"/>
        <v>16986.23</v>
      </c>
      <c r="S525" s="18" t="str">
        <f>IF(Table13[[#This Row],[Quantity]]&lt;=3,"Small",IF(Table13[[#This Row],[Quantity]]&lt;=6,"Medium","Bulk"))</f>
        <v>Medium</v>
      </c>
      <c r="T525" s="18" t="str">
        <f t="shared" si="61"/>
        <v>Normal</v>
      </c>
      <c r="U525" s="18" t="str">
        <f t="shared" si="62"/>
        <v>Medium Value</v>
      </c>
    </row>
    <row r="526" spans="1:21" x14ac:dyDescent="0.3">
      <c r="A526" t="s">
        <v>534</v>
      </c>
      <c r="B526" s="1">
        <v>44983</v>
      </c>
      <c r="C526" t="s">
        <v>1213</v>
      </c>
      <c r="D526" t="s">
        <v>1215</v>
      </c>
      <c r="E526" t="s">
        <v>1219</v>
      </c>
      <c r="F526" t="s">
        <v>1232</v>
      </c>
      <c r="G526" s="6">
        <v>1</v>
      </c>
      <c r="H526">
        <v>3149</v>
      </c>
      <c r="I526">
        <v>3149</v>
      </c>
      <c r="J526" s="2">
        <v>430.75</v>
      </c>
      <c r="K526" s="16">
        <f>Table13[[#This Row],[Profit]]/Table13[[#This Row],[Sales]]</f>
        <v>0.13678945697046682</v>
      </c>
      <c r="L526" s="17" t="str">
        <f t="shared" si="56"/>
        <v>Low</v>
      </c>
      <c r="M526" s="17" t="str">
        <f t="shared" si="57"/>
        <v>Feb</v>
      </c>
      <c r="N526" s="18">
        <f>YEAR(Table13[[#This Row],[Order_Date]])</f>
        <v>2023</v>
      </c>
      <c r="O526" s="18">
        <f>Table13[[#This Row],[Price]]*0.7</f>
        <v>2204.2999999999997</v>
      </c>
      <c r="P526" s="18">
        <f t="shared" si="58"/>
        <v>944.70000000000027</v>
      </c>
      <c r="Q526" s="18">
        <f t="shared" si="59"/>
        <v>0.05</v>
      </c>
      <c r="R526" s="18">
        <f t="shared" si="60"/>
        <v>2718.25</v>
      </c>
      <c r="S526" s="18" t="str">
        <f>IF(Table13[[#This Row],[Quantity]]&lt;=3,"Small",IF(Table13[[#This Row],[Quantity]]&lt;=6,"Medium","Bulk"))</f>
        <v>Small</v>
      </c>
      <c r="T526" s="18" t="str">
        <f t="shared" si="61"/>
        <v>Normal</v>
      </c>
      <c r="U526" s="18" t="str">
        <f t="shared" si="62"/>
        <v>low Value</v>
      </c>
    </row>
    <row r="527" spans="1:21" x14ac:dyDescent="0.3">
      <c r="A527" t="s">
        <v>535</v>
      </c>
      <c r="B527" s="1">
        <v>44945</v>
      </c>
      <c r="C527" t="s">
        <v>1211</v>
      </c>
      <c r="D527" t="s">
        <v>1215</v>
      </c>
      <c r="E527" t="s">
        <v>1220</v>
      </c>
      <c r="F527" t="s">
        <v>1224</v>
      </c>
      <c r="G527" s="6">
        <v>1</v>
      </c>
      <c r="H527">
        <v>249</v>
      </c>
      <c r="I527">
        <v>249</v>
      </c>
      <c r="J527" s="2">
        <v>38.24</v>
      </c>
      <c r="K527" s="16">
        <f>Table13[[#This Row],[Profit]]/Table13[[#This Row],[Sales]]</f>
        <v>0.15357429718875504</v>
      </c>
      <c r="L527" s="17" t="str">
        <f t="shared" si="56"/>
        <v>Low</v>
      </c>
      <c r="M527" s="17" t="str">
        <f t="shared" si="57"/>
        <v>Jan</v>
      </c>
      <c r="N527" s="18">
        <f>YEAR(Table13[[#This Row],[Order_Date]])</f>
        <v>2023</v>
      </c>
      <c r="O527" s="18">
        <f>Table13[[#This Row],[Price]]*0.7</f>
        <v>174.29999999999998</v>
      </c>
      <c r="P527" s="18">
        <f t="shared" si="58"/>
        <v>74.700000000000017</v>
      </c>
      <c r="Q527" s="18">
        <f t="shared" si="59"/>
        <v>0.05</v>
      </c>
      <c r="R527" s="18">
        <f t="shared" si="60"/>
        <v>210.76</v>
      </c>
      <c r="S527" s="18" t="str">
        <f>IF(Table13[[#This Row],[Quantity]]&lt;=3,"Small",IF(Table13[[#This Row],[Quantity]]&lt;=6,"Medium","Bulk"))</f>
        <v>Small</v>
      </c>
      <c r="T527" s="18" t="str">
        <f t="shared" si="61"/>
        <v>Normal</v>
      </c>
      <c r="U527" s="18" t="str">
        <f t="shared" si="62"/>
        <v>low Value</v>
      </c>
    </row>
    <row r="528" spans="1:21" x14ac:dyDescent="0.3">
      <c r="A528" t="s">
        <v>536</v>
      </c>
      <c r="B528" s="1">
        <v>45010</v>
      </c>
      <c r="C528" t="s">
        <v>1211</v>
      </c>
      <c r="D528" t="s">
        <v>1214</v>
      </c>
      <c r="E528" t="s">
        <v>1219</v>
      </c>
      <c r="F528" t="s">
        <v>1233</v>
      </c>
      <c r="G528" s="6">
        <v>7</v>
      </c>
      <c r="H528">
        <v>651</v>
      </c>
      <c r="I528">
        <v>4557</v>
      </c>
      <c r="J528" s="2">
        <v>1125.3399999999999</v>
      </c>
      <c r="K528" s="16">
        <f>Table13[[#This Row],[Profit]]/Table13[[#This Row],[Sales]]</f>
        <v>0.2469475532148343</v>
      </c>
      <c r="L528" s="17" t="str">
        <f t="shared" si="56"/>
        <v>Low</v>
      </c>
      <c r="M528" s="17" t="str">
        <f t="shared" si="57"/>
        <v>Mar</v>
      </c>
      <c r="N528" s="18">
        <f>YEAR(Table13[[#This Row],[Order_Date]])</f>
        <v>2023</v>
      </c>
      <c r="O528" s="18">
        <f>Table13[[#This Row],[Price]]*0.7</f>
        <v>455.7</v>
      </c>
      <c r="P528" s="18">
        <f t="shared" si="58"/>
        <v>1367.1</v>
      </c>
      <c r="Q528" s="18">
        <f t="shared" si="59"/>
        <v>0.1</v>
      </c>
      <c r="R528" s="18">
        <f t="shared" si="60"/>
        <v>3431.66</v>
      </c>
      <c r="S528" s="18" t="str">
        <f>IF(Table13[[#This Row],[Quantity]]&lt;=3,"Small",IF(Table13[[#This Row],[Quantity]]&lt;=6,"Medium","Bulk"))</f>
        <v>Bulk</v>
      </c>
      <c r="T528" s="18" t="str">
        <f t="shared" si="61"/>
        <v>Normal</v>
      </c>
      <c r="U528" s="18" t="str">
        <f t="shared" si="62"/>
        <v>low Value</v>
      </c>
    </row>
    <row r="529" spans="1:21" x14ac:dyDescent="0.3">
      <c r="A529" t="s">
        <v>537</v>
      </c>
      <c r="B529" s="1">
        <v>45144</v>
      </c>
      <c r="C529" t="s">
        <v>1211</v>
      </c>
      <c r="D529" t="s">
        <v>1215</v>
      </c>
      <c r="E529" t="s">
        <v>1221</v>
      </c>
      <c r="F529" t="s">
        <v>1229</v>
      </c>
      <c r="G529" s="6">
        <v>8</v>
      </c>
      <c r="H529">
        <v>2961</v>
      </c>
      <c r="I529">
        <v>23688</v>
      </c>
      <c r="J529" s="2">
        <v>5578.63</v>
      </c>
      <c r="K529" s="16">
        <f>Table13[[#This Row],[Profit]]/Table13[[#This Row],[Sales]]</f>
        <v>0.23550447483958123</v>
      </c>
      <c r="L529" s="17" t="str">
        <f t="shared" si="56"/>
        <v>High</v>
      </c>
      <c r="M529" s="17" t="str">
        <f t="shared" si="57"/>
        <v>Aug</v>
      </c>
      <c r="N529" s="18">
        <f>YEAR(Table13[[#This Row],[Order_Date]])</f>
        <v>2023</v>
      </c>
      <c r="O529" s="18">
        <f>Table13[[#This Row],[Price]]*0.7</f>
        <v>2072.6999999999998</v>
      </c>
      <c r="P529" s="18">
        <f t="shared" si="58"/>
        <v>7106.4000000000015</v>
      </c>
      <c r="Q529" s="18">
        <f t="shared" si="59"/>
        <v>0.1</v>
      </c>
      <c r="R529" s="18">
        <f t="shared" si="60"/>
        <v>18109.37</v>
      </c>
      <c r="S529" s="18" t="str">
        <f>IF(Table13[[#This Row],[Quantity]]&lt;=3,"Small",IF(Table13[[#This Row],[Quantity]]&lt;=6,"Medium","Bulk"))</f>
        <v>Bulk</v>
      </c>
      <c r="T529" s="18" t="str">
        <f t="shared" si="61"/>
        <v>Normal</v>
      </c>
      <c r="U529" s="18" t="str">
        <f t="shared" si="62"/>
        <v>High Value</v>
      </c>
    </row>
    <row r="530" spans="1:21" x14ac:dyDescent="0.3">
      <c r="A530" t="s">
        <v>538</v>
      </c>
      <c r="B530" s="1">
        <v>45244</v>
      </c>
      <c r="C530" t="s">
        <v>1212</v>
      </c>
      <c r="D530" t="s">
        <v>1215</v>
      </c>
      <c r="E530" t="s">
        <v>1220</v>
      </c>
      <c r="F530" t="s">
        <v>1228</v>
      </c>
      <c r="G530" s="6">
        <v>2</v>
      </c>
      <c r="H530">
        <v>717</v>
      </c>
      <c r="I530">
        <v>1434</v>
      </c>
      <c r="J530" s="2">
        <v>248.26</v>
      </c>
      <c r="K530" s="16">
        <f>Table13[[#This Row],[Profit]]/Table13[[#This Row],[Sales]]</f>
        <v>0.17312412831241283</v>
      </c>
      <c r="L530" s="17" t="str">
        <f t="shared" si="56"/>
        <v>Low</v>
      </c>
      <c r="M530" s="17" t="str">
        <f t="shared" si="57"/>
        <v>Nov</v>
      </c>
      <c r="N530" s="18">
        <f>YEAR(Table13[[#This Row],[Order_Date]])</f>
        <v>2023</v>
      </c>
      <c r="O530" s="18">
        <f>Table13[[#This Row],[Price]]*0.7</f>
        <v>501.9</v>
      </c>
      <c r="P530" s="18">
        <f t="shared" si="58"/>
        <v>430.20000000000005</v>
      </c>
      <c r="Q530" s="18">
        <f t="shared" si="59"/>
        <v>0.05</v>
      </c>
      <c r="R530" s="18">
        <f t="shared" si="60"/>
        <v>1185.74</v>
      </c>
      <c r="S530" s="18" t="str">
        <f>IF(Table13[[#This Row],[Quantity]]&lt;=3,"Small",IF(Table13[[#This Row],[Quantity]]&lt;=6,"Medium","Bulk"))</f>
        <v>Small</v>
      </c>
      <c r="T530" s="18" t="str">
        <f t="shared" si="61"/>
        <v>High Demand</v>
      </c>
      <c r="U530" s="18" t="str">
        <f t="shared" si="62"/>
        <v>low Value</v>
      </c>
    </row>
    <row r="531" spans="1:21" x14ac:dyDescent="0.3">
      <c r="A531" t="s">
        <v>539</v>
      </c>
      <c r="B531" s="1">
        <v>45103</v>
      </c>
      <c r="C531" t="s">
        <v>1213</v>
      </c>
      <c r="D531" t="s">
        <v>1214</v>
      </c>
      <c r="E531" t="s">
        <v>1220</v>
      </c>
      <c r="F531" t="s">
        <v>1225</v>
      </c>
      <c r="G531" s="6">
        <v>4</v>
      </c>
      <c r="H531">
        <v>4720</v>
      </c>
      <c r="I531">
        <v>18880</v>
      </c>
      <c r="J531" s="2">
        <v>2166.5700000000002</v>
      </c>
      <c r="K531" s="16">
        <f>Table13[[#This Row],[Profit]]/Table13[[#This Row],[Sales]]</f>
        <v>0.11475476694915256</v>
      </c>
      <c r="L531" s="17" t="str">
        <f t="shared" si="56"/>
        <v>Medium</v>
      </c>
      <c r="M531" s="17" t="str">
        <f t="shared" si="57"/>
        <v>Jun</v>
      </c>
      <c r="N531" s="18">
        <f>YEAR(Table13[[#This Row],[Order_Date]])</f>
        <v>2023</v>
      </c>
      <c r="O531" s="18">
        <f>Table13[[#This Row],[Price]]*0.7</f>
        <v>3304</v>
      </c>
      <c r="P531" s="18">
        <f t="shared" si="58"/>
        <v>5664</v>
      </c>
      <c r="Q531" s="18">
        <f t="shared" si="59"/>
        <v>0.05</v>
      </c>
      <c r="R531" s="18">
        <f t="shared" si="60"/>
        <v>16713.43</v>
      </c>
      <c r="S531" s="18" t="str">
        <f>IF(Table13[[#This Row],[Quantity]]&lt;=3,"Small",IF(Table13[[#This Row],[Quantity]]&lt;=6,"Medium","Bulk"))</f>
        <v>Medium</v>
      </c>
      <c r="T531" s="18" t="str">
        <f t="shared" si="61"/>
        <v>Normal</v>
      </c>
      <c r="U531" s="18" t="str">
        <f t="shared" si="62"/>
        <v>Medium Value</v>
      </c>
    </row>
    <row r="532" spans="1:21" x14ac:dyDescent="0.3">
      <c r="A532" t="s">
        <v>540</v>
      </c>
      <c r="B532" s="1">
        <v>45206</v>
      </c>
      <c r="C532" t="s">
        <v>1211</v>
      </c>
      <c r="D532" t="s">
        <v>1217</v>
      </c>
      <c r="E532" t="s">
        <v>1219</v>
      </c>
      <c r="F532" t="s">
        <v>1233</v>
      </c>
      <c r="G532" s="6">
        <v>2</v>
      </c>
      <c r="H532">
        <v>407</v>
      </c>
      <c r="I532">
        <v>814</v>
      </c>
      <c r="J532" s="2">
        <v>152.4</v>
      </c>
      <c r="K532" s="16">
        <f>Table13[[#This Row],[Profit]]/Table13[[#This Row],[Sales]]</f>
        <v>0.18722358722358723</v>
      </c>
      <c r="L532" s="17" t="str">
        <f t="shared" si="56"/>
        <v>Low</v>
      </c>
      <c r="M532" s="17" t="str">
        <f t="shared" si="57"/>
        <v>Oct</v>
      </c>
      <c r="N532" s="18">
        <f>YEAR(Table13[[#This Row],[Order_Date]])</f>
        <v>2023</v>
      </c>
      <c r="O532" s="18">
        <f>Table13[[#This Row],[Price]]*0.7</f>
        <v>284.89999999999998</v>
      </c>
      <c r="P532" s="18">
        <f t="shared" si="58"/>
        <v>244.20000000000005</v>
      </c>
      <c r="Q532" s="18">
        <f t="shared" si="59"/>
        <v>0.05</v>
      </c>
      <c r="R532" s="18">
        <f t="shared" si="60"/>
        <v>661.6</v>
      </c>
      <c r="S532" s="18" t="str">
        <f>IF(Table13[[#This Row],[Quantity]]&lt;=3,"Small",IF(Table13[[#This Row],[Quantity]]&lt;=6,"Medium","Bulk"))</f>
        <v>Small</v>
      </c>
      <c r="T532" s="18" t="str">
        <f t="shared" si="61"/>
        <v>Normal</v>
      </c>
      <c r="U532" s="18" t="str">
        <f t="shared" si="62"/>
        <v>low Value</v>
      </c>
    </row>
    <row r="533" spans="1:21" x14ac:dyDescent="0.3">
      <c r="A533" t="s">
        <v>541</v>
      </c>
      <c r="B533" s="1">
        <v>45156</v>
      </c>
      <c r="C533" t="s">
        <v>1213</v>
      </c>
      <c r="D533" t="s">
        <v>1214</v>
      </c>
      <c r="E533" t="s">
        <v>1219</v>
      </c>
      <c r="F533" t="s">
        <v>1238</v>
      </c>
      <c r="G533" s="6">
        <v>7</v>
      </c>
      <c r="H533">
        <v>4514</v>
      </c>
      <c r="I533">
        <v>31598</v>
      </c>
      <c r="J533" s="2">
        <v>2933.85</v>
      </c>
      <c r="K533" s="16">
        <f>Table13[[#This Row],[Profit]]/Table13[[#This Row],[Sales]]</f>
        <v>9.2849230963985063E-2</v>
      </c>
      <c r="L533" s="17" t="str">
        <f t="shared" si="56"/>
        <v>High</v>
      </c>
      <c r="M533" s="17" t="str">
        <f t="shared" si="57"/>
        <v>Aug</v>
      </c>
      <c r="N533" s="18">
        <f>YEAR(Table13[[#This Row],[Order_Date]])</f>
        <v>2023</v>
      </c>
      <c r="O533" s="18">
        <f>Table13[[#This Row],[Price]]*0.7</f>
        <v>3159.7999999999997</v>
      </c>
      <c r="P533" s="18">
        <f t="shared" si="58"/>
        <v>9479.4000000000015</v>
      </c>
      <c r="Q533" s="18">
        <f t="shared" si="59"/>
        <v>0.1</v>
      </c>
      <c r="R533" s="18">
        <f t="shared" si="60"/>
        <v>28664.15</v>
      </c>
      <c r="S533" s="18" t="str">
        <f>IF(Table13[[#This Row],[Quantity]]&lt;=3,"Small",IF(Table13[[#This Row],[Quantity]]&lt;=6,"Medium","Bulk"))</f>
        <v>Bulk</v>
      </c>
      <c r="T533" s="18" t="str">
        <f t="shared" si="61"/>
        <v>Normal</v>
      </c>
      <c r="U533" s="18" t="str">
        <f t="shared" si="62"/>
        <v>High Value</v>
      </c>
    </row>
    <row r="534" spans="1:21" x14ac:dyDescent="0.3">
      <c r="A534" t="s">
        <v>542</v>
      </c>
      <c r="B534" s="1">
        <v>45248</v>
      </c>
      <c r="C534" t="s">
        <v>1211</v>
      </c>
      <c r="D534" t="s">
        <v>1215</v>
      </c>
      <c r="E534" t="s">
        <v>1222</v>
      </c>
      <c r="F534" t="s">
        <v>1230</v>
      </c>
      <c r="G534" s="6">
        <v>4</v>
      </c>
      <c r="H534">
        <v>4698</v>
      </c>
      <c r="I534">
        <v>18792</v>
      </c>
      <c r="J534" s="2">
        <v>3495.69</v>
      </c>
      <c r="K534" s="16">
        <f>Table13[[#This Row],[Profit]]/Table13[[#This Row],[Sales]]</f>
        <v>0.18602011494252874</v>
      </c>
      <c r="L534" s="17" t="str">
        <f t="shared" si="56"/>
        <v>Medium</v>
      </c>
      <c r="M534" s="17" t="str">
        <f t="shared" si="57"/>
        <v>Nov</v>
      </c>
      <c r="N534" s="18">
        <f>YEAR(Table13[[#This Row],[Order_Date]])</f>
        <v>2023</v>
      </c>
      <c r="O534" s="18">
        <f>Table13[[#This Row],[Price]]*0.7</f>
        <v>3288.6</v>
      </c>
      <c r="P534" s="18">
        <f t="shared" si="58"/>
        <v>5637.6</v>
      </c>
      <c r="Q534" s="18">
        <f t="shared" si="59"/>
        <v>0.05</v>
      </c>
      <c r="R534" s="18">
        <f t="shared" si="60"/>
        <v>15296.310000000001</v>
      </c>
      <c r="S534" s="18" t="str">
        <f>IF(Table13[[#This Row],[Quantity]]&lt;=3,"Small",IF(Table13[[#This Row],[Quantity]]&lt;=6,"Medium","Bulk"))</f>
        <v>Medium</v>
      </c>
      <c r="T534" s="18" t="str">
        <f t="shared" si="61"/>
        <v>Normal</v>
      </c>
      <c r="U534" s="18" t="str">
        <f t="shared" si="62"/>
        <v>Medium Value</v>
      </c>
    </row>
    <row r="535" spans="1:21" x14ac:dyDescent="0.3">
      <c r="A535" t="s">
        <v>543</v>
      </c>
      <c r="B535" s="1">
        <v>44999</v>
      </c>
      <c r="C535" t="s">
        <v>1212</v>
      </c>
      <c r="D535" t="s">
        <v>1218</v>
      </c>
      <c r="E535" t="s">
        <v>1220</v>
      </c>
      <c r="F535" t="s">
        <v>1225</v>
      </c>
      <c r="G535" s="6">
        <v>3</v>
      </c>
      <c r="H535">
        <v>1942</v>
      </c>
      <c r="I535">
        <v>5826</v>
      </c>
      <c r="J535" s="2">
        <v>1024.3399999999999</v>
      </c>
      <c r="K535" s="16">
        <f>Table13[[#This Row],[Profit]]/Table13[[#This Row],[Sales]]</f>
        <v>0.17582217645039477</v>
      </c>
      <c r="L535" s="17" t="str">
        <f t="shared" si="56"/>
        <v>Low</v>
      </c>
      <c r="M535" s="17" t="str">
        <f t="shared" si="57"/>
        <v>Mar</v>
      </c>
      <c r="N535" s="18">
        <f>YEAR(Table13[[#This Row],[Order_Date]])</f>
        <v>2023</v>
      </c>
      <c r="O535" s="18">
        <f>Table13[[#This Row],[Price]]*0.7</f>
        <v>1359.3999999999999</v>
      </c>
      <c r="P535" s="18">
        <f t="shared" si="58"/>
        <v>1747.8000000000002</v>
      </c>
      <c r="Q535" s="18">
        <f t="shared" si="59"/>
        <v>0.05</v>
      </c>
      <c r="R535" s="18">
        <f t="shared" si="60"/>
        <v>4801.66</v>
      </c>
      <c r="S535" s="18" t="str">
        <f>IF(Table13[[#This Row],[Quantity]]&lt;=3,"Small",IF(Table13[[#This Row],[Quantity]]&lt;=6,"Medium","Bulk"))</f>
        <v>Small</v>
      </c>
      <c r="T535" s="18" t="str">
        <f t="shared" si="61"/>
        <v>High Demand</v>
      </c>
      <c r="U535" s="18" t="str">
        <f t="shared" si="62"/>
        <v>low Value</v>
      </c>
    </row>
    <row r="536" spans="1:21" x14ac:dyDescent="0.3">
      <c r="A536" t="s">
        <v>544</v>
      </c>
      <c r="B536" s="1">
        <v>45009</v>
      </c>
      <c r="C536" t="s">
        <v>1211</v>
      </c>
      <c r="D536" t="s">
        <v>1218</v>
      </c>
      <c r="E536" t="s">
        <v>1219</v>
      </c>
      <c r="F536" t="s">
        <v>1223</v>
      </c>
      <c r="G536" s="6">
        <v>2</v>
      </c>
      <c r="H536">
        <v>4708</v>
      </c>
      <c r="I536">
        <v>9416</v>
      </c>
      <c r="J536" s="2">
        <v>1031.94</v>
      </c>
      <c r="K536" s="16">
        <f>Table13[[#This Row],[Profit]]/Table13[[#This Row],[Sales]]</f>
        <v>0.10959430756159728</v>
      </c>
      <c r="L536" s="17" t="str">
        <f t="shared" si="56"/>
        <v>Low</v>
      </c>
      <c r="M536" s="17" t="str">
        <f t="shared" si="57"/>
        <v>Mar</v>
      </c>
      <c r="N536" s="18">
        <f>YEAR(Table13[[#This Row],[Order_Date]])</f>
        <v>2023</v>
      </c>
      <c r="O536" s="18">
        <f>Table13[[#This Row],[Price]]*0.7</f>
        <v>3295.6</v>
      </c>
      <c r="P536" s="18">
        <f t="shared" si="58"/>
        <v>2824.8</v>
      </c>
      <c r="Q536" s="18">
        <f t="shared" si="59"/>
        <v>0.05</v>
      </c>
      <c r="R536" s="18">
        <f t="shared" si="60"/>
        <v>8384.06</v>
      </c>
      <c r="S536" s="18" t="str">
        <f>IF(Table13[[#This Row],[Quantity]]&lt;=3,"Small",IF(Table13[[#This Row],[Quantity]]&lt;=6,"Medium","Bulk"))</f>
        <v>Small</v>
      </c>
      <c r="T536" s="18" t="str">
        <f t="shared" si="61"/>
        <v>Normal</v>
      </c>
      <c r="U536" s="18" t="str">
        <f t="shared" si="62"/>
        <v>low Value</v>
      </c>
    </row>
    <row r="537" spans="1:21" x14ac:dyDescent="0.3">
      <c r="A537" t="s">
        <v>545</v>
      </c>
      <c r="B537" s="1">
        <v>45174</v>
      </c>
      <c r="C537" t="s">
        <v>1211</v>
      </c>
      <c r="D537" t="s">
        <v>1216</v>
      </c>
      <c r="E537" t="s">
        <v>1220</v>
      </c>
      <c r="F537" t="s">
        <v>1228</v>
      </c>
      <c r="G537" s="6">
        <v>6</v>
      </c>
      <c r="H537">
        <v>3194</v>
      </c>
      <c r="I537">
        <v>19164</v>
      </c>
      <c r="J537" s="2">
        <v>4409.8100000000004</v>
      </c>
      <c r="K537" s="16">
        <f>Table13[[#This Row],[Profit]]/Table13[[#This Row],[Sales]]</f>
        <v>0.2301090586516385</v>
      </c>
      <c r="L537" s="17" t="str">
        <f t="shared" si="56"/>
        <v>Medium</v>
      </c>
      <c r="M537" s="17" t="str">
        <f t="shared" si="57"/>
        <v>Sep</v>
      </c>
      <c r="N537" s="18">
        <f>YEAR(Table13[[#This Row],[Order_Date]])</f>
        <v>2023</v>
      </c>
      <c r="O537" s="18">
        <f>Table13[[#This Row],[Price]]*0.7</f>
        <v>2235.7999999999997</v>
      </c>
      <c r="P537" s="18">
        <f t="shared" si="58"/>
        <v>5749.2000000000007</v>
      </c>
      <c r="Q537" s="18">
        <f t="shared" si="59"/>
        <v>0.1</v>
      </c>
      <c r="R537" s="18">
        <f t="shared" si="60"/>
        <v>14754.189999999999</v>
      </c>
      <c r="S537" s="18" t="str">
        <f>IF(Table13[[#This Row],[Quantity]]&lt;=3,"Small",IF(Table13[[#This Row],[Quantity]]&lt;=6,"Medium","Bulk"))</f>
        <v>Medium</v>
      </c>
      <c r="T537" s="18" t="str">
        <f t="shared" si="61"/>
        <v>Normal</v>
      </c>
      <c r="U537" s="18" t="str">
        <f t="shared" si="62"/>
        <v>Medium Value</v>
      </c>
    </row>
    <row r="538" spans="1:21" x14ac:dyDescent="0.3">
      <c r="A538" t="s">
        <v>546</v>
      </c>
      <c r="B538" s="1">
        <v>45227</v>
      </c>
      <c r="C538" t="s">
        <v>1213</v>
      </c>
      <c r="D538" t="s">
        <v>1218</v>
      </c>
      <c r="E538" t="s">
        <v>1220</v>
      </c>
      <c r="F538" t="s">
        <v>1225</v>
      </c>
      <c r="G538" s="6">
        <v>9</v>
      </c>
      <c r="H538">
        <v>483</v>
      </c>
      <c r="I538">
        <v>4347</v>
      </c>
      <c r="J538" s="2">
        <v>811.47</v>
      </c>
      <c r="K538" s="16">
        <f>Table13[[#This Row],[Profit]]/Table13[[#This Row],[Sales]]</f>
        <v>0.18667356797791582</v>
      </c>
      <c r="L538" s="17" t="str">
        <f t="shared" si="56"/>
        <v>Low</v>
      </c>
      <c r="M538" s="17" t="str">
        <f t="shared" si="57"/>
        <v>Oct</v>
      </c>
      <c r="N538" s="18">
        <f>YEAR(Table13[[#This Row],[Order_Date]])</f>
        <v>2023</v>
      </c>
      <c r="O538" s="18">
        <f>Table13[[#This Row],[Price]]*0.7</f>
        <v>338.09999999999997</v>
      </c>
      <c r="P538" s="18">
        <f t="shared" si="58"/>
        <v>1304.1000000000004</v>
      </c>
      <c r="Q538" s="18">
        <f t="shared" si="59"/>
        <v>0.1</v>
      </c>
      <c r="R538" s="18">
        <f t="shared" si="60"/>
        <v>3535.53</v>
      </c>
      <c r="S538" s="18" t="str">
        <f>IF(Table13[[#This Row],[Quantity]]&lt;=3,"Small",IF(Table13[[#This Row],[Quantity]]&lt;=6,"Medium","Bulk"))</f>
        <v>Bulk</v>
      </c>
      <c r="T538" s="18" t="str">
        <f t="shared" si="61"/>
        <v>Normal</v>
      </c>
      <c r="U538" s="18" t="str">
        <f t="shared" si="62"/>
        <v>low Value</v>
      </c>
    </row>
    <row r="539" spans="1:21" x14ac:dyDescent="0.3">
      <c r="A539" t="s">
        <v>547</v>
      </c>
      <c r="B539" s="1">
        <v>44999</v>
      </c>
      <c r="C539" t="s">
        <v>1212</v>
      </c>
      <c r="D539" t="s">
        <v>1217</v>
      </c>
      <c r="E539" t="s">
        <v>1222</v>
      </c>
      <c r="F539" t="s">
        <v>1236</v>
      </c>
      <c r="G539" s="6">
        <v>3</v>
      </c>
      <c r="H539">
        <v>2120</v>
      </c>
      <c r="I539">
        <v>6360</v>
      </c>
      <c r="J539" s="2">
        <v>747.19</v>
      </c>
      <c r="K539" s="16">
        <f>Table13[[#This Row],[Profit]]/Table13[[#This Row],[Sales]]</f>
        <v>0.11748270440251574</v>
      </c>
      <c r="L539" s="17" t="str">
        <f t="shared" si="56"/>
        <v>Low</v>
      </c>
      <c r="M539" s="17" t="str">
        <f t="shared" si="57"/>
        <v>Mar</v>
      </c>
      <c r="N539" s="18">
        <f>YEAR(Table13[[#This Row],[Order_Date]])</f>
        <v>2023</v>
      </c>
      <c r="O539" s="18">
        <f>Table13[[#This Row],[Price]]*0.7</f>
        <v>1484</v>
      </c>
      <c r="P539" s="18">
        <f t="shared" si="58"/>
        <v>1908</v>
      </c>
      <c r="Q539" s="18">
        <f t="shared" si="59"/>
        <v>0.05</v>
      </c>
      <c r="R539" s="18">
        <f t="shared" si="60"/>
        <v>5612.8099999999995</v>
      </c>
      <c r="S539" s="18" t="str">
        <f>IF(Table13[[#This Row],[Quantity]]&lt;=3,"Small",IF(Table13[[#This Row],[Quantity]]&lt;=6,"Medium","Bulk"))</f>
        <v>Small</v>
      </c>
      <c r="T539" s="18" t="str">
        <f t="shared" si="61"/>
        <v>High Demand</v>
      </c>
      <c r="U539" s="18" t="str">
        <f t="shared" si="62"/>
        <v>low Value</v>
      </c>
    </row>
    <row r="540" spans="1:21" x14ac:dyDescent="0.3">
      <c r="A540" t="s">
        <v>548</v>
      </c>
      <c r="B540" s="1">
        <v>45256</v>
      </c>
      <c r="C540" t="s">
        <v>1211</v>
      </c>
      <c r="D540" t="s">
        <v>1214</v>
      </c>
      <c r="E540" t="s">
        <v>1221</v>
      </c>
      <c r="F540" t="s">
        <v>1226</v>
      </c>
      <c r="G540" s="6">
        <v>6</v>
      </c>
      <c r="H540">
        <v>375</v>
      </c>
      <c r="I540">
        <v>2250</v>
      </c>
      <c r="J540" s="2">
        <v>434.36</v>
      </c>
      <c r="K540" s="16">
        <f>Table13[[#This Row],[Profit]]/Table13[[#This Row],[Sales]]</f>
        <v>0.19304888888888891</v>
      </c>
      <c r="L540" s="17" t="str">
        <f t="shared" si="56"/>
        <v>Low</v>
      </c>
      <c r="M540" s="17" t="str">
        <f t="shared" si="57"/>
        <v>Nov</v>
      </c>
      <c r="N540" s="18">
        <f>YEAR(Table13[[#This Row],[Order_Date]])</f>
        <v>2023</v>
      </c>
      <c r="O540" s="18">
        <f>Table13[[#This Row],[Price]]*0.7</f>
        <v>262.5</v>
      </c>
      <c r="P540" s="18">
        <f t="shared" si="58"/>
        <v>675</v>
      </c>
      <c r="Q540" s="18">
        <f t="shared" si="59"/>
        <v>0.1</v>
      </c>
      <c r="R540" s="18">
        <f t="shared" si="60"/>
        <v>1815.6399999999999</v>
      </c>
      <c r="S540" s="18" t="str">
        <f>IF(Table13[[#This Row],[Quantity]]&lt;=3,"Small",IF(Table13[[#This Row],[Quantity]]&lt;=6,"Medium","Bulk"))</f>
        <v>Medium</v>
      </c>
      <c r="T540" s="18" t="str">
        <f t="shared" si="61"/>
        <v>Normal</v>
      </c>
      <c r="U540" s="18" t="str">
        <f t="shared" si="62"/>
        <v>low Value</v>
      </c>
    </row>
    <row r="541" spans="1:21" x14ac:dyDescent="0.3">
      <c r="A541" t="s">
        <v>549</v>
      </c>
      <c r="B541" s="1">
        <v>45053</v>
      </c>
      <c r="C541" t="s">
        <v>1212</v>
      </c>
      <c r="D541" t="s">
        <v>1216</v>
      </c>
      <c r="E541" t="s">
        <v>1220</v>
      </c>
      <c r="F541" t="s">
        <v>1225</v>
      </c>
      <c r="G541" s="6">
        <v>3</v>
      </c>
      <c r="H541">
        <v>1979</v>
      </c>
      <c r="I541">
        <v>5937</v>
      </c>
      <c r="J541" s="2">
        <v>1230.3</v>
      </c>
      <c r="K541" s="16">
        <f>Table13[[#This Row],[Profit]]/Table13[[#This Row],[Sales]]</f>
        <v>0.20722587165234965</v>
      </c>
      <c r="L541" s="17" t="str">
        <f t="shared" si="56"/>
        <v>Low</v>
      </c>
      <c r="M541" s="17" t="str">
        <f t="shared" si="57"/>
        <v>May</v>
      </c>
      <c r="N541" s="18">
        <f>YEAR(Table13[[#This Row],[Order_Date]])</f>
        <v>2023</v>
      </c>
      <c r="O541" s="18">
        <f>Table13[[#This Row],[Price]]*0.7</f>
        <v>1385.3</v>
      </c>
      <c r="P541" s="18">
        <f t="shared" si="58"/>
        <v>1781.1000000000004</v>
      </c>
      <c r="Q541" s="18">
        <f t="shared" si="59"/>
        <v>0.05</v>
      </c>
      <c r="R541" s="18">
        <f t="shared" si="60"/>
        <v>4706.7000000000007</v>
      </c>
      <c r="S541" s="18" t="str">
        <f>IF(Table13[[#This Row],[Quantity]]&lt;=3,"Small",IF(Table13[[#This Row],[Quantity]]&lt;=6,"Medium","Bulk"))</f>
        <v>Small</v>
      </c>
      <c r="T541" s="18" t="str">
        <f t="shared" si="61"/>
        <v>High Demand</v>
      </c>
      <c r="U541" s="18" t="str">
        <f t="shared" si="62"/>
        <v>low Value</v>
      </c>
    </row>
    <row r="542" spans="1:21" x14ac:dyDescent="0.3">
      <c r="A542" t="s">
        <v>550</v>
      </c>
      <c r="B542" s="1">
        <v>45174</v>
      </c>
      <c r="C542" t="s">
        <v>1213</v>
      </c>
      <c r="D542" t="s">
        <v>1218</v>
      </c>
      <c r="E542" t="s">
        <v>1219</v>
      </c>
      <c r="F542" t="s">
        <v>1238</v>
      </c>
      <c r="G542" s="6">
        <v>4</v>
      </c>
      <c r="H542">
        <v>3876</v>
      </c>
      <c r="I542">
        <v>15504</v>
      </c>
      <c r="J542" s="2">
        <v>2591.6999999999998</v>
      </c>
      <c r="K542" s="16">
        <f>Table13[[#This Row],[Profit]]/Table13[[#This Row],[Sales]]</f>
        <v>0.16716331269349843</v>
      </c>
      <c r="L542" s="17" t="str">
        <f t="shared" si="56"/>
        <v>Medium</v>
      </c>
      <c r="M542" s="17" t="str">
        <f t="shared" si="57"/>
        <v>Sep</v>
      </c>
      <c r="N542" s="18">
        <f>YEAR(Table13[[#This Row],[Order_Date]])</f>
        <v>2023</v>
      </c>
      <c r="O542" s="18">
        <f>Table13[[#This Row],[Price]]*0.7</f>
        <v>2713.2</v>
      </c>
      <c r="P542" s="18">
        <f t="shared" si="58"/>
        <v>4651.2000000000007</v>
      </c>
      <c r="Q542" s="18">
        <f t="shared" si="59"/>
        <v>0.05</v>
      </c>
      <c r="R542" s="18">
        <f t="shared" si="60"/>
        <v>12912.300000000001</v>
      </c>
      <c r="S542" s="18" t="str">
        <f>IF(Table13[[#This Row],[Quantity]]&lt;=3,"Small",IF(Table13[[#This Row],[Quantity]]&lt;=6,"Medium","Bulk"))</f>
        <v>Medium</v>
      </c>
      <c r="T542" s="18" t="str">
        <f t="shared" si="61"/>
        <v>Normal</v>
      </c>
      <c r="U542" s="18" t="str">
        <f t="shared" si="62"/>
        <v>Medium Value</v>
      </c>
    </row>
    <row r="543" spans="1:21" x14ac:dyDescent="0.3">
      <c r="A543" t="s">
        <v>551</v>
      </c>
      <c r="B543" s="1">
        <v>45094</v>
      </c>
      <c r="C543" t="s">
        <v>1210</v>
      </c>
      <c r="D543" t="s">
        <v>1218</v>
      </c>
      <c r="E543" t="s">
        <v>1219</v>
      </c>
      <c r="F543" t="s">
        <v>1232</v>
      </c>
      <c r="G543" s="6">
        <v>9</v>
      </c>
      <c r="H543">
        <v>2417</v>
      </c>
      <c r="I543">
        <v>21753</v>
      </c>
      <c r="J543" s="2">
        <v>4332.0600000000004</v>
      </c>
      <c r="K543" s="16">
        <f>Table13[[#This Row],[Profit]]/Table13[[#This Row],[Sales]]</f>
        <v>0.19914770376499796</v>
      </c>
      <c r="L543" s="17" t="str">
        <f t="shared" si="56"/>
        <v>High</v>
      </c>
      <c r="M543" s="17" t="str">
        <f t="shared" si="57"/>
        <v>Jun</v>
      </c>
      <c r="N543" s="18">
        <f>YEAR(Table13[[#This Row],[Order_Date]])</f>
        <v>2023</v>
      </c>
      <c r="O543" s="18">
        <f>Table13[[#This Row],[Price]]*0.7</f>
        <v>1691.8999999999999</v>
      </c>
      <c r="P543" s="18">
        <f t="shared" si="58"/>
        <v>6525.9000000000015</v>
      </c>
      <c r="Q543" s="18">
        <f t="shared" si="59"/>
        <v>0.1</v>
      </c>
      <c r="R543" s="18">
        <f t="shared" si="60"/>
        <v>17420.939999999999</v>
      </c>
      <c r="S543" s="18" t="str">
        <f>IF(Table13[[#This Row],[Quantity]]&lt;=3,"Small",IF(Table13[[#This Row],[Quantity]]&lt;=6,"Medium","Bulk"))</f>
        <v>Bulk</v>
      </c>
      <c r="T543" s="18" t="str">
        <f t="shared" si="61"/>
        <v>Normal</v>
      </c>
      <c r="U543" s="18" t="str">
        <f t="shared" si="62"/>
        <v>High Value</v>
      </c>
    </row>
    <row r="544" spans="1:21" x14ac:dyDescent="0.3">
      <c r="A544" t="s">
        <v>552</v>
      </c>
      <c r="B544" s="1">
        <v>44995</v>
      </c>
      <c r="C544" t="s">
        <v>1210</v>
      </c>
      <c r="D544" t="s">
        <v>1217</v>
      </c>
      <c r="E544" t="s">
        <v>1222</v>
      </c>
      <c r="F544" t="s">
        <v>1227</v>
      </c>
      <c r="G544" s="6">
        <v>4</v>
      </c>
      <c r="H544">
        <v>2984</v>
      </c>
      <c r="I544">
        <v>11936</v>
      </c>
      <c r="J544" s="2">
        <v>1389.94</v>
      </c>
      <c r="K544" s="16">
        <f>Table13[[#This Row],[Profit]]/Table13[[#This Row],[Sales]]</f>
        <v>0.11644939678284183</v>
      </c>
      <c r="L544" s="17" t="str">
        <f t="shared" si="56"/>
        <v>Medium</v>
      </c>
      <c r="M544" s="17" t="str">
        <f t="shared" si="57"/>
        <v>Mar</v>
      </c>
      <c r="N544" s="18">
        <f>YEAR(Table13[[#This Row],[Order_Date]])</f>
        <v>2023</v>
      </c>
      <c r="O544" s="18">
        <f>Table13[[#This Row],[Price]]*0.7</f>
        <v>2088.7999999999997</v>
      </c>
      <c r="P544" s="18">
        <f t="shared" si="58"/>
        <v>3580.8000000000011</v>
      </c>
      <c r="Q544" s="18">
        <f t="shared" si="59"/>
        <v>0.05</v>
      </c>
      <c r="R544" s="18">
        <f t="shared" si="60"/>
        <v>10546.06</v>
      </c>
      <c r="S544" s="18" t="str">
        <f>IF(Table13[[#This Row],[Quantity]]&lt;=3,"Small",IF(Table13[[#This Row],[Quantity]]&lt;=6,"Medium","Bulk"))</f>
        <v>Medium</v>
      </c>
      <c r="T544" s="18" t="str">
        <f t="shared" si="61"/>
        <v>Normal</v>
      </c>
      <c r="U544" s="18" t="str">
        <f t="shared" si="62"/>
        <v>Medium Value</v>
      </c>
    </row>
    <row r="545" spans="1:21" x14ac:dyDescent="0.3">
      <c r="A545" t="s">
        <v>553</v>
      </c>
      <c r="B545" s="1">
        <v>45087</v>
      </c>
      <c r="C545" t="s">
        <v>1210</v>
      </c>
      <c r="D545" t="s">
        <v>1217</v>
      </c>
      <c r="E545" t="s">
        <v>1221</v>
      </c>
      <c r="F545" t="s">
        <v>1235</v>
      </c>
      <c r="G545" s="6">
        <v>2</v>
      </c>
      <c r="H545">
        <v>3210</v>
      </c>
      <c r="I545">
        <v>6420</v>
      </c>
      <c r="J545" s="2">
        <v>748.63</v>
      </c>
      <c r="K545" s="16">
        <f>Table13[[#This Row],[Profit]]/Table13[[#This Row],[Sales]]</f>
        <v>0.11660903426791278</v>
      </c>
      <c r="L545" s="17" t="str">
        <f t="shared" si="56"/>
        <v>Low</v>
      </c>
      <c r="M545" s="17" t="str">
        <f t="shared" si="57"/>
        <v>Jun</v>
      </c>
      <c r="N545" s="18">
        <f>YEAR(Table13[[#This Row],[Order_Date]])</f>
        <v>2023</v>
      </c>
      <c r="O545" s="18">
        <f>Table13[[#This Row],[Price]]*0.7</f>
        <v>2247</v>
      </c>
      <c r="P545" s="18">
        <f t="shared" si="58"/>
        <v>1926</v>
      </c>
      <c r="Q545" s="18">
        <f t="shared" si="59"/>
        <v>0.05</v>
      </c>
      <c r="R545" s="18">
        <f t="shared" si="60"/>
        <v>5671.37</v>
      </c>
      <c r="S545" s="18" t="str">
        <f>IF(Table13[[#This Row],[Quantity]]&lt;=3,"Small",IF(Table13[[#This Row],[Quantity]]&lt;=6,"Medium","Bulk"))</f>
        <v>Small</v>
      </c>
      <c r="T545" s="18" t="str">
        <f t="shared" si="61"/>
        <v>Normal</v>
      </c>
      <c r="U545" s="18" t="str">
        <f t="shared" si="62"/>
        <v>low Value</v>
      </c>
    </row>
    <row r="546" spans="1:21" x14ac:dyDescent="0.3">
      <c r="A546" t="s">
        <v>554</v>
      </c>
      <c r="B546" s="1">
        <v>45053</v>
      </c>
      <c r="C546" t="s">
        <v>1210</v>
      </c>
      <c r="D546" t="s">
        <v>1216</v>
      </c>
      <c r="E546" t="s">
        <v>1220</v>
      </c>
      <c r="F546" t="s">
        <v>1224</v>
      </c>
      <c r="G546" s="6">
        <v>7</v>
      </c>
      <c r="H546">
        <v>1873</v>
      </c>
      <c r="I546">
        <v>13111</v>
      </c>
      <c r="J546" s="2">
        <v>3021.35</v>
      </c>
      <c r="K546" s="16">
        <f>Table13[[#This Row],[Profit]]/Table13[[#This Row],[Sales]]</f>
        <v>0.23044390206696666</v>
      </c>
      <c r="L546" s="17" t="str">
        <f t="shared" si="56"/>
        <v>Medium</v>
      </c>
      <c r="M546" s="17" t="str">
        <f t="shared" si="57"/>
        <v>May</v>
      </c>
      <c r="N546" s="18">
        <f>YEAR(Table13[[#This Row],[Order_Date]])</f>
        <v>2023</v>
      </c>
      <c r="O546" s="18">
        <f>Table13[[#This Row],[Price]]*0.7</f>
        <v>1311.1</v>
      </c>
      <c r="P546" s="18">
        <f t="shared" si="58"/>
        <v>3933.3000000000011</v>
      </c>
      <c r="Q546" s="18">
        <f t="shared" si="59"/>
        <v>0.1</v>
      </c>
      <c r="R546" s="18">
        <f t="shared" si="60"/>
        <v>10089.65</v>
      </c>
      <c r="S546" s="18" t="str">
        <f>IF(Table13[[#This Row],[Quantity]]&lt;=3,"Small",IF(Table13[[#This Row],[Quantity]]&lt;=6,"Medium","Bulk"))</f>
        <v>Bulk</v>
      </c>
      <c r="T546" s="18" t="str">
        <f t="shared" si="61"/>
        <v>Normal</v>
      </c>
      <c r="U546" s="18" t="str">
        <f t="shared" si="62"/>
        <v>Medium Value</v>
      </c>
    </row>
    <row r="547" spans="1:21" x14ac:dyDescent="0.3">
      <c r="A547" t="s">
        <v>555</v>
      </c>
      <c r="B547" s="1">
        <v>45284</v>
      </c>
      <c r="C547" t="s">
        <v>1212</v>
      </c>
      <c r="D547" t="s">
        <v>1214</v>
      </c>
      <c r="E547" t="s">
        <v>1219</v>
      </c>
      <c r="F547" t="s">
        <v>1238</v>
      </c>
      <c r="G547" s="6">
        <v>8</v>
      </c>
      <c r="H547">
        <v>3957</v>
      </c>
      <c r="I547">
        <v>31656</v>
      </c>
      <c r="J547" s="2">
        <v>4671.3599999999997</v>
      </c>
      <c r="K547" s="16">
        <f>Table13[[#This Row],[Profit]]/Table13[[#This Row],[Sales]]</f>
        <v>0.14756633813495071</v>
      </c>
      <c r="L547" s="17" t="str">
        <f t="shared" si="56"/>
        <v>High</v>
      </c>
      <c r="M547" s="17" t="str">
        <f t="shared" si="57"/>
        <v>Dec</v>
      </c>
      <c r="N547" s="18">
        <f>YEAR(Table13[[#This Row],[Order_Date]])</f>
        <v>2023</v>
      </c>
      <c r="O547" s="18">
        <f>Table13[[#This Row],[Price]]*0.7</f>
        <v>2769.8999999999996</v>
      </c>
      <c r="P547" s="18">
        <f t="shared" si="58"/>
        <v>9496.8000000000029</v>
      </c>
      <c r="Q547" s="18">
        <f t="shared" si="59"/>
        <v>0.1</v>
      </c>
      <c r="R547" s="18">
        <f t="shared" si="60"/>
        <v>26984.640000000003</v>
      </c>
      <c r="S547" s="18" t="str">
        <f>IF(Table13[[#This Row],[Quantity]]&lt;=3,"Small",IF(Table13[[#This Row],[Quantity]]&lt;=6,"Medium","Bulk"))</f>
        <v>Bulk</v>
      </c>
      <c r="T547" s="18" t="str">
        <f t="shared" si="61"/>
        <v>High Demand</v>
      </c>
      <c r="U547" s="18" t="str">
        <f t="shared" si="62"/>
        <v>High Value</v>
      </c>
    </row>
    <row r="548" spans="1:21" x14ac:dyDescent="0.3">
      <c r="A548" t="s">
        <v>556</v>
      </c>
      <c r="B548" s="1">
        <v>44999</v>
      </c>
      <c r="C548" t="s">
        <v>1212</v>
      </c>
      <c r="D548" t="s">
        <v>1214</v>
      </c>
      <c r="E548" t="s">
        <v>1220</v>
      </c>
      <c r="F548" t="s">
        <v>1224</v>
      </c>
      <c r="G548" s="6">
        <v>3</v>
      </c>
      <c r="H548">
        <v>693</v>
      </c>
      <c r="I548">
        <v>2079</v>
      </c>
      <c r="J548" s="2">
        <v>297.48</v>
      </c>
      <c r="K548" s="16">
        <f>Table13[[#This Row],[Profit]]/Table13[[#This Row],[Sales]]</f>
        <v>0.1430880230880231</v>
      </c>
      <c r="L548" s="17" t="str">
        <f t="shared" si="56"/>
        <v>Low</v>
      </c>
      <c r="M548" s="17" t="str">
        <f t="shared" si="57"/>
        <v>Mar</v>
      </c>
      <c r="N548" s="18">
        <f>YEAR(Table13[[#This Row],[Order_Date]])</f>
        <v>2023</v>
      </c>
      <c r="O548" s="18">
        <f>Table13[[#This Row],[Price]]*0.7</f>
        <v>485.09999999999997</v>
      </c>
      <c r="P548" s="18">
        <f t="shared" si="58"/>
        <v>623.70000000000005</v>
      </c>
      <c r="Q548" s="18">
        <f t="shared" si="59"/>
        <v>0.05</v>
      </c>
      <c r="R548" s="18">
        <f t="shared" si="60"/>
        <v>1781.5199999999998</v>
      </c>
      <c r="S548" s="18" t="str">
        <f>IF(Table13[[#This Row],[Quantity]]&lt;=3,"Small",IF(Table13[[#This Row],[Quantity]]&lt;=6,"Medium","Bulk"))</f>
        <v>Small</v>
      </c>
      <c r="T548" s="18" t="str">
        <f t="shared" si="61"/>
        <v>High Demand</v>
      </c>
      <c r="U548" s="18" t="str">
        <f t="shared" si="62"/>
        <v>low Value</v>
      </c>
    </row>
    <row r="549" spans="1:21" x14ac:dyDescent="0.3">
      <c r="A549" t="s">
        <v>557</v>
      </c>
      <c r="B549" s="1">
        <v>45108</v>
      </c>
      <c r="C549" t="s">
        <v>1212</v>
      </c>
      <c r="D549" t="s">
        <v>1218</v>
      </c>
      <c r="E549" t="s">
        <v>1222</v>
      </c>
      <c r="F549" t="s">
        <v>1227</v>
      </c>
      <c r="G549" s="6">
        <v>1</v>
      </c>
      <c r="H549">
        <v>4227</v>
      </c>
      <c r="I549">
        <v>4227</v>
      </c>
      <c r="J549" s="2">
        <v>602.91999999999996</v>
      </c>
      <c r="K549" s="16">
        <f>Table13[[#This Row],[Profit]]/Table13[[#This Row],[Sales]]</f>
        <v>0.14263543884551691</v>
      </c>
      <c r="L549" s="17" t="str">
        <f t="shared" si="56"/>
        <v>Low</v>
      </c>
      <c r="M549" s="17" t="str">
        <f t="shared" si="57"/>
        <v>Jul</v>
      </c>
      <c r="N549" s="18">
        <f>YEAR(Table13[[#This Row],[Order_Date]])</f>
        <v>2023</v>
      </c>
      <c r="O549" s="18">
        <f>Table13[[#This Row],[Price]]*0.7</f>
        <v>2958.8999999999996</v>
      </c>
      <c r="P549" s="18">
        <f t="shared" si="58"/>
        <v>1268.1000000000004</v>
      </c>
      <c r="Q549" s="18">
        <f t="shared" si="59"/>
        <v>0.05</v>
      </c>
      <c r="R549" s="18">
        <f t="shared" si="60"/>
        <v>3624.08</v>
      </c>
      <c r="S549" s="18" t="str">
        <f>IF(Table13[[#This Row],[Quantity]]&lt;=3,"Small",IF(Table13[[#This Row],[Quantity]]&lt;=6,"Medium","Bulk"))</f>
        <v>Small</v>
      </c>
      <c r="T549" s="18" t="str">
        <f t="shared" si="61"/>
        <v>High Demand</v>
      </c>
      <c r="U549" s="18" t="str">
        <f t="shared" si="62"/>
        <v>low Value</v>
      </c>
    </row>
    <row r="550" spans="1:21" x14ac:dyDescent="0.3">
      <c r="A550" t="s">
        <v>558</v>
      </c>
      <c r="B550" s="1">
        <v>45289</v>
      </c>
      <c r="C550" t="s">
        <v>1210</v>
      </c>
      <c r="D550" t="s">
        <v>1216</v>
      </c>
      <c r="E550" t="s">
        <v>1220</v>
      </c>
      <c r="F550" t="s">
        <v>1224</v>
      </c>
      <c r="G550" s="6">
        <v>5</v>
      </c>
      <c r="H550">
        <v>3017</v>
      </c>
      <c r="I550">
        <v>15085</v>
      </c>
      <c r="J550" s="2">
        <v>2823.04</v>
      </c>
      <c r="K550" s="16">
        <f>Table13[[#This Row],[Profit]]/Table13[[#This Row],[Sales]]</f>
        <v>0.18714219423268147</v>
      </c>
      <c r="L550" s="17" t="str">
        <f t="shared" si="56"/>
        <v>Medium</v>
      </c>
      <c r="M550" s="17" t="str">
        <f t="shared" si="57"/>
        <v>Dec</v>
      </c>
      <c r="N550" s="18">
        <f>YEAR(Table13[[#This Row],[Order_Date]])</f>
        <v>2023</v>
      </c>
      <c r="O550" s="18">
        <f>Table13[[#This Row],[Price]]*0.7</f>
        <v>2111.9</v>
      </c>
      <c r="P550" s="18">
        <f t="shared" si="58"/>
        <v>4525.5</v>
      </c>
      <c r="Q550" s="18">
        <f t="shared" si="59"/>
        <v>0.05</v>
      </c>
      <c r="R550" s="18">
        <f t="shared" si="60"/>
        <v>12261.960000000001</v>
      </c>
      <c r="S550" s="18" t="str">
        <f>IF(Table13[[#This Row],[Quantity]]&lt;=3,"Small",IF(Table13[[#This Row],[Quantity]]&lt;=6,"Medium","Bulk"))</f>
        <v>Medium</v>
      </c>
      <c r="T550" s="18" t="str">
        <f t="shared" si="61"/>
        <v>Normal</v>
      </c>
      <c r="U550" s="18" t="str">
        <f t="shared" si="62"/>
        <v>Medium Value</v>
      </c>
    </row>
    <row r="551" spans="1:21" x14ac:dyDescent="0.3">
      <c r="A551" t="s">
        <v>559</v>
      </c>
      <c r="B551" s="1">
        <v>45033</v>
      </c>
      <c r="C551" t="s">
        <v>1212</v>
      </c>
      <c r="D551" t="s">
        <v>1216</v>
      </c>
      <c r="E551" t="s">
        <v>1220</v>
      </c>
      <c r="F551" t="s">
        <v>1225</v>
      </c>
      <c r="G551" s="6">
        <v>8</v>
      </c>
      <c r="H551">
        <v>2667</v>
      </c>
      <c r="I551">
        <v>21336</v>
      </c>
      <c r="J551" s="2">
        <v>3647.48</v>
      </c>
      <c r="K551" s="16">
        <f>Table13[[#This Row],[Profit]]/Table13[[#This Row],[Sales]]</f>
        <v>0.17095425571803524</v>
      </c>
      <c r="L551" s="17" t="str">
        <f t="shared" si="56"/>
        <v>High</v>
      </c>
      <c r="M551" s="17" t="str">
        <f t="shared" si="57"/>
        <v>Apr</v>
      </c>
      <c r="N551" s="18">
        <f>YEAR(Table13[[#This Row],[Order_Date]])</f>
        <v>2023</v>
      </c>
      <c r="O551" s="18">
        <f>Table13[[#This Row],[Price]]*0.7</f>
        <v>1866.8999999999999</v>
      </c>
      <c r="P551" s="18">
        <f t="shared" si="58"/>
        <v>6400.8000000000011</v>
      </c>
      <c r="Q551" s="18">
        <f t="shared" si="59"/>
        <v>0.1</v>
      </c>
      <c r="R551" s="18">
        <f t="shared" si="60"/>
        <v>17688.52</v>
      </c>
      <c r="S551" s="18" t="str">
        <f>IF(Table13[[#This Row],[Quantity]]&lt;=3,"Small",IF(Table13[[#This Row],[Quantity]]&lt;=6,"Medium","Bulk"))</f>
        <v>Bulk</v>
      </c>
      <c r="T551" s="18" t="str">
        <f t="shared" si="61"/>
        <v>High Demand</v>
      </c>
      <c r="U551" s="18" t="str">
        <f t="shared" si="62"/>
        <v>High Value</v>
      </c>
    </row>
    <row r="552" spans="1:21" x14ac:dyDescent="0.3">
      <c r="A552" t="s">
        <v>560</v>
      </c>
      <c r="B552" s="1">
        <v>45111</v>
      </c>
      <c r="C552" t="s">
        <v>1212</v>
      </c>
      <c r="D552" t="s">
        <v>1216</v>
      </c>
      <c r="E552" t="s">
        <v>1220</v>
      </c>
      <c r="F552" t="s">
        <v>1225</v>
      </c>
      <c r="G552" s="6">
        <v>6</v>
      </c>
      <c r="H552">
        <v>2759</v>
      </c>
      <c r="I552">
        <v>16554</v>
      </c>
      <c r="J552" s="2">
        <v>2573.59</v>
      </c>
      <c r="K552" s="16">
        <f>Table13[[#This Row],[Profit]]/Table13[[#This Row],[Sales]]</f>
        <v>0.15546635254319199</v>
      </c>
      <c r="L552" s="17" t="str">
        <f t="shared" si="56"/>
        <v>Medium</v>
      </c>
      <c r="M552" s="17" t="str">
        <f t="shared" si="57"/>
        <v>Jul</v>
      </c>
      <c r="N552" s="18">
        <f>YEAR(Table13[[#This Row],[Order_Date]])</f>
        <v>2023</v>
      </c>
      <c r="O552" s="18">
        <f>Table13[[#This Row],[Price]]*0.7</f>
        <v>1931.3</v>
      </c>
      <c r="P552" s="18">
        <f t="shared" si="58"/>
        <v>4966.2000000000007</v>
      </c>
      <c r="Q552" s="18">
        <f t="shared" si="59"/>
        <v>0.1</v>
      </c>
      <c r="R552" s="18">
        <f t="shared" si="60"/>
        <v>13980.41</v>
      </c>
      <c r="S552" s="18" t="str">
        <f>IF(Table13[[#This Row],[Quantity]]&lt;=3,"Small",IF(Table13[[#This Row],[Quantity]]&lt;=6,"Medium","Bulk"))</f>
        <v>Medium</v>
      </c>
      <c r="T552" s="18" t="str">
        <f t="shared" si="61"/>
        <v>High Demand</v>
      </c>
      <c r="U552" s="18" t="str">
        <f t="shared" si="62"/>
        <v>Medium Value</v>
      </c>
    </row>
    <row r="553" spans="1:21" x14ac:dyDescent="0.3">
      <c r="A553" t="s">
        <v>561</v>
      </c>
      <c r="B553" s="1">
        <v>45014</v>
      </c>
      <c r="C553" t="s">
        <v>1213</v>
      </c>
      <c r="D553" t="s">
        <v>1216</v>
      </c>
      <c r="E553" t="s">
        <v>1220</v>
      </c>
      <c r="F553" t="s">
        <v>1224</v>
      </c>
      <c r="G553" s="6">
        <v>7</v>
      </c>
      <c r="H553">
        <v>3844</v>
      </c>
      <c r="I553">
        <v>26908</v>
      </c>
      <c r="J553" s="2">
        <v>4300.42</v>
      </c>
      <c r="K553" s="16">
        <f>Table13[[#This Row],[Profit]]/Table13[[#This Row],[Sales]]</f>
        <v>0.15981938456964473</v>
      </c>
      <c r="L553" s="17" t="str">
        <f t="shared" si="56"/>
        <v>High</v>
      </c>
      <c r="M553" s="17" t="str">
        <f t="shared" si="57"/>
        <v>Mar</v>
      </c>
      <c r="N553" s="18">
        <f>YEAR(Table13[[#This Row],[Order_Date]])</f>
        <v>2023</v>
      </c>
      <c r="O553" s="18">
        <f>Table13[[#This Row],[Price]]*0.7</f>
        <v>2690.7999999999997</v>
      </c>
      <c r="P553" s="18">
        <f t="shared" si="58"/>
        <v>8072.4000000000015</v>
      </c>
      <c r="Q553" s="18">
        <f t="shared" si="59"/>
        <v>0.1</v>
      </c>
      <c r="R553" s="18">
        <f t="shared" si="60"/>
        <v>22607.579999999998</v>
      </c>
      <c r="S553" s="18" t="str">
        <f>IF(Table13[[#This Row],[Quantity]]&lt;=3,"Small",IF(Table13[[#This Row],[Quantity]]&lt;=6,"Medium","Bulk"))</f>
        <v>Bulk</v>
      </c>
      <c r="T553" s="18" t="str">
        <f t="shared" si="61"/>
        <v>Normal</v>
      </c>
      <c r="U553" s="18" t="str">
        <f t="shared" si="62"/>
        <v>High Value</v>
      </c>
    </row>
    <row r="554" spans="1:21" x14ac:dyDescent="0.3">
      <c r="A554" t="s">
        <v>562</v>
      </c>
      <c r="B554" s="1">
        <v>45168</v>
      </c>
      <c r="C554" t="s">
        <v>1212</v>
      </c>
      <c r="D554" t="s">
        <v>1218</v>
      </c>
      <c r="E554" t="s">
        <v>1219</v>
      </c>
      <c r="F554" t="s">
        <v>1232</v>
      </c>
      <c r="G554" s="6">
        <v>7</v>
      </c>
      <c r="H554">
        <v>3274</v>
      </c>
      <c r="I554">
        <v>22918</v>
      </c>
      <c r="J554" s="2">
        <v>3429.54</v>
      </c>
      <c r="K554" s="16">
        <f>Table13[[#This Row],[Profit]]/Table13[[#This Row],[Sales]]</f>
        <v>0.14964394798848066</v>
      </c>
      <c r="L554" s="17" t="str">
        <f t="shared" si="56"/>
        <v>High</v>
      </c>
      <c r="M554" s="17" t="str">
        <f t="shared" si="57"/>
        <v>Aug</v>
      </c>
      <c r="N554" s="18">
        <f>YEAR(Table13[[#This Row],[Order_Date]])</f>
        <v>2023</v>
      </c>
      <c r="O554" s="18">
        <f>Table13[[#This Row],[Price]]*0.7</f>
        <v>2291.7999999999997</v>
      </c>
      <c r="P554" s="18">
        <f t="shared" si="58"/>
        <v>6875.4000000000015</v>
      </c>
      <c r="Q554" s="18">
        <f t="shared" si="59"/>
        <v>0.1</v>
      </c>
      <c r="R554" s="18">
        <f t="shared" si="60"/>
        <v>19488.46</v>
      </c>
      <c r="S554" s="18" t="str">
        <f>IF(Table13[[#This Row],[Quantity]]&lt;=3,"Small",IF(Table13[[#This Row],[Quantity]]&lt;=6,"Medium","Bulk"))</f>
        <v>Bulk</v>
      </c>
      <c r="T554" s="18" t="str">
        <f t="shared" si="61"/>
        <v>High Demand</v>
      </c>
      <c r="U554" s="18" t="str">
        <f t="shared" si="62"/>
        <v>High Value</v>
      </c>
    </row>
    <row r="555" spans="1:21" x14ac:dyDescent="0.3">
      <c r="A555" t="s">
        <v>563</v>
      </c>
      <c r="B555" s="1">
        <v>45128</v>
      </c>
      <c r="C555" t="s">
        <v>1213</v>
      </c>
      <c r="D555" t="s">
        <v>1215</v>
      </c>
      <c r="E555" t="s">
        <v>1220</v>
      </c>
      <c r="F555" t="s">
        <v>1225</v>
      </c>
      <c r="G555" s="6">
        <v>5</v>
      </c>
      <c r="H555">
        <v>1124</v>
      </c>
      <c r="I555">
        <v>5620</v>
      </c>
      <c r="J555" s="2">
        <v>516.95000000000005</v>
      </c>
      <c r="K555" s="16">
        <f>Table13[[#This Row],[Profit]]/Table13[[#This Row],[Sales]]</f>
        <v>9.1983985765124565E-2</v>
      </c>
      <c r="L555" s="17" t="str">
        <f t="shared" si="56"/>
        <v>Low</v>
      </c>
      <c r="M555" s="17" t="str">
        <f t="shared" si="57"/>
        <v>Jul</v>
      </c>
      <c r="N555" s="18">
        <f>YEAR(Table13[[#This Row],[Order_Date]])</f>
        <v>2023</v>
      </c>
      <c r="O555" s="18">
        <f>Table13[[#This Row],[Price]]*0.7</f>
        <v>786.8</v>
      </c>
      <c r="P555" s="18">
        <f t="shared" si="58"/>
        <v>1686</v>
      </c>
      <c r="Q555" s="18">
        <f t="shared" si="59"/>
        <v>0.05</v>
      </c>
      <c r="R555" s="18">
        <f t="shared" si="60"/>
        <v>5103.05</v>
      </c>
      <c r="S555" s="18" t="str">
        <f>IF(Table13[[#This Row],[Quantity]]&lt;=3,"Small",IF(Table13[[#This Row],[Quantity]]&lt;=6,"Medium","Bulk"))</f>
        <v>Medium</v>
      </c>
      <c r="T555" s="18" t="str">
        <f t="shared" si="61"/>
        <v>Normal</v>
      </c>
      <c r="U555" s="18" t="str">
        <f t="shared" si="62"/>
        <v>low Value</v>
      </c>
    </row>
    <row r="556" spans="1:21" x14ac:dyDescent="0.3">
      <c r="A556" t="s">
        <v>564</v>
      </c>
      <c r="B556" s="1">
        <v>45009</v>
      </c>
      <c r="C556" t="s">
        <v>1210</v>
      </c>
      <c r="D556" t="s">
        <v>1216</v>
      </c>
      <c r="E556" t="s">
        <v>1220</v>
      </c>
      <c r="F556" t="s">
        <v>1237</v>
      </c>
      <c r="G556" s="6">
        <v>3</v>
      </c>
      <c r="H556">
        <v>2868</v>
      </c>
      <c r="I556">
        <v>8604</v>
      </c>
      <c r="J556" s="2">
        <v>1897.21</v>
      </c>
      <c r="K556" s="16">
        <f>Table13[[#This Row],[Profit]]/Table13[[#This Row],[Sales]]</f>
        <v>0.22050325430032544</v>
      </c>
      <c r="L556" s="17" t="str">
        <f t="shared" si="56"/>
        <v>Low</v>
      </c>
      <c r="M556" s="17" t="str">
        <f t="shared" si="57"/>
        <v>Mar</v>
      </c>
      <c r="N556" s="18">
        <f>YEAR(Table13[[#This Row],[Order_Date]])</f>
        <v>2023</v>
      </c>
      <c r="O556" s="18">
        <f>Table13[[#This Row],[Price]]*0.7</f>
        <v>2007.6</v>
      </c>
      <c r="P556" s="18">
        <f t="shared" si="58"/>
        <v>2581.2000000000007</v>
      </c>
      <c r="Q556" s="18">
        <f t="shared" si="59"/>
        <v>0.05</v>
      </c>
      <c r="R556" s="18">
        <f t="shared" si="60"/>
        <v>6706.79</v>
      </c>
      <c r="S556" s="18" t="str">
        <f>IF(Table13[[#This Row],[Quantity]]&lt;=3,"Small",IF(Table13[[#This Row],[Quantity]]&lt;=6,"Medium","Bulk"))</f>
        <v>Small</v>
      </c>
      <c r="T556" s="18" t="str">
        <f t="shared" si="61"/>
        <v>Normal</v>
      </c>
      <c r="U556" s="18" t="str">
        <f t="shared" si="62"/>
        <v>low Value</v>
      </c>
    </row>
    <row r="557" spans="1:21" x14ac:dyDescent="0.3">
      <c r="A557" t="s">
        <v>565</v>
      </c>
      <c r="B557" s="1">
        <v>45238</v>
      </c>
      <c r="C557" t="s">
        <v>1211</v>
      </c>
      <c r="D557" t="s">
        <v>1218</v>
      </c>
      <c r="E557" t="s">
        <v>1222</v>
      </c>
      <c r="F557" t="s">
        <v>1239</v>
      </c>
      <c r="G557" s="6">
        <v>4</v>
      </c>
      <c r="H557">
        <v>2387</v>
      </c>
      <c r="I557">
        <v>9548</v>
      </c>
      <c r="J557" s="2">
        <v>1169.56</v>
      </c>
      <c r="K557" s="16">
        <f>Table13[[#This Row],[Profit]]/Table13[[#This Row],[Sales]]</f>
        <v>0.12249266862170087</v>
      </c>
      <c r="L557" s="17" t="str">
        <f t="shared" si="56"/>
        <v>Low</v>
      </c>
      <c r="M557" s="17" t="str">
        <f t="shared" si="57"/>
        <v>Nov</v>
      </c>
      <c r="N557" s="18">
        <f>YEAR(Table13[[#This Row],[Order_Date]])</f>
        <v>2023</v>
      </c>
      <c r="O557" s="18">
        <f>Table13[[#This Row],[Price]]*0.7</f>
        <v>1670.8999999999999</v>
      </c>
      <c r="P557" s="18">
        <f t="shared" si="58"/>
        <v>2864.4000000000005</v>
      </c>
      <c r="Q557" s="18">
        <f t="shared" si="59"/>
        <v>0.05</v>
      </c>
      <c r="R557" s="18">
        <f t="shared" si="60"/>
        <v>8378.44</v>
      </c>
      <c r="S557" s="18" t="str">
        <f>IF(Table13[[#This Row],[Quantity]]&lt;=3,"Small",IF(Table13[[#This Row],[Quantity]]&lt;=6,"Medium","Bulk"))</f>
        <v>Medium</v>
      </c>
      <c r="T557" s="18" t="str">
        <f t="shared" si="61"/>
        <v>Normal</v>
      </c>
      <c r="U557" s="18" t="str">
        <f t="shared" si="62"/>
        <v>low Value</v>
      </c>
    </row>
    <row r="558" spans="1:21" x14ac:dyDescent="0.3">
      <c r="A558" t="s">
        <v>566</v>
      </c>
      <c r="B558" s="1">
        <v>45237</v>
      </c>
      <c r="C558" t="s">
        <v>1211</v>
      </c>
      <c r="D558" t="s">
        <v>1215</v>
      </c>
      <c r="E558" t="s">
        <v>1222</v>
      </c>
      <c r="F558" t="s">
        <v>1234</v>
      </c>
      <c r="G558" s="6">
        <v>4</v>
      </c>
      <c r="H558">
        <v>4127</v>
      </c>
      <c r="I558">
        <v>16508</v>
      </c>
      <c r="J558" s="2">
        <v>3535.68</v>
      </c>
      <c r="K558" s="16">
        <f>Table13[[#This Row],[Profit]]/Table13[[#This Row],[Sales]]</f>
        <v>0.21417979161618608</v>
      </c>
      <c r="L558" s="17" t="str">
        <f t="shared" si="56"/>
        <v>Medium</v>
      </c>
      <c r="M558" s="17" t="str">
        <f t="shared" si="57"/>
        <v>Nov</v>
      </c>
      <c r="N558" s="18">
        <f>YEAR(Table13[[#This Row],[Order_Date]])</f>
        <v>2023</v>
      </c>
      <c r="O558" s="18">
        <f>Table13[[#This Row],[Price]]*0.7</f>
        <v>2888.8999999999996</v>
      </c>
      <c r="P558" s="18">
        <f t="shared" si="58"/>
        <v>4952.4000000000015</v>
      </c>
      <c r="Q558" s="18">
        <f t="shared" si="59"/>
        <v>0.05</v>
      </c>
      <c r="R558" s="18">
        <f t="shared" si="60"/>
        <v>12972.32</v>
      </c>
      <c r="S558" s="18" t="str">
        <f>IF(Table13[[#This Row],[Quantity]]&lt;=3,"Small",IF(Table13[[#This Row],[Quantity]]&lt;=6,"Medium","Bulk"))</f>
        <v>Medium</v>
      </c>
      <c r="T558" s="18" t="str">
        <f t="shared" si="61"/>
        <v>Normal</v>
      </c>
      <c r="U558" s="18" t="str">
        <f t="shared" si="62"/>
        <v>Medium Value</v>
      </c>
    </row>
    <row r="559" spans="1:21" x14ac:dyDescent="0.3">
      <c r="A559" t="s">
        <v>567</v>
      </c>
      <c r="B559" s="1">
        <v>45023</v>
      </c>
      <c r="C559" t="s">
        <v>1212</v>
      </c>
      <c r="D559" t="s">
        <v>1215</v>
      </c>
      <c r="E559" t="s">
        <v>1221</v>
      </c>
      <c r="F559" t="s">
        <v>1229</v>
      </c>
      <c r="G559" s="6">
        <v>1</v>
      </c>
      <c r="H559">
        <v>4609</v>
      </c>
      <c r="I559">
        <v>4609</v>
      </c>
      <c r="J559" s="2">
        <v>1106.1199999999999</v>
      </c>
      <c r="K559" s="16">
        <f>Table13[[#This Row],[Profit]]/Table13[[#This Row],[Sales]]</f>
        <v>0.23999132132783682</v>
      </c>
      <c r="L559" s="17" t="str">
        <f t="shared" si="56"/>
        <v>Low</v>
      </c>
      <c r="M559" s="17" t="str">
        <f t="shared" si="57"/>
        <v>Apr</v>
      </c>
      <c r="N559" s="18">
        <f>YEAR(Table13[[#This Row],[Order_Date]])</f>
        <v>2023</v>
      </c>
      <c r="O559" s="18">
        <f>Table13[[#This Row],[Price]]*0.7</f>
        <v>3226.2999999999997</v>
      </c>
      <c r="P559" s="18">
        <f t="shared" si="58"/>
        <v>1382.7000000000003</v>
      </c>
      <c r="Q559" s="18">
        <f t="shared" si="59"/>
        <v>0.05</v>
      </c>
      <c r="R559" s="18">
        <f t="shared" si="60"/>
        <v>3502.88</v>
      </c>
      <c r="S559" s="18" t="str">
        <f>IF(Table13[[#This Row],[Quantity]]&lt;=3,"Small",IF(Table13[[#This Row],[Quantity]]&lt;=6,"Medium","Bulk"))</f>
        <v>Small</v>
      </c>
      <c r="T559" s="18" t="str">
        <f t="shared" si="61"/>
        <v>High Demand</v>
      </c>
      <c r="U559" s="18" t="str">
        <f t="shared" si="62"/>
        <v>low Value</v>
      </c>
    </row>
    <row r="560" spans="1:21" x14ac:dyDescent="0.3">
      <c r="A560" t="s">
        <v>568</v>
      </c>
      <c r="B560" s="1">
        <v>45076</v>
      </c>
      <c r="C560" t="s">
        <v>1212</v>
      </c>
      <c r="D560" t="s">
        <v>1215</v>
      </c>
      <c r="E560" t="s">
        <v>1222</v>
      </c>
      <c r="F560" t="s">
        <v>1234</v>
      </c>
      <c r="G560" s="6">
        <v>6</v>
      </c>
      <c r="H560">
        <v>2356</v>
      </c>
      <c r="I560">
        <v>14136</v>
      </c>
      <c r="J560" s="2">
        <v>2339.9699999999998</v>
      </c>
      <c r="K560" s="16">
        <f>Table13[[#This Row],[Profit]]/Table13[[#This Row],[Sales]]</f>
        <v>0.16553268251273343</v>
      </c>
      <c r="L560" s="17" t="str">
        <f t="shared" si="56"/>
        <v>Medium</v>
      </c>
      <c r="M560" s="17" t="str">
        <f t="shared" si="57"/>
        <v>May</v>
      </c>
      <c r="N560" s="18">
        <f>YEAR(Table13[[#This Row],[Order_Date]])</f>
        <v>2023</v>
      </c>
      <c r="O560" s="18">
        <f>Table13[[#This Row],[Price]]*0.7</f>
        <v>1649.1999999999998</v>
      </c>
      <c r="P560" s="18">
        <f t="shared" si="58"/>
        <v>4240.8000000000011</v>
      </c>
      <c r="Q560" s="18">
        <f t="shared" si="59"/>
        <v>0.1</v>
      </c>
      <c r="R560" s="18">
        <f t="shared" si="60"/>
        <v>11796.03</v>
      </c>
      <c r="S560" s="18" t="str">
        <f>IF(Table13[[#This Row],[Quantity]]&lt;=3,"Small",IF(Table13[[#This Row],[Quantity]]&lt;=6,"Medium","Bulk"))</f>
        <v>Medium</v>
      </c>
      <c r="T560" s="18" t="str">
        <f t="shared" si="61"/>
        <v>High Demand</v>
      </c>
      <c r="U560" s="18" t="str">
        <f t="shared" si="62"/>
        <v>Medium Value</v>
      </c>
    </row>
    <row r="561" spans="1:21" x14ac:dyDescent="0.3">
      <c r="A561" t="s">
        <v>569</v>
      </c>
      <c r="B561" s="1">
        <v>45211</v>
      </c>
      <c r="C561" t="s">
        <v>1210</v>
      </c>
      <c r="D561" t="s">
        <v>1215</v>
      </c>
      <c r="E561" t="s">
        <v>1220</v>
      </c>
      <c r="F561" t="s">
        <v>1237</v>
      </c>
      <c r="G561" s="6">
        <v>1</v>
      </c>
      <c r="H561">
        <v>3142</v>
      </c>
      <c r="I561">
        <v>3142</v>
      </c>
      <c r="J561" s="2">
        <v>577.48</v>
      </c>
      <c r="K561" s="16">
        <f>Table13[[#This Row],[Profit]]/Table13[[#This Row],[Sales]]</f>
        <v>0.18379376193507321</v>
      </c>
      <c r="L561" s="17" t="str">
        <f t="shared" si="56"/>
        <v>Low</v>
      </c>
      <c r="M561" s="17" t="str">
        <f t="shared" si="57"/>
        <v>Oct</v>
      </c>
      <c r="N561" s="18">
        <f>YEAR(Table13[[#This Row],[Order_Date]])</f>
        <v>2023</v>
      </c>
      <c r="O561" s="18">
        <f>Table13[[#This Row],[Price]]*0.7</f>
        <v>2199.3999999999996</v>
      </c>
      <c r="P561" s="18">
        <f t="shared" si="58"/>
        <v>942.60000000000036</v>
      </c>
      <c r="Q561" s="18">
        <f t="shared" si="59"/>
        <v>0.05</v>
      </c>
      <c r="R561" s="18">
        <f t="shared" si="60"/>
        <v>2564.52</v>
      </c>
      <c r="S561" s="18" t="str">
        <f>IF(Table13[[#This Row],[Quantity]]&lt;=3,"Small",IF(Table13[[#This Row],[Quantity]]&lt;=6,"Medium","Bulk"))</f>
        <v>Small</v>
      </c>
      <c r="T561" s="18" t="str">
        <f t="shared" si="61"/>
        <v>Normal</v>
      </c>
      <c r="U561" s="18" t="str">
        <f t="shared" si="62"/>
        <v>low Value</v>
      </c>
    </row>
    <row r="562" spans="1:21" x14ac:dyDescent="0.3">
      <c r="A562" t="s">
        <v>570</v>
      </c>
      <c r="B562" s="1">
        <v>44971</v>
      </c>
      <c r="C562" t="s">
        <v>1212</v>
      </c>
      <c r="D562" t="s">
        <v>1215</v>
      </c>
      <c r="E562" t="s">
        <v>1219</v>
      </c>
      <c r="F562" t="s">
        <v>1232</v>
      </c>
      <c r="G562" s="6">
        <v>4</v>
      </c>
      <c r="H562">
        <v>4790</v>
      </c>
      <c r="I562">
        <v>19160</v>
      </c>
      <c r="J562" s="2">
        <v>3126.8</v>
      </c>
      <c r="K562" s="16">
        <f>Table13[[#This Row],[Profit]]/Table13[[#This Row],[Sales]]</f>
        <v>0.16319415448851776</v>
      </c>
      <c r="L562" s="17" t="str">
        <f t="shared" si="56"/>
        <v>Medium</v>
      </c>
      <c r="M562" s="17" t="str">
        <f t="shared" si="57"/>
        <v>Feb</v>
      </c>
      <c r="N562" s="18">
        <f>YEAR(Table13[[#This Row],[Order_Date]])</f>
        <v>2023</v>
      </c>
      <c r="O562" s="18">
        <f>Table13[[#This Row],[Price]]*0.7</f>
        <v>3353</v>
      </c>
      <c r="P562" s="18">
        <f t="shared" si="58"/>
        <v>5748</v>
      </c>
      <c r="Q562" s="18">
        <f t="shared" si="59"/>
        <v>0.05</v>
      </c>
      <c r="R562" s="18">
        <f t="shared" si="60"/>
        <v>16033.199999999999</v>
      </c>
      <c r="S562" s="18" t="str">
        <f>IF(Table13[[#This Row],[Quantity]]&lt;=3,"Small",IF(Table13[[#This Row],[Quantity]]&lt;=6,"Medium","Bulk"))</f>
        <v>Medium</v>
      </c>
      <c r="T562" s="18" t="str">
        <f t="shared" si="61"/>
        <v>High Demand</v>
      </c>
      <c r="U562" s="18" t="str">
        <f t="shared" si="62"/>
        <v>Medium Value</v>
      </c>
    </row>
    <row r="563" spans="1:21" x14ac:dyDescent="0.3">
      <c r="A563" t="s">
        <v>571</v>
      </c>
      <c r="B563" s="1">
        <v>45172</v>
      </c>
      <c r="C563" t="s">
        <v>1212</v>
      </c>
      <c r="D563" t="s">
        <v>1218</v>
      </c>
      <c r="E563" t="s">
        <v>1220</v>
      </c>
      <c r="F563" t="s">
        <v>1228</v>
      </c>
      <c r="G563" s="6">
        <v>6</v>
      </c>
      <c r="H563">
        <v>3289</v>
      </c>
      <c r="I563">
        <v>19734</v>
      </c>
      <c r="J563" s="2">
        <v>2574.37</v>
      </c>
      <c r="K563" s="16">
        <f>Table13[[#This Row],[Profit]]/Table13[[#This Row],[Sales]]</f>
        <v>0.1304535319752711</v>
      </c>
      <c r="L563" s="17" t="str">
        <f t="shared" si="56"/>
        <v>Medium</v>
      </c>
      <c r="M563" s="17" t="str">
        <f t="shared" si="57"/>
        <v>Sep</v>
      </c>
      <c r="N563" s="18">
        <f>YEAR(Table13[[#This Row],[Order_Date]])</f>
        <v>2023</v>
      </c>
      <c r="O563" s="18">
        <f>Table13[[#This Row],[Price]]*0.7</f>
        <v>2302.2999999999997</v>
      </c>
      <c r="P563" s="18">
        <f t="shared" si="58"/>
        <v>5920.2000000000007</v>
      </c>
      <c r="Q563" s="18">
        <f t="shared" si="59"/>
        <v>0.1</v>
      </c>
      <c r="R563" s="18">
        <f t="shared" si="60"/>
        <v>17159.63</v>
      </c>
      <c r="S563" s="18" t="str">
        <f>IF(Table13[[#This Row],[Quantity]]&lt;=3,"Small",IF(Table13[[#This Row],[Quantity]]&lt;=6,"Medium","Bulk"))</f>
        <v>Medium</v>
      </c>
      <c r="T563" s="18" t="str">
        <f t="shared" si="61"/>
        <v>High Demand</v>
      </c>
      <c r="U563" s="18" t="str">
        <f t="shared" si="62"/>
        <v>Medium Value</v>
      </c>
    </row>
    <row r="564" spans="1:21" x14ac:dyDescent="0.3">
      <c r="A564" t="s">
        <v>572</v>
      </c>
      <c r="B564" s="1">
        <v>45041</v>
      </c>
      <c r="C564" t="s">
        <v>1213</v>
      </c>
      <c r="D564" t="s">
        <v>1217</v>
      </c>
      <c r="E564" t="s">
        <v>1220</v>
      </c>
      <c r="F564" t="s">
        <v>1237</v>
      </c>
      <c r="G564" s="6">
        <v>3</v>
      </c>
      <c r="H564">
        <v>4929</v>
      </c>
      <c r="I564">
        <v>14787</v>
      </c>
      <c r="J564" s="2">
        <v>2073.52</v>
      </c>
      <c r="K564" s="16">
        <f>Table13[[#This Row],[Profit]]/Table13[[#This Row],[Sales]]</f>
        <v>0.14022587407858253</v>
      </c>
      <c r="L564" s="17" t="str">
        <f t="shared" si="56"/>
        <v>Medium</v>
      </c>
      <c r="M564" s="17" t="str">
        <f t="shared" si="57"/>
        <v>Apr</v>
      </c>
      <c r="N564" s="18">
        <f>YEAR(Table13[[#This Row],[Order_Date]])</f>
        <v>2023</v>
      </c>
      <c r="O564" s="18">
        <f>Table13[[#This Row],[Price]]*0.7</f>
        <v>3450.2999999999997</v>
      </c>
      <c r="P564" s="18">
        <f t="shared" si="58"/>
        <v>4436.1000000000004</v>
      </c>
      <c r="Q564" s="18">
        <f t="shared" si="59"/>
        <v>0.05</v>
      </c>
      <c r="R564" s="18">
        <f t="shared" si="60"/>
        <v>12713.48</v>
      </c>
      <c r="S564" s="18" t="str">
        <f>IF(Table13[[#This Row],[Quantity]]&lt;=3,"Small",IF(Table13[[#This Row],[Quantity]]&lt;=6,"Medium","Bulk"))</f>
        <v>Small</v>
      </c>
      <c r="T564" s="18" t="str">
        <f t="shared" si="61"/>
        <v>Normal</v>
      </c>
      <c r="U564" s="18" t="str">
        <f t="shared" si="62"/>
        <v>Medium Value</v>
      </c>
    </row>
    <row r="565" spans="1:21" x14ac:dyDescent="0.3">
      <c r="A565" t="s">
        <v>573</v>
      </c>
      <c r="B565" s="1">
        <v>45053</v>
      </c>
      <c r="C565" t="s">
        <v>1210</v>
      </c>
      <c r="D565" t="s">
        <v>1216</v>
      </c>
      <c r="E565" t="s">
        <v>1222</v>
      </c>
      <c r="F565" t="s">
        <v>1230</v>
      </c>
      <c r="G565" s="6">
        <v>7</v>
      </c>
      <c r="H565">
        <v>2494</v>
      </c>
      <c r="I565">
        <v>17458</v>
      </c>
      <c r="J565" s="2">
        <v>2119.9899999999998</v>
      </c>
      <c r="K565" s="16">
        <f>Table13[[#This Row],[Profit]]/Table13[[#This Row],[Sales]]</f>
        <v>0.12143372665826555</v>
      </c>
      <c r="L565" s="17" t="str">
        <f t="shared" si="56"/>
        <v>Medium</v>
      </c>
      <c r="M565" s="17" t="str">
        <f t="shared" si="57"/>
        <v>May</v>
      </c>
      <c r="N565" s="18">
        <f>YEAR(Table13[[#This Row],[Order_Date]])</f>
        <v>2023</v>
      </c>
      <c r="O565" s="18">
        <f>Table13[[#This Row],[Price]]*0.7</f>
        <v>1745.8</v>
      </c>
      <c r="P565" s="18">
        <f t="shared" si="58"/>
        <v>5237.3999999999996</v>
      </c>
      <c r="Q565" s="18">
        <f t="shared" si="59"/>
        <v>0.1</v>
      </c>
      <c r="R565" s="18">
        <f t="shared" si="60"/>
        <v>15338.01</v>
      </c>
      <c r="S565" s="18" t="str">
        <f>IF(Table13[[#This Row],[Quantity]]&lt;=3,"Small",IF(Table13[[#This Row],[Quantity]]&lt;=6,"Medium","Bulk"))</f>
        <v>Bulk</v>
      </c>
      <c r="T565" s="18" t="str">
        <f t="shared" si="61"/>
        <v>Normal</v>
      </c>
      <c r="U565" s="18" t="str">
        <f t="shared" si="62"/>
        <v>Medium Value</v>
      </c>
    </row>
    <row r="566" spans="1:21" x14ac:dyDescent="0.3">
      <c r="A566" t="s">
        <v>574</v>
      </c>
      <c r="B566" s="1">
        <v>44945</v>
      </c>
      <c r="C566" t="s">
        <v>1210</v>
      </c>
      <c r="D566" t="s">
        <v>1217</v>
      </c>
      <c r="E566" t="s">
        <v>1221</v>
      </c>
      <c r="F566" t="s">
        <v>1226</v>
      </c>
      <c r="G566" s="6">
        <v>9</v>
      </c>
      <c r="H566">
        <v>3560</v>
      </c>
      <c r="I566">
        <v>32040</v>
      </c>
      <c r="J566" s="2">
        <v>4899.57</v>
      </c>
      <c r="K566" s="16">
        <f>Table13[[#This Row],[Profit]]/Table13[[#This Row],[Sales]]</f>
        <v>0.15292041198501871</v>
      </c>
      <c r="L566" s="17" t="str">
        <f t="shared" si="56"/>
        <v>High</v>
      </c>
      <c r="M566" s="17" t="str">
        <f t="shared" si="57"/>
        <v>Jan</v>
      </c>
      <c r="N566" s="18">
        <f>YEAR(Table13[[#This Row],[Order_Date]])</f>
        <v>2023</v>
      </c>
      <c r="O566" s="18">
        <f>Table13[[#This Row],[Price]]*0.7</f>
        <v>2492</v>
      </c>
      <c r="P566" s="18">
        <f t="shared" si="58"/>
        <v>9612</v>
      </c>
      <c r="Q566" s="18">
        <f t="shared" si="59"/>
        <v>0.1</v>
      </c>
      <c r="R566" s="18">
        <f t="shared" si="60"/>
        <v>27140.43</v>
      </c>
      <c r="S566" s="18" t="str">
        <f>IF(Table13[[#This Row],[Quantity]]&lt;=3,"Small",IF(Table13[[#This Row],[Quantity]]&lt;=6,"Medium","Bulk"))</f>
        <v>Bulk</v>
      </c>
      <c r="T566" s="18" t="str">
        <f t="shared" si="61"/>
        <v>Normal</v>
      </c>
      <c r="U566" s="18" t="str">
        <f t="shared" si="62"/>
        <v>High Value</v>
      </c>
    </row>
    <row r="567" spans="1:21" x14ac:dyDescent="0.3">
      <c r="A567" t="s">
        <v>575</v>
      </c>
      <c r="B567" s="1">
        <v>45067</v>
      </c>
      <c r="C567" t="s">
        <v>1211</v>
      </c>
      <c r="D567" t="s">
        <v>1218</v>
      </c>
      <c r="E567" t="s">
        <v>1221</v>
      </c>
      <c r="F567" t="s">
        <v>1235</v>
      </c>
      <c r="G567" s="6">
        <v>1</v>
      </c>
      <c r="H567">
        <v>2148</v>
      </c>
      <c r="I567">
        <v>2148</v>
      </c>
      <c r="J567" s="2">
        <v>354.46</v>
      </c>
      <c r="K567" s="16">
        <f>Table13[[#This Row],[Profit]]/Table13[[#This Row],[Sales]]</f>
        <v>0.16501862197392922</v>
      </c>
      <c r="L567" s="17" t="str">
        <f t="shared" si="56"/>
        <v>Low</v>
      </c>
      <c r="M567" s="17" t="str">
        <f t="shared" si="57"/>
        <v>May</v>
      </c>
      <c r="N567" s="18">
        <f>YEAR(Table13[[#This Row],[Order_Date]])</f>
        <v>2023</v>
      </c>
      <c r="O567" s="18">
        <f>Table13[[#This Row],[Price]]*0.7</f>
        <v>1503.6</v>
      </c>
      <c r="P567" s="18">
        <f t="shared" si="58"/>
        <v>644.40000000000009</v>
      </c>
      <c r="Q567" s="18">
        <f t="shared" si="59"/>
        <v>0.05</v>
      </c>
      <c r="R567" s="18">
        <f t="shared" si="60"/>
        <v>1793.54</v>
      </c>
      <c r="S567" s="18" t="str">
        <f>IF(Table13[[#This Row],[Quantity]]&lt;=3,"Small",IF(Table13[[#This Row],[Quantity]]&lt;=6,"Medium","Bulk"))</f>
        <v>Small</v>
      </c>
      <c r="T567" s="18" t="str">
        <f t="shared" si="61"/>
        <v>Normal</v>
      </c>
      <c r="U567" s="18" t="str">
        <f t="shared" si="62"/>
        <v>low Value</v>
      </c>
    </row>
    <row r="568" spans="1:21" x14ac:dyDescent="0.3">
      <c r="A568" t="s">
        <v>576</v>
      </c>
      <c r="B568" s="1">
        <v>45221</v>
      </c>
      <c r="C568" t="s">
        <v>1213</v>
      </c>
      <c r="D568" t="s">
        <v>1217</v>
      </c>
      <c r="E568" t="s">
        <v>1220</v>
      </c>
      <c r="F568" t="s">
        <v>1228</v>
      </c>
      <c r="G568" s="6">
        <v>1</v>
      </c>
      <c r="H568">
        <v>4540</v>
      </c>
      <c r="I568">
        <v>4540</v>
      </c>
      <c r="J568" s="2">
        <v>453.66</v>
      </c>
      <c r="K568" s="16">
        <f>Table13[[#This Row],[Profit]]/Table13[[#This Row],[Sales]]</f>
        <v>9.9925110132158601E-2</v>
      </c>
      <c r="L568" s="17" t="str">
        <f t="shared" si="56"/>
        <v>Low</v>
      </c>
      <c r="M568" s="17" t="str">
        <f t="shared" si="57"/>
        <v>Oct</v>
      </c>
      <c r="N568" s="18">
        <f>YEAR(Table13[[#This Row],[Order_Date]])</f>
        <v>2023</v>
      </c>
      <c r="O568" s="18">
        <f>Table13[[#This Row],[Price]]*0.7</f>
        <v>3178</v>
      </c>
      <c r="P568" s="18">
        <f t="shared" si="58"/>
        <v>1362</v>
      </c>
      <c r="Q568" s="18">
        <f t="shared" si="59"/>
        <v>0.05</v>
      </c>
      <c r="R568" s="18">
        <f t="shared" si="60"/>
        <v>4086.34</v>
      </c>
      <c r="S568" s="18" t="str">
        <f>IF(Table13[[#This Row],[Quantity]]&lt;=3,"Small",IF(Table13[[#This Row],[Quantity]]&lt;=6,"Medium","Bulk"))</f>
        <v>Small</v>
      </c>
      <c r="T568" s="18" t="str">
        <f t="shared" si="61"/>
        <v>Normal</v>
      </c>
      <c r="U568" s="18" t="str">
        <f t="shared" si="62"/>
        <v>low Value</v>
      </c>
    </row>
    <row r="569" spans="1:21" x14ac:dyDescent="0.3">
      <c r="A569" t="s">
        <v>577</v>
      </c>
      <c r="B569" s="1">
        <v>45240</v>
      </c>
      <c r="C569" t="s">
        <v>1212</v>
      </c>
      <c r="D569" t="s">
        <v>1215</v>
      </c>
      <c r="E569" t="s">
        <v>1222</v>
      </c>
      <c r="F569" t="s">
        <v>1227</v>
      </c>
      <c r="G569" s="6">
        <v>5</v>
      </c>
      <c r="H569">
        <v>4600</v>
      </c>
      <c r="I569">
        <v>23000</v>
      </c>
      <c r="J569" s="2">
        <v>4494.49</v>
      </c>
      <c r="K569" s="16">
        <f>Table13[[#This Row],[Profit]]/Table13[[#This Row],[Sales]]</f>
        <v>0.19541260869565216</v>
      </c>
      <c r="L569" s="17" t="str">
        <f t="shared" si="56"/>
        <v>High</v>
      </c>
      <c r="M569" s="17" t="str">
        <f t="shared" si="57"/>
        <v>Nov</v>
      </c>
      <c r="N569" s="18">
        <f>YEAR(Table13[[#This Row],[Order_Date]])</f>
        <v>2023</v>
      </c>
      <c r="O569" s="18">
        <f>Table13[[#This Row],[Price]]*0.7</f>
        <v>3220</v>
      </c>
      <c r="P569" s="18">
        <f t="shared" si="58"/>
        <v>6900</v>
      </c>
      <c r="Q569" s="18">
        <f t="shared" si="59"/>
        <v>0.05</v>
      </c>
      <c r="R569" s="18">
        <f t="shared" si="60"/>
        <v>18505.510000000002</v>
      </c>
      <c r="S569" s="18" t="str">
        <f>IF(Table13[[#This Row],[Quantity]]&lt;=3,"Small",IF(Table13[[#This Row],[Quantity]]&lt;=6,"Medium","Bulk"))</f>
        <v>Medium</v>
      </c>
      <c r="T569" s="18" t="str">
        <f t="shared" si="61"/>
        <v>High Demand</v>
      </c>
      <c r="U569" s="18" t="str">
        <f t="shared" si="62"/>
        <v>High Value</v>
      </c>
    </row>
    <row r="570" spans="1:21" x14ac:dyDescent="0.3">
      <c r="A570" t="s">
        <v>578</v>
      </c>
      <c r="B570" s="1">
        <v>45133</v>
      </c>
      <c r="C570" t="s">
        <v>1212</v>
      </c>
      <c r="D570" t="s">
        <v>1215</v>
      </c>
      <c r="E570" t="s">
        <v>1222</v>
      </c>
      <c r="F570" t="s">
        <v>1234</v>
      </c>
      <c r="G570" s="6">
        <v>1</v>
      </c>
      <c r="H570">
        <v>450</v>
      </c>
      <c r="I570">
        <v>450</v>
      </c>
      <c r="J570" s="2">
        <v>72.28</v>
      </c>
      <c r="K570" s="16">
        <f>Table13[[#This Row],[Profit]]/Table13[[#This Row],[Sales]]</f>
        <v>0.16062222222222222</v>
      </c>
      <c r="L570" s="17" t="str">
        <f t="shared" si="56"/>
        <v>Low</v>
      </c>
      <c r="M570" s="17" t="str">
        <f t="shared" si="57"/>
        <v>Jul</v>
      </c>
      <c r="N570" s="18">
        <f>YEAR(Table13[[#This Row],[Order_Date]])</f>
        <v>2023</v>
      </c>
      <c r="O570" s="18">
        <f>Table13[[#This Row],[Price]]*0.7</f>
        <v>315</v>
      </c>
      <c r="P570" s="18">
        <f t="shared" si="58"/>
        <v>135</v>
      </c>
      <c r="Q570" s="18">
        <f t="shared" si="59"/>
        <v>0.05</v>
      </c>
      <c r="R570" s="18">
        <f t="shared" si="60"/>
        <v>377.72</v>
      </c>
      <c r="S570" s="18" t="str">
        <f>IF(Table13[[#This Row],[Quantity]]&lt;=3,"Small",IF(Table13[[#This Row],[Quantity]]&lt;=6,"Medium","Bulk"))</f>
        <v>Small</v>
      </c>
      <c r="T570" s="18" t="str">
        <f t="shared" si="61"/>
        <v>High Demand</v>
      </c>
      <c r="U570" s="18" t="str">
        <f t="shared" si="62"/>
        <v>low Value</v>
      </c>
    </row>
    <row r="571" spans="1:21" x14ac:dyDescent="0.3">
      <c r="A571" t="s">
        <v>579</v>
      </c>
      <c r="B571" s="1">
        <v>45046</v>
      </c>
      <c r="C571" t="s">
        <v>1213</v>
      </c>
      <c r="D571" t="s">
        <v>1218</v>
      </c>
      <c r="E571" t="s">
        <v>1219</v>
      </c>
      <c r="F571" t="s">
        <v>1223</v>
      </c>
      <c r="G571" s="6">
        <v>9</v>
      </c>
      <c r="H571">
        <v>4093</v>
      </c>
      <c r="I571">
        <v>36837</v>
      </c>
      <c r="J571" s="2">
        <v>7477.37</v>
      </c>
      <c r="K571" s="16">
        <f>Table13[[#This Row],[Profit]]/Table13[[#This Row],[Sales]]</f>
        <v>0.20298531367918127</v>
      </c>
      <c r="L571" s="17" t="str">
        <f t="shared" si="56"/>
        <v>High</v>
      </c>
      <c r="M571" s="17" t="str">
        <f t="shared" si="57"/>
        <v>Apr</v>
      </c>
      <c r="N571" s="18">
        <f>YEAR(Table13[[#This Row],[Order_Date]])</f>
        <v>2023</v>
      </c>
      <c r="O571" s="18">
        <f>Table13[[#This Row],[Price]]*0.7</f>
        <v>2865.1</v>
      </c>
      <c r="P571" s="18">
        <f t="shared" si="58"/>
        <v>11051.100000000002</v>
      </c>
      <c r="Q571" s="18">
        <f t="shared" si="59"/>
        <v>0.1</v>
      </c>
      <c r="R571" s="18">
        <f t="shared" si="60"/>
        <v>29359.63</v>
      </c>
      <c r="S571" s="18" t="str">
        <f>IF(Table13[[#This Row],[Quantity]]&lt;=3,"Small",IF(Table13[[#This Row],[Quantity]]&lt;=6,"Medium","Bulk"))</f>
        <v>Bulk</v>
      </c>
      <c r="T571" s="18" t="str">
        <f t="shared" si="61"/>
        <v>Normal</v>
      </c>
      <c r="U571" s="18" t="str">
        <f t="shared" si="62"/>
        <v>High Value</v>
      </c>
    </row>
    <row r="572" spans="1:21" x14ac:dyDescent="0.3">
      <c r="A572" t="s">
        <v>580</v>
      </c>
      <c r="B572" s="1">
        <v>45044</v>
      </c>
      <c r="C572" t="s">
        <v>1212</v>
      </c>
      <c r="D572" t="s">
        <v>1215</v>
      </c>
      <c r="E572" t="s">
        <v>1222</v>
      </c>
      <c r="F572" t="s">
        <v>1234</v>
      </c>
      <c r="G572" s="6">
        <v>6</v>
      </c>
      <c r="H572">
        <v>2672</v>
      </c>
      <c r="I572">
        <v>16032</v>
      </c>
      <c r="J572" s="2">
        <v>2604.66</v>
      </c>
      <c r="K572" s="16">
        <f>Table13[[#This Row],[Profit]]/Table13[[#This Row],[Sales]]</f>
        <v>0.16246631736526945</v>
      </c>
      <c r="L572" s="17" t="str">
        <f t="shared" si="56"/>
        <v>Medium</v>
      </c>
      <c r="M572" s="17" t="str">
        <f t="shared" si="57"/>
        <v>Apr</v>
      </c>
      <c r="N572" s="18">
        <f>YEAR(Table13[[#This Row],[Order_Date]])</f>
        <v>2023</v>
      </c>
      <c r="O572" s="18">
        <f>Table13[[#This Row],[Price]]*0.7</f>
        <v>1870.3999999999999</v>
      </c>
      <c r="P572" s="18">
        <f t="shared" si="58"/>
        <v>4809.6000000000004</v>
      </c>
      <c r="Q572" s="18">
        <f t="shared" si="59"/>
        <v>0.1</v>
      </c>
      <c r="R572" s="18">
        <f t="shared" si="60"/>
        <v>13427.34</v>
      </c>
      <c r="S572" s="18" t="str">
        <f>IF(Table13[[#This Row],[Quantity]]&lt;=3,"Small",IF(Table13[[#This Row],[Quantity]]&lt;=6,"Medium","Bulk"))</f>
        <v>Medium</v>
      </c>
      <c r="T572" s="18" t="str">
        <f t="shared" si="61"/>
        <v>High Demand</v>
      </c>
      <c r="U572" s="18" t="str">
        <f t="shared" si="62"/>
        <v>Medium Value</v>
      </c>
    </row>
    <row r="573" spans="1:21" x14ac:dyDescent="0.3">
      <c r="A573" t="s">
        <v>581</v>
      </c>
      <c r="B573" s="1">
        <v>45065</v>
      </c>
      <c r="C573" t="s">
        <v>1212</v>
      </c>
      <c r="D573" t="s">
        <v>1218</v>
      </c>
      <c r="E573" t="s">
        <v>1219</v>
      </c>
      <c r="F573" t="s">
        <v>1238</v>
      </c>
      <c r="G573" s="6">
        <v>2</v>
      </c>
      <c r="H573">
        <v>4208</v>
      </c>
      <c r="I573">
        <v>8416</v>
      </c>
      <c r="J573" s="2">
        <v>1935.98</v>
      </c>
      <c r="K573" s="16">
        <f>Table13[[#This Row],[Profit]]/Table13[[#This Row],[Sales]]</f>
        <v>0.23003564638783269</v>
      </c>
      <c r="L573" s="17" t="str">
        <f t="shared" si="56"/>
        <v>Low</v>
      </c>
      <c r="M573" s="17" t="str">
        <f t="shared" si="57"/>
        <v>May</v>
      </c>
      <c r="N573" s="18">
        <f>YEAR(Table13[[#This Row],[Order_Date]])</f>
        <v>2023</v>
      </c>
      <c r="O573" s="18">
        <f>Table13[[#This Row],[Price]]*0.7</f>
        <v>2945.6</v>
      </c>
      <c r="P573" s="18">
        <f t="shared" si="58"/>
        <v>2524.8000000000002</v>
      </c>
      <c r="Q573" s="18">
        <f t="shared" si="59"/>
        <v>0.05</v>
      </c>
      <c r="R573" s="18">
        <f t="shared" si="60"/>
        <v>6480.02</v>
      </c>
      <c r="S573" s="18" t="str">
        <f>IF(Table13[[#This Row],[Quantity]]&lt;=3,"Small",IF(Table13[[#This Row],[Quantity]]&lt;=6,"Medium","Bulk"))</f>
        <v>Small</v>
      </c>
      <c r="T573" s="18" t="str">
        <f t="shared" si="61"/>
        <v>High Demand</v>
      </c>
      <c r="U573" s="18" t="str">
        <f t="shared" si="62"/>
        <v>low Value</v>
      </c>
    </row>
    <row r="574" spans="1:21" x14ac:dyDescent="0.3">
      <c r="A574" t="s">
        <v>582</v>
      </c>
      <c r="B574" s="1">
        <v>45150</v>
      </c>
      <c r="C574" t="s">
        <v>1213</v>
      </c>
      <c r="D574" t="s">
        <v>1216</v>
      </c>
      <c r="E574" t="s">
        <v>1221</v>
      </c>
      <c r="F574" t="s">
        <v>1229</v>
      </c>
      <c r="G574" s="6">
        <v>3</v>
      </c>
      <c r="H574">
        <v>583</v>
      </c>
      <c r="I574">
        <v>1749</v>
      </c>
      <c r="J574" s="2">
        <v>200.42</v>
      </c>
      <c r="K574" s="16">
        <f>Table13[[#This Row],[Profit]]/Table13[[#This Row],[Sales]]</f>
        <v>0.11459119496855345</v>
      </c>
      <c r="L574" s="17" t="str">
        <f t="shared" si="56"/>
        <v>Low</v>
      </c>
      <c r="M574" s="17" t="str">
        <f t="shared" si="57"/>
        <v>Aug</v>
      </c>
      <c r="N574" s="18">
        <f>YEAR(Table13[[#This Row],[Order_Date]])</f>
        <v>2023</v>
      </c>
      <c r="O574" s="18">
        <f>Table13[[#This Row],[Price]]*0.7</f>
        <v>408.09999999999997</v>
      </c>
      <c r="P574" s="18">
        <f t="shared" si="58"/>
        <v>524.70000000000005</v>
      </c>
      <c r="Q574" s="18">
        <f t="shared" si="59"/>
        <v>0.05</v>
      </c>
      <c r="R574" s="18">
        <f t="shared" si="60"/>
        <v>1548.5800000000002</v>
      </c>
      <c r="S574" s="18" t="str">
        <f>IF(Table13[[#This Row],[Quantity]]&lt;=3,"Small",IF(Table13[[#This Row],[Quantity]]&lt;=6,"Medium","Bulk"))</f>
        <v>Small</v>
      </c>
      <c r="T574" s="18" t="str">
        <f t="shared" si="61"/>
        <v>Normal</v>
      </c>
      <c r="U574" s="18" t="str">
        <f t="shared" si="62"/>
        <v>low Value</v>
      </c>
    </row>
    <row r="575" spans="1:21" x14ac:dyDescent="0.3">
      <c r="A575" t="s">
        <v>583</v>
      </c>
      <c r="B575" s="1">
        <v>45042</v>
      </c>
      <c r="C575" t="s">
        <v>1212</v>
      </c>
      <c r="D575" t="s">
        <v>1218</v>
      </c>
      <c r="E575" t="s">
        <v>1219</v>
      </c>
      <c r="F575" t="s">
        <v>1232</v>
      </c>
      <c r="G575" s="6">
        <v>8</v>
      </c>
      <c r="H575">
        <v>2539</v>
      </c>
      <c r="I575">
        <v>20312</v>
      </c>
      <c r="J575" s="2">
        <v>4552.8900000000003</v>
      </c>
      <c r="K575" s="16">
        <f>Table13[[#This Row],[Profit]]/Table13[[#This Row],[Sales]]</f>
        <v>0.22414779440724697</v>
      </c>
      <c r="L575" s="17" t="str">
        <f t="shared" si="56"/>
        <v>High</v>
      </c>
      <c r="M575" s="17" t="str">
        <f t="shared" si="57"/>
        <v>Apr</v>
      </c>
      <c r="N575" s="18">
        <f>YEAR(Table13[[#This Row],[Order_Date]])</f>
        <v>2023</v>
      </c>
      <c r="O575" s="18">
        <f>Table13[[#This Row],[Price]]*0.7</f>
        <v>1777.3</v>
      </c>
      <c r="P575" s="18">
        <f t="shared" si="58"/>
        <v>6093.6</v>
      </c>
      <c r="Q575" s="18">
        <f t="shared" si="59"/>
        <v>0.1</v>
      </c>
      <c r="R575" s="18">
        <f t="shared" si="60"/>
        <v>15759.109999999999</v>
      </c>
      <c r="S575" s="18" t="str">
        <f>IF(Table13[[#This Row],[Quantity]]&lt;=3,"Small",IF(Table13[[#This Row],[Quantity]]&lt;=6,"Medium","Bulk"))</f>
        <v>Bulk</v>
      </c>
      <c r="T575" s="18" t="str">
        <f t="shared" si="61"/>
        <v>High Demand</v>
      </c>
      <c r="U575" s="18" t="str">
        <f t="shared" si="62"/>
        <v>High Value</v>
      </c>
    </row>
    <row r="576" spans="1:21" x14ac:dyDescent="0.3">
      <c r="A576" t="s">
        <v>584</v>
      </c>
      <c r="B576" s="1">
        <v>44946</v>
      </c>
      <c r="C576" t="s">
        <v>1213</v>
      </c>
      <c r="D576" t="s">
        <v>1215</v>
      </c>
      <c r="E576" t="s">
        <v>1222</v>
      </c>
      <c r="F576" t="s">
        <v>1230</v>
      </c>
      <c r="G576" s="6">
        <v>2</v>
      </c>
      <c r="H576">
        <v>2804</v>
      </c>
      <c r="I576">
        <v>5608</v>
      </c>
      <c r="J576" s="2">
        <v>1391.72</v>
      </c>
      <c r="K576" s="16">
        <f>Table13[[#This Row],[Profit]]/Table13[[#This Row],[Sales]]</f>
        <v>0.24816690442225392</v>
      </c>
      <c r="L576" s="17" t="str">
        <f t="shared" si="56"/>
        <v>Low</v>
      </c>
      <c r="M576" s="17" t="str">
        <f t="shared" si="57"/>
        <v>Jan</v>
      </c>
      <c r="N576" s="18">
        <f>YEAR(Table13[[#This Row],[Order_Date]])</f>
        <v>2023</v>
      </c>
      <c r="O576" s="18">
        <f>Table13[[#This Row],[Price]]*0.7</f>
        <v>1962.8</v>
      </c>
      <c r="P576" s="18">
        <f t="shared" si="58"/>
        <v>1682.4</v>
      </c>
      <c r="Q576" s="18">
        <f t="shared" si="59"/>
        <v>0.05</v>
      </c>
      <c r="R576" s="18">
        <f t="shared" si="60"/>
        <v>4216.2800000000007</v>
      </c>
      <c r="S576" s="18" t="str">
        <f>IF(Table13[[#This Row],[Quantity]]&lt;=3,"Small",IF(Table13[[#This Row],[Quantity]]&lt;=6,"Medium","Bulk"))</f>
        <v>Small</v>
      </c>
      <c r="T576" s="18" t="str">
        <f t="shared" si="61"/>
        <v>Normal</v>
      </c>
      <c r="U576" s="18" t="str">
        <f t="shared" si="62"/>
        <v>low Value</v>
      </c>
    </row>
    <row r="577" spans="1:21" x14ac:dyDescent="0.3">
      <c r="A577" t="s">
        <v>585</v>
      </c>
      <c r="B577" s="1">
        <v>45246</v>
      </c>
      <c r="C577" t="s">
        <v>1213</v>
      </c>
      <c r="D577" t="s">
        <v>1214</v>
      </c>
      <c r="E577" t="s">
        <v>1219</v>
      </c>
      <c r="F577" t="s">
        <v>1233</v>
      </c>
      <c r="G577" s="6">
        <v>3</v>
      </c>
      <c r="H577">
        <v>202</v>
      </c>
      <c r="I577">
        <v>606</v>
      </c>
      <c r="J577" s="2">
        <v>84.59</v>
      </c>
      <c r="K577" s="16">
        <f>Table13[[#This Row],[Profit]]/Table13[[#This Row],[Sales]]</f>
        <v>0.13958745874587458</v>
      </c>
      <c r="L577" s="17" t="str">
        <f t="shared" si="56"/>
        <v>Low</v>
      </c>
      <c r="M577" s="17" t="str">
        <f t="shared" si="57"/>
        <v>Nov</v>
      </c>
      <c r="N577" s="18">
        <f>YEAR(Table13[[#This Row],[Order_Date]])</f>
        <v>2023</v>
      </c>
      <c r="O577" s="18">
        <f>Table13[[#This Row],[Price]]*0.7</f>
        <v>141.39999999999998</v>
      </c>
      <c r="P577" s="18">
        <f t="shared" si="58"/>
        <v>181.80000000000007</v>
      </c>
      <c r="Q577" s="18">
        <f t="shared" si="59"/>
        <v>0.05</v>
      </c>
      <c r="R577" s="18">
        <f t="shared" si="60"/>
        <v>521.41000000000008</v>
      </c>
      <c r="S577" s="18" t="str">
        <f>IF(Table13[[#This Row],[Quantity]]&lt;=3,"Small",IF(Table13[[#This Row],[Quantity]]&lt;=6,"Medium","Bulk"))</f>
        <v>Small</v>
      </c>
      <c r="T577" s="18" t="str">
        <f t="shared" si="61"/>
        <v>Normal</v>
      </c>
      <c r="U577" s="18" t="str">
        <f t="shared" si="62"/>
        <v>low Value</v>
      </c>
    </row>
    <row r="578" spans="1:21" x14ac:dyDescent="0.3">
      <c r="A578" t="s">
        <v>586</v>
      </c>
      <c r="B578" s="1">
        <v>45033</v>
      </c>
      <c r="C578" t="s">
        <v>1213</v>
      </c>
      <c r="D578" t="s">
        <v>1214</v>
      </c>
      <c r="E578" t="s">
        <v>1219</v>
      </c>
      <c r="F578" t="s">
        <v>1233</v>
      </c>
      <c r="G578" s="6">
        <v>4</v>
      </c>
      <c r="H578">
        <v>3090</v>
      </c>
      <c r="I578">
        <v>12360</v>
      </c>
      <c r="J578" s="2">
        <v>2368.7199999999998</v>
      </c>
      <c r="K578" s="16">
        <f>Table13[[#This Row],[Profit]]/Table13[[#This Row],[Sales]]</f>
        <v>0.19164401294498382</v>
      </c>
      <c r="L578" s="17" t="str">
        <f t="shared" ref="L578:L641" si="63">IF(I578&gt;20000,"High",IF(I578&gt;10000,"Medium","Low"))</f>
        <v>Medium</v>
      </c>
      <c r="M578" s="17" t="str">
        <f t="shared" ref="M578:M641" si="64">TEXT(B578,"mmm")</f>
        <v>Apr</v>
      </c>
      <c r="N578" s="18">
        <f>YEAR(Table13[[#This Row],[Order_Date]])</f>
        <v>2023</v>
      </c>
      <c r="O578" s="18">
        <f>Table13[[#This Row],[Price]]*0.7</f>
        <v>2163</v>
      </c>
      <c r="P578" s="18">
        <f t="shared" ref="P578:P641" si="65">I578 - (G578 *O578)</f>
        <v>3708</v>
      </c>
      <c r="Q578" s="18">
        <f t="shared" ref="Q578:Q641" si="66">IF(G578&gt;5,0.1,0.05)</f>
        <v>0.05</v>
      </c>
      <c r="R578" s="18">
        <f t="shared" ref="R578:R641" si="67">I578*(1-K578)</f>
        <v>9991.2800000000007</v>
      </c>
      <c r="S578" s="18" t="str">
        <f>IF(Table13[[#This Row],[Quantity]]&lt;=3,"Small",IF(Table13[[#This Row],[Quantity]]&lt;=6,"Medium","Bulk"))</f>
        <v>Medium</v>
      </c>
      <c r="T578" s="18" t="str">
        <f t="shared" ref="T578:T641" si="68">IF(C578="North","High Demand","Normal")</f>
        <v>Normal</v>
      </c>
      <c r="U578" s="18" t="str">
        <f t="shared" ref="U578:U641" si="69">IF(I578&gt;20000,"High Value",IF(I578&gt;10000,"Medium Value","low Value"))</f>
        <v>Medium Value</v>
      </c>
    </row>
    <row r="579" spans="1:21" x14ac:dyDescent="0.3">
      <c r="A579" t="s">
        <v>587</v>
      </c>
      <c r="B579" s="1">
        <v>45274</v>
      </c>
      <c r="C579" t="s">
        <v>1210</v>
      </c>
      <c r="D579" t="s">
        <v>1216</v>
      </c>
      <c r="E579" t="s">
        <v>1220</v>
      </c>
      <c r="F579" t="s">
        <v>1237</v>
      </c>
      <c r="G579" s="6">
        <v>2</v>
      </c>
      <c r="H579">
        <v>1285</v>
      </c>
      <c r="I579">
        <v>2570</v>
      </c>
      <c r="J579" s="2">
        <v>573.61</v>
      </c>
      <c r="K579" s="16">
        <f>Table13[[#This Row],[Profit]]/Table13[[#This Row],[Sales]]</f>
        <v>0.22319455252918288</v>
      </c>
      <c r="L579" s="17" t="str">
        <f t="shared" si="63"/>
        <v>Low</v>
      </c>
      <c r="M579" s="17" t="str">
        <f t="shared" si="64"/>
        <v>Dec</v>
      </c>
      <c r="N579" s="18">
        <f>YEAR(Table13[[#This Row],[Order_Date]])</f>
        <v>2023</v>
      </c>
      <c r="O579" s="18">
        <f>Table13[[#This Row],[Price]]*0.7</f>
        <v>899.49999999999989</v>
      </c>
      <c r="P579" s="18">
        <f t="shared" si="65"/>
        <v>771.00000000000023</v>
      </c>
      <c r="Q579" s="18">
        <f t="shared" si="66"/>
        <v>0.05</v>
      </c>
      <c r="R579" s="18">
        <f t="shared" si="67"/>
        <v>1996.39</v>
      </c>
      <c r="S579" s="18" t="str">
        <f>IF(Table13[[#This Row],[Quantity]]&lt;=3,"Small",IF(Table13[[#This Row],[Quantity]]&lt;=6,"Medium","Bulk"))</f>
        <v>Small</v>
      </c>
      <c r="T579" s="18" t="str">
        <f t="shared" si="68"/>
        <v>Normal</v>
      </c>
      <c r="U579" s="18" t="str">
        <f t="shared" si="69"/>
        <v>low Value</v>
      </c>
    </row>
    <row r="580" spans="1:21" x14ac:dyDescent="0.3">
      <c r="A580" t="s">
        <v>588</v>
      </c>
      <c r="B580" s="1">
        <v>45176</v>
      </c>
      <c r="C580" t="s">
        <v>1211</v>
      </c>
      <c r="D580" t="s">
        <v>1215</v>
      </c>
      <c r="E580" t="s">
        <v>1220</v>
      </c>
      <c r="F580" t="s">
        <v>1228</v>
      </c>
      <c r="G580" s="6">
        <v>8</v>
      </c>
      <c r="H580">
        <v>2155</v>
      </c>
      <c r="I580">
        <v>17240</v>
      </c>
      <c r="J580" s="2">
        <v>3625.7</v>
      </c>
      <c r="K580" s="16">
        <f>Table13[[#This Row],[Profit]]/Table13[[#This Row],[Sales]]</f>
        <v>0.21030742459396751</v>
      </c>
      <c r="L580" s="17" t="str">
        <f t="shared" si="63"/>
        <v>Medium</v>
      </c>
      <c r="M580" s="17" t="str">
        <f t="shared" si="64"/>
        <v>Sep</v>
      </c>
      <c r="N580" s="18">
        <f>YEAR(Table13[[#This Row],[Order_Date]])</f>
        <v>2023</v>
      </c>
      <c r="O580" s="18">
        <f>Table13[[#This Row],[Price]]*0.7</f>
        <v>1508.5</v>
      </c>
      <c r="P580" s="18">
        <f t="shared" si="65"/>
        <v>5172</v>
      </c>
      <c r="Q580" s="18">
        <f t="shared" si="66"/>
        <v>0.1</v>
      </c>
      <c r="R580" s="18">
        <f t="shared" si="67"/>
        <v>13614.3</v>
      </c>
      <c r="S580" s="18" t="str">
        <f>IF(Table13[[#This Row],[Quantity]]&lt;=3,"Small",IF(Table13[[#This Row],[Quantity]]&lt;=6,"Medium","Bulk"))</f>
        <v>Bulk</v>
      </c>
      <c r="T580" s="18" t="str">
        <f t="shared" si="68"/>
        <v>Normal</v>
      </c>
      <c r="U580" s="18" t="str">
        <f t="shared" si="69"/>
        <v>Medium Value</v>
      </c>
    </row>
    <row r="581" spans="1:21" x14ac:dyDescent="0.3">
      <c r="A581" t="s">
        <v>589</v>
      </c>
      <c r="B581" s="1">
        <v>45135</v>
      </c>
      <c r="C581" t="s">
        <v>1210</v>
      </c>
      <c r="D581" t="s">
        <v>1215</v>
      </c>
      <c r="E581" t="s">
        <v>1221</v>
      </c>
      <c r="F581" t="s">
        <v>1231</v>
      </c>
      <c r="G581" s="6">
        <v>7</v>
      </c>
      <c r="H581">
        <v>1703</v>
      </c>
      <c r="I581">
        <v>11921</v>
      </c>
      <c r="J581" s="2">
        <v>2003.46</v>
      </c>
      <c r="K581" s="16">
        <f>Table13[[#This Row],[Profit]]/Table13[[#This Row],[Sales]]</f>
        <v>0.16806140424461036</v>
      </c>
      <c r="L581" s="17" t="str">
        <f t="shared" si="63"/>
        <v>Medium</v>
      </c>
      <c r="M581" s="17" t="str">
        <f t="shared" si="64"/>
        <v>Jul</v>
      </c>
      <c r="N581" s="18">
        <f>YEAR(Table13[[#This Row],[Order_Date]])</f>
        <v>2023</v>
      </c>
      <c r="O581" s="18">
        <f>Table13[[#This Row],[Price]]*0.7</f>
        <v>1192.0999999999999</v>
      </c>
      <c r="P581" s="18">
        <f t="shared" si="65"/>
        <v>3576.3000000000011</v>
      </c>
      <c r="Q581" s="18">
        <f t="shared" si="66"/>
        <v>0.1</v>
      </c>
      <c r="R581" s="18">
        <f t="shared" si="67"/>
        <v>9917.5399999999991</v>
      </c>
      <c r="S581" s="18" t="str">
        <f>IF(Table13[[#This Row],[Quantity]]&lt;=3,"Small",IF(Table13[[#This Row],[Quantity]]&lt;=6,"Medium","Bulk"))</f>
        <v>Bulk</v>
      </c>
      <c r="T581" s="18" t="str">
        <f t="shared" si="68"/>
        <v>Normal</v>
      </c>
      <c r="U581" s="18" t="str">
        <f t="shared" si="69"/>
        <v>Medium Value</v>
      </c>
    </row>
    <row r="582" spans="1:21" x14ac:dyDescent="0.3">
      <c r="A582" t="s">
        <v>590</v>
      </c>
      <c r="B582" s="1">
        <v>45146</v>
      </c>
      <c r="C582" t="s">
        <v>1211</v>
      </c>
      <c r="D582" t="s">
        <v>1215</v>
      </c>
      <c r="E582" t="s">
        <v>1219</v>
      </c>
      <c r="F582" t="s">
        <v>1239</v>
      </c>
      <c r="G582" s="6">
        <v>7</v>
      </c>
      <c r="H582">
        <v>3363</v>
      </c>
      <c r="I582">
        <v>23541</v>
      </c>
      <c r="J582" s="2">
        <v>2663.56</v>
      </c>
      <c r="K582" s="16">
        <f>Table13[[#This Row],[Profit]]/Table13[[#This Row],[Sales]]</f>
        <v>0.11314557580391657</v>
      </c>
      <c r="L582" s="17" t="str">
        <f t="shared" si="63"/>
        <v>High</v>
      </c>
      <c r="M582" s="17" t="str">
        <f t="shared" si="64"/>
        <v>Aug</v>
      </c>
      <c r="N582" s="18">
        <f>YEAR(Table13[[#This Row],[Order_Date]])</f>
        <v>2023</v>
      </c>
      <c r="O582" s="18">
        <f>Table13[[#This Row],[Price]]*0.7</f>
        <v>2354.1</v>
      </c>
      <c r="P582" s="18">
        <f t="shared" si="65"/>
        <v>7062.2999999999993</v>
      </c>
      <c r="Q582" s="18">
        <f t="shared" si="66"/>
        <v>0.1</v>
      </c>
      <c r="R582" s="18">
        <f t="shared" si="67"/>
        <v>20877.439999999999</v>
      </c>
      <c r="S582" s="18" t="str">
        <f>IF(Table13[[#This Row],[Quantity]]&lt;=3,"Small",IF(Table13[[#This Row],[Quantity]]&lt;=6,"Medium","Bulk"))</f>
        <v>Bulk</v>
      </c>
      <c r="T582" s="18" t="str">
        <f t="shared" si="68"/>
        <v>Normal</v>
      </c>
      <c r="U582" s="18" t="str">
        <f t="shared" si="69"/>
        <v>High Value</v>
      </c>
    </row>
    <row r="583" spans="1:21" x14ac:dyDescent="0.3">
      <c r="A583" t="s">
        <v>591</v>
      </c>
      <c r="B583" s="1">
        <v>44990</v>
      </c>
      <c r="C583" t="s">
        <v>1211</v>
      </c>
      <c r="D583" t="s">
        <v>1216</v>
      </c>
      <c r="E583" t="s">
        <v>1220</v>
      </c>
      <c r="F583" t="s">
        <v>1228</v>
      </c>
      <c r="G583" s="6">
        <v>7</v>
      </c>
      <c r="H583">
        <v>1190</v>
      </c>
      <c r="I583">
        <v>8330</v>
      </c>
      <c r="J583" s="2">
        <v>1512.03</v>
      </c>
      <c r="K583" s="16">
        <f>Table13[[#This Row],[Profit]]/Table13[[#This Row],[Sales]]</f>
        <v>0.18151620648259303</v>
      </c>
      <c r="L583" s="17" t="str">
        <f t="shared" si="63"/>
        <v>Low</v>
      </c>
      <c r="M583" s="17" t="str">
        <f t="shared" si="64"/>
        <v>Mar</v>
      </c>
      <c r="N583" s="18">
        <f>YEAR(Table13[[#This Row],[Order_Date]])</f>
        <v>2023</v>
      </c>
      <c r="O583" s="18">
        <f>Table13[[#This Row],[Price]]*0.7</f>
        <v>833</v>
      </c>
      <c r="P583" s="18">
        <f t="shared" si="65"/>
        <v>2499</v>
      </c>
      <c r="Q583" s="18">
        <f t="shared" si="66"/>
        <v>0.1</v>
      </c>
      <c r="R583" s="18">
        <f t="shared" si="67"/>
        <v>6817.97</v>
      </c>
      <c r="S583" s="18" t="str">
        <f>IF(Table13[[#This Row],[Quantity]]&lt;=3,"Small",IF(Table13[[#This Row],[Quantity]]&lt;=6,"Medium","Bulk"))</f>
        <v>Bulk</v>
      </c>
      <c r="T583" s="18" t="str">
        <f t="shared" si="68"/>
        <v>Normal</v>
      </c>
      <c r="U583" s="18" t="str">
        <f t="shared" si="69"/>
        <v>low Value</v>
      </c>
    </row>
    <row r="584" spans="1:21" x14ac:dyDescent="0.3">
      <c r="A584" t="s">
        <v>592</v>
      </c>
      <c r="B584" s="1">
        <v>45258</v>
      </c>
      <c r="C584" t="s">
        <v>1211</v>
      </c>
      <c r="D584" t="s">
        <v>1215</v>
      </c>
      <c r="E584" t="s">
        <v>1220</v>
      </c>
      <c r="F584" t="s">
        <v>1228</v>
      </c>
      <c r="G584" s="6">
        <v>5</v>
      </c>
      <c r="H584">
        <v>1693</v>
      </c>
      <c r="I584">
        <v>8465</v>
      </c>
      <c r="J584" s="2">
        <v>1768.38</v>
      </c>
      <c r="K584" s="16">
        <f>Table13[[#This Row],[Profit]]/Table13[[#This Row],[Sales]]</f>
        <v>0.20890490253987007</v>
      </c>
      <c r="L584" s="17" t="str">
        <f t="shared" si="63"/>
        <v>Low</v>
      </c>
      <c r="M584" s="17" t="str">
        <f t="shared" si="64"/>
        <v>Nov</v>
      </c>
      <c r="N584" s="18">
        <f>YEAR(Table13[[#This Row],[Order_Date]])</f>
        <v>2023</v>
      </c>
      <c r="O584" s="18">
        <f>Table13[[#This Row],[Price]]*0.7</f>
        <v>1185.0999999999999</v>
      </c>
      <c r="P584" s="18">
        <f t="shared" si="65"/>
        <v>2539.5</v>
      </c>
      <c r="Q584" s="18">
        <f t="shared" si="66"/>
        <v>0.05</v>
      </c>
      <c r="R584" s="18">
        <f t="shared" si="67"/>
        <v>6696.62</v>
      </c>
      <c r="S584" s="18" t="str">
        <f>IF(Table13[[#This Row],[Quantity]]&lt;=3,"Small",IF(Table13[[#This Row],[Quantity]]&lt;=6,"Medium","Bulk"))</f>
        <v>Medium</v>
      </c>
      <c r="T584" s="18" t="str">
        <f t="shared" si="68"/>
        <v>Normal</v>
      </c>
      <c r="U584" s="18" t="str">
        <f t="shared" si="69"/>
        <v>low Value</v>
      </c>
    </row>
    <row r="585" spans="1:21" x14ac:dyDescent="0.3">
      <c r="A585" t="s">
        <v>593</v>
      </c>
      <c r="B585" s="1">
        <v>44985</v>
      </c>
      <c r="C585" t="s">
        <v>1212</v>
      </c>
      <c r="D585" t="s">
        <v>1215</v>
      </c>
      <c r="E585" t="s">
        <v>1222</v>
      </c>
      <c r="F585" t="s">
        <v>1227</v>
      </c>
      <c r="G585" s="6">
        <v>6</v>
      </c>
      <c r="H585">
        <v>2775</v>
      </c>
      <c r="I585">
        <v>16650</v>
      </c>
      <c r="J585" s="2">
        <v>1904.48</v>
      </c>
      <c r="K585" s="16">
        <f>Table13[[#This Row],[Profit]]/Table13[[#This Row],[Sales]]</f>
        <v>0.11438318318318319</v>
      </c>
      <c r="L585" s="17" t="str">
        <f t="shared" si="63"/>
        <v>Medium</v>
      </c>
      <c r="M585" s="17" t="str">
        <f t="shared" si="64"/>
        <v>Feb</v>
      </c>
      <c r="N585" s="18">
        <f>YEAR(Table13[[#This Row],[Order_Date]])</f>
        <v>2023</v>
      </c>
      <c r="O585" s="18">
        <f>Table13[[#This Row],[Price]]*0.7</f>
        <v>1942.4999999999998</v>
      </c>
      <c r="P585" s="18">
        <f t="shared" si="65"/>
        <v>4995.0000000000018</v>
      </c>
      <c r="Q585" s="18">
        <f t="shared" si="66"/>
        <v>0.1</v>
      </c>
      <c r="R585" s="18">
        <f t="shared" si="67"/>
        <v>14745.52</v>
      </c>
      <c r="S585" s="18" t="str">
        <f>IF(Table13[[#This Row],[Quantity]]&lt;=3,"Small",IF(Table13[[#This Row],[Quantity]]&lt;=6,"Medium","Bulk"))</f>
        <v>Medium</v>
      </c>
      <c r="T585" s="18" t="str">
        <f t="shared" si="68"/>
        <v>High Demand</v>
      </c>
      <c r="U585" s="18" t="str">
        <f t="shared" si="69"/>
        <v>Medium Value</v>
      </c>
    </row>
    <row r="586" spans="1:21" x14ac:dyDescent="0.3">
      <c r="A586" t="s">
        <v>594</v>
      </c>
      <c r="B586" s="1">
        <v>45272</v>
      </c>
      <c r="C586" t="s">
        <v>1210</v>
      </c>
      <c r="D586" t="s">
        <v>1217</v>
      </c>
      <c r="E586" t="s">
        <v>1219</v>
      </c>
      <c r="F586" t="s">
        <v>1233</v>
      </c>
      <c r="G586" s="6">
        <v>1</v>
      </c>
      <c r="H586">
        <v>4001</v>
      </c>
      <c r="I586">
        <v>4001</v>
      </c>
      <c r="J586" s="2">
        <v>793.58</v>
      </c>
      <c r="K586" s="16">
        <f>Table13[[#This Row],[Profit]]/Table13[[#This Row],[Sales]]</f>
        <v>0.19834541364658836</v>
      </c>
      <c r="L586" s="17" t="str">
        <f t="shared" si="63"/>
        <v>Low</v>
      </c>
      <c r="M586" s="17" t="str">
        <f t="shared" si="64"/>
        <v>Dec</v>
      </c>
      <c r="N586" s="18">
        <f>YEAR(Table13[[#This Row],[Order_Date]])</f>
        <v>2023</v>
      </c>
      <c r="O586" s="18">
        <f>Table13[[#This Row],[Price]]*0.7</f>
        <v>2800.7</v>
      </c>
      <c r="P586" s="18">
        <f t="shared" si="65"/>
        <v>1200.3000000000002</v>
      </c>
      <c r="Q586" s="18">
        <f t="shared" si="66"/>
        <v>0.05</v>
      </c>
      <c r="R586" s="18">
        <f t="shared" si="67"/>
        <v>3207.42</v>
      </c>
      <c r="S586" s="18" t="str">
        <f>IF(Table13[[#This Row],[Quantity]]&lt;=3,"Small",IF(Table13[[#This Row],[Quantity]]&lt;=6,"Medium","Bulk"))</f>
        <v>Small</v>
      </c>
      <c r="T586" s="18" t="str">
        <f t="shared" si="68"/>
        <v>Normal</v>
      </c>
      <c r="U586" s="18" t="str">
        <f t="shared" si="69"/>
        <v>low Value</v>
      </c>
    </row>
    <row r="587" spans="1:21" x14ac:dyDescent="0.3">
      <c r="A587" t="s">
        <v>595</v>
      </c>
      <c r="B587" s="1">
        <v>45165</v>
      </c>
      <c r="C587" t="s">
        <v>1210</v>
      </c>
      <c r="D587" t="s">
        <v>1214</v>
      </c>
      <c r="E587" t="s">
        <v>1220</v>
      </c>
      <c r="F587" t="s">
        <v>1224</v>
      </c>
      <c r="G587" s="6">
        <v>1</v>
      </c>
      <c r="H587">
        <v>583</v>
      </c>
      <c r="I587">
        <v>583</v>
      </c>
      <c r="J587" s="2">
        <v>101.09</v>
      </c>
      <c r="K587" s="16">
        <f>Table13[[#This Row],[Profit]]/Table13[[#This Row],[Sales]]</f>
        <v>0.17339622641509433</v>
      </c>
      <c r="L587" s="17" t="str">
        <f t="shared" si="63"/>
        <v>Low</v>
      </c>
      <c r="M587" s="17" t="str">
        <f t="shared" si="64"/>
        <v>Aug</v>
      </c>
      <c r="N587" s="18">
        <f>YEAR(Table13[[#This Row],[Order_Date]])</f>
        <v>2023</v>
      </c>
      <c r="O587" s="18">
        <f>Table13[[#This Row],[Price]]*0.7</f>
        <v>408.09999999999997</v>
      </c>
      <c r="P587" s="18">
        <f t="shared" si="65"/>
        <v>174.90000000000003</v>
      </c>
      <c r="Q587" s="18">
        <f t="shared" si="66"/>
        <v>0.05</v>
      </c>
      <c r="R587" s="18">
        <f t="shared" si="67"/>
        <v>481.91</v>
      </c>
      <c r="S587" s="18" t="str">
        <f>IF(Table13[[#This Row],[Quantity]]&lt;=3,"Small",IF(Table13[[#This Row],[Quantity]]&lt;=6,"Medium","Bulk"))</f>
        <v>Small</v>
      </c>
      <c r="T587" s="18" t="str">
        <f t="shared" si="68"/>
        <v>Normal</v>
      </c>
      <c r="U587" s="18" t="str">
        <f t="shared" si="69"/>
        <v>low Value</v>
      </c>
    </row>
    <row r="588" spans="1:21" x14ac:dyDescent="0.3">
      <c r="A588" t="s">
        <v>596</v>
      </c>
      <c r="B588" s="1">
        <v>45036</v>
      </c>
      <c r="C588" t="s">
        <v>1212</v>
      </c>
      <c r="D588" t="s">
        <v>1214</v>
      </c>
      <c r="E588" t="s">
        <v>1220</v>
      </c>
      <c r="F588" t="s">
        <v>1228</v>
      </c>
      <c r="G588" s="6">
        <v>1</v>
      </c>
      <c r="H588">
        <v>4451</v>
      </c>
      <c r="I588">
        <v>4451</v>
      </c>
      <c r="J588" s="2">
        <v>706.51</v>
      </c>
      <c r="K588" s="16">
        <f>Table13[[#This Row],[Profit]]/Table13[[#This Row],[Sales]]</f>
        <v>0.1587306223320602</v>
      </c>
      <c r="L588" s="17" t="str">
        <f t="shared" si="63"/>
        <v>Low</v>
      </c>
      <c r="M588" s="17" t="str">
        <f t="shared" si="64"/>
        <v>Apr</v>
      </c>
      <c r="N588" s="18">
        <f>YEAR(Table13[[#This Row],[Order_Date]])</f>
        <v>2023</v>
      </c>
      <c r="O588" s="18">
        <f>Table13[[#This Row],[Price]]*0.7</f>
        <v>3115.7</v>
      </c>
      <c r="P588" s="18">
        <f t="shared" si="65"/>
        <v>1335.3000000000002</v>
      </c>
      <c r="Q588" s="18">
        <f t="shared" si="66"/>
        <v>0.05</v>
      </c>
      <c r="R588" s="18">
        <f t="shared" si="67"/>
        <v>3744.4900000000002</v>
      </c>
      <c r="S588" s="18" t="str">
        <f>IF(Table13[[#This Row],[Quantity]]&lt;=3,"Small",IF(Table13[[#This Row],[Quantity]]&lt;=6,"Medium","Bulk"))</f>
        <v>Small</v>
      </c>
      <c r="T588" s="18" t="str">
        <f t="shared" si="68"/>
        <v>High Demand</v>
      </c>
      <c r="U588" s="18" t="str">
        <f t="shared" si="69"/>
        <v>low Value</v>
      </c>
    </row>
    <row r="589" spans="1:21" x14ac:dyDescent="0.3">
      <c r="A589" t="s">
        <v>597</v>
      </c>
      <c r="B589" s="1">
        <v>45133</v>
      </c>
      <c r="C589" t="s">
        <v>1213</v>
      </c>
      <c r="D589" t="s">
        <v>1216</v>
      </c>
      <c r="E589" t="s">
        <v>1221</v>
      </c>
      <c r="F589" t="s">
        <v>1235</v>
      </c>
      <c r="G589" s="6">
        <v>6</v>
      </c>
      <c r="H589">
        <v>3246</v>
      </c>
      <c r="I589">
        <v>19476</v>
      </c>
      <c r="J589" s="2">
        <v>4129.97</v>
      </c>
      <c r="K589" s="16">
        <f>Table13[[#This Row],[Profit]]/Table13[[#This Row],[Sales]]</f>
        <v>0.21205432326966525</v>
      </c>
      <c r="L589" s="17" t="str">
        <f t="shared" si="63"/>
        <v>Medium</v>
      </c>
      <c r="M589" s="17" t="str">
        <f t="shared" si="64"/>
        <v>Jul</v>
      </c>
      <c r="N589" s="18">
        <f>YEAR(Table13[[#This Row],[Order_Date]])</f>
        <v>2023</v>
      </c>
      <c r="O589" s="18">
        <f>Table13[[#This Row],[Price]]*0.7</f>
        <v>2272.1999999999998</v>
      </c>
      <c r="P589" s="18">
        <f t="shared" si="65"/>
        <v>5842.8000000000011</v>
      </c>
      <c r="Q589" s="18">
        <f t="shared" si="66"/>
        <v>0.1</v>
      </c>
      <c r="R589" s="18">
        <f t="shared" si="67"/>
        <v>15346.03</v>
      </c>
      <c r="S589" s="18" t="str">
        <f>IF(Table13[[#This Row],[Quantity]]&lt;=3,"Small",IF(Table13[[#This Row],[Quantity]]&lt;=6,"Medium","Bulk"))</f>
        <v>Medium</v>
      </c>
      <c r="T589" s="18" t="str">
        <f t="shared" si="68"/>
        <v>Normal</v>
      </c>
      <c r="U589" s="18" t="str">
        <f t="shared" si="69"/>
        <v>Medium Value</v>
      </c>
    </row>
    <row r="590" spans="1:21" x14ac:dyDescent="0.3">
      <c r="A590" t="s">
        <v>598</v>
      </c>
      <c r="B590" s="1">
        <v>45183</v>
      </c>
      <c r="C590" t="s">
        <v>1212</v>
      </c>
      <c r="D590" t="s">
        <v>1215</v>
      </c>
      <c r="E590" t="s">
        <v>1220</v>
      </c>
      <c r="F590" t="s">
        <v>1228</v>
      </c>
      <c r="G590" s="6">
        <v>4</v>
      </c>
      <c r="H590">
        <v>403</v>
      </c>
      <c r="I590">
        <v>1612</v>
      </c>
      <c r="J590" s="2">
        <v>170.23</v>
      </c>
      <c r="K590" s="16">
        <f>Table13[[#This Row],[Profit]]/Table13[[#This Row],[Sales]]</f>
        <v>0.10560173697270471</v>
      </c>
      <c r="L590" s="17" t="str">
        <f t="shared" si="63"/>
        <v>Low</v>
      </c>
      <c r="M590" s="17" t="str">
        <f t="shared" si="64"/>
        <v>Sep</v>
      </c>
      <c r="N590" s="18">
        <f>YEAR(Table13[[#This Row],[Order_Date]])</f>
        <v>2023</v>
      </c>
      <c r="O590" s="18">
        <f>Table13[[#This Row],[Price]]*0.7</f>
        <v>282.09999999999997</v>
      </c>
      <c r="P590" s="18">
        <f t="shared" si="65"/>
        <v>483.60000000000014</v>
      </c>
      <c r="Q590" s="18">
        <f t="shared" si="66"/>
        <v>0.05</v>
      </c>
      <c r="R590" s="18">
        <f t="shared" si="67"/>
        <v>1441.77</v>
      </c>
      <c r="S590" s="18" t="str">
        <f>IF(Table13[[#This Row],[Quantity]]&lt;=3,"Small",IF(Table13[[#This Row],[Quantity]]&lt;=6,"Medium","Bulk"))</f>
        <v>Medium</v>
      </c>
      <c r="T590" s="18" t="str">
        <f t="shared" si="68"/>
        <v>High Demand</v>
      </c>
      <c r="U590" s="18" t="str">
        <f t="shared" si="69"/>
        <v>low Value</v>
      </c>
    </row>
    <row r="591" spans="1:21" x14ac:dyDescent="0.3">
      <c r="A591" t="s">
        <v>599</v>
      </c>
      <c r="B591" s="1">
        <v>45228</v>
      </c>
      <c r="C591" t="s">
        <v>1211</v>
      </c>
      <c r="D591" t="s">
        <v>1218</v>
      </c>
      <c r="E591" t="s">
        <v>1222</v>
      </c>
      <c r="F591" t="s">
        <v>1236</v>
      </c>
      <c r="G591" s="6">
        <v>3</v>
      </c>
      <c r="H591">
        <v>1740</v>
      </c>
      <c r="I591">
        <v>5220</v>
      </c>
      <c r="J591" s="2">
        <v>976.7</v>
      </c>
      <c r="K591" s="16">
        <f>Table13[[#This Row],[Profit]]/Table13[[#This Row],[Sales]]</f>
        <v>0.18710727969348659</v>
      </c>
      <c r="L591" s="17" t="str">
        <f t="shared" si="63"/>
        <v>Low</v>
      </c>
      <c r="M591" s="17" t="str">
        <f t="shared" si="64"/>
        <v>Oct</v>
      </c>
      <c r="N591" s="18">
        <f>YEAR(Table13[[#This Row],[Order_Date]])</f>
        <v>2023</v>
      </c>
      <c r="O591" s="18">
        <f>Table13[[#This Row],[Price]]*0.7</f>
        <v>1218</v>
      </c>
      <c r="P591" s="18">
        <f t="shared" si="65"/>
        <v>1566</v>
      </c>
      <c r="Q591" s="18">
        <f t="shared" si="66"/>
        <v>0.05</v>
      </c>
      <c r="R591" s="18">
        <f t="shared" si="67"/>
        <v>4243.3</v>
      </c>
      <c r="S591" s="18" t="str">
        <f>IF(Table13[[#This Row],[Quantity]]&lt;=3,"Small",IF(Table13[[#This Row],[Quantity]]&lt;=6,"Medium","Bulk"))</f>
        <v>Small</v>
      </c>
      <c r="T591" s="18" t="str">
        <f t="shared" si="68"/>
        <v>Normal</v>
      </c>
      <c r="U591" s="18" t="str">
        <f t="shared" si="69"/>
        <v>low Value</v>
      </c>
    </row>
    <row r="592" spans="1:21" x14ac:dyDescent="0.3">
      <c r="A592" t="s">
        <v>600</v>
      </c>
      <c r="B592" s="1">
        <v>45156</v>
      </c>
      <c r="C592" t="s">
        <v>1211</v>
      </c>
      <c r="D592" t="s">
        <v>1217</v>
      </c>
      <c r="E592" t="s">
        <v>1221</v>
      </c>
      <c r="F592" t="s">
        <v>1229</v>
      </c>
      <c r="G592" s="6">
        <v>8</v>
      </c>
      <c r="H592">
        <v>4750</v>
      </c>
      <c r="I592">
        <v>38000</v>
      </c>
      <c r="J592" s="2">
        <v>9475.18</v>
      </c>
      <c r="K592" s="16">
        <f>Table13[[#This Row],[Profit]]/Table13[[#This Row],[Sales]]</f>
        <v>0.24934684210526317</v>
      </c>
      <c r="L592" s="17" t="str">
        <f t="shared" si="63"/>
        <v>High</v>
      </c>
      <c r="M592" s="17" t="str">
        <f t="shared" si="64"/>
        <v>Aug</v>
      </c>
      <c r="N592" s="18">
        <f>YEAR(Table13[[#This Row],[Order_Date]])</f>
        <v>2023</v>
      </c>
      <c r="O592" s="18">
        <f>Table13[[#This Row],[Price]]*0.7</f>
        <v>3325</v>
      </c>
      <c r="P592" s="18">
        <f t="shared" si="65"/>
        <v>11400</v>
      </c>
      <c r="Q592" s="18">
        <f t="shared" si="66"/>
        <v>0.1</v>
      </c>
      <c r="R592" s="18">
        <f t="shared" si="67"/>
        <v>28524.82</v>
      </c>
      <c r="S592" s="18" t="str">
        <f>IF(Table13[[#This Row],[Quantity]]&lt;=3,"Small",IF(Table13[[#This Row],[Quantity]]&lt;=6,"Medium","Bulk"))</f>
        <v>Bulk</v>
      </c>
      <c r="T592" s="18" t="str">
        <f t="shared" si="68"/>
        <v>Normal</v>
      </c>
      <c r="U592" s="18" t="str">
        <f t="shared" si="69"/>
        <v>High Value</v>
      </c>
    </row>
    <row r="593" spans="1:21" x14ac:dyDescent="0.3">
      <c r="A593" t="s">
        <v>601</v>
      </c>
      <c r="B593" s="1">
        <v>44964</v>
      </c>
      <c r="C593" t="s">
        <v>1213</v>
      </c>
      <c r="D593" t="s">
        <v>1214</v>
      </c>
      <c r="E593" t="s">
        <v>1221</v>
      </c>
      <c r="F593" t="s">
        <v>1235</v>
      </c>
      <c r="G593" s="6">
        <v>1</v>
      </c>
      <c r="H593">
        <v>1405</v>
      </c>
      <c r="I593">
        <v>1405</v>
      </c>
      <c r="J593" s="2">
        <v>281.23</v>
      </c>
      <c r="K593" s="16">
        <f>Table13[[#This Row],[Profit]]/Table13[[#This Row],[Sales]]</f>
        <v>0.20016370106761566</v>
      </c>
      <c r="L593" s="17" t="str">
        <f t="shared" si="63"/>
        <v>Low</v>
      </c>
      <c r="M593" s="17" t="str">
        <f t="shared" si="64"/>
        <v>Feb</v>
      </c>
      <c r="N593" s="18">
        <f>YEAR(Table13[[#This Row],[Order_Date]])</f>
        <v>2023</v>
      </c>
      <c r="O593" s="18">
        <f>Table13[[#This Row],[Price]]*0.7</f>
        <v>983.49999999999989</v>
      </c>
      <c r="P593" s="18">
        <f t="shared" si="65"/>
        <v>421.50000000000011</v>
      </c>
      <c r="Q593" s="18">
        <f t="shared" si="66"/>
        <v>0.05</v>
      </c>
      <c r="R593" s="18">
        <f t="shared" si="67"/>
        <v>1123.77</v>
      </c>
      <c r="S593" s="18" t="str">
        <f>IF(Table13[[#This Row],[Quantity]]&lt;=3,"Small",IF(Table13[[#This Row],[Quantity]]&lt;=6,"Medium","Bulk"))</f>
        <v>Small</v>
      </c>
      <c r="T593" s="18" t="str">
        <f t="shared" si="68"/>
        <v>Normal</v>
      </c>
      <c r="U593" s="18" t="str">
        <f t="shared" si="69"/>
        <v>low Value</v>
      </c>
    </row>
    <row r="594" spans="1:21" x14ac:dyDescent="0.3">
      <c r="A594" t="s">
        <v>602</v>
      </c>
      <c r="B594" s="1">
        <v>45277</v>
      </c>
      <c r="C594" t="s">
        <v>1210</v>
      </c>
      <c r="D594" t="s">
        <v>1215</v>
      </c>
      <c r="E594" t="s">
        <v>1221</v>
      </c>
      <c r="F594" t="s">
        <v>1226</v>
      </c>
      <c r="G594" s="6">
        <v>3</v>
      </c>
      <c r="H594">
        <v>4660</v>
      </c>
      <c r="I594">
        <v>13980</v>
      </c>
      <c r="J594" s="2">
        <v>2225.48</v>
      </c>
      <c r="K594" s="16">
        <f>Table13[[#This Row],[Profit]]/Table13[[#This Row],[Sales]]</f>
        <v>0.15919027181688125</v>
      </c>
      <c r="L594" s="17" t="str">
        <f t="shared" si="63"/>
        <v>Medium</v>
      </c>
      <c r="M594" s="17" t="str">
        <f t="shared" si="64"/>
        <v>Dec</v>
      </c>
      <c r="N594" s="18">
        <f>YEAR(Table13[[#This Row],[Order_Date]])</f>
        <v>2023</v>
      </c>
      <c r="O594" s="18">
        <f>Table13[[#This Row],[Price]]*0.7</f>
        <v>3262</v>
      </c>
      <c r="P594" s="18">
        <f t="shared" si="65"/>
        <v>4194</v>
      </c>
      <c r="Q594" s="18">
        <f t="shared" si="66"/>
        <v>0.05</v>
      </c>
      <c r="R594" s="18">
        <f t="shared" si="67"/>
        <v>11754.52</v>
      </c>
      <c r="S594" s="18" t="str">
        <f>IF(Table13[[#This Row],[Quantity]]&lt;=3,"Small",IF(Table13[[#This Row],[Quantity]]&lt;=6,"Medium","Bulk"))</f>
        <v>Small</v>
      </c>
      <c r="T594" s="18" t="str">
        <f t="shared" si="68"/>
        <v>Normal</v>
      </c>
      <c r="U594" s="18" t="str">
        <f t="shared" si="69"/>
        <v>Medium Value</v>
      </c>
    </row>
    <row r="595" spans="1:21" x14ac:dyDescent="0.3">
      <c r="A595" t="s">
        <v>603</v>
      </c>
      <c r="B595" s="1">
        <v>45230</v>
      </c>
      <c r="C595" t="s">
        <v>1212</v>
      </c>
      <c r="D595" t="s">
        <v>1214</v>
      </c>
      <c r="E595" t="s">
        <v>1222</v>
      </c>
      <c r="F595" t="s">
        <v>1234</v>
      </c>
      <c r="G595" s="6">
        <v>3</v>
      </c>
      <c r="H595">
        <v>2706</v>
      </c>
      <c r="I595">
        <v>8118</v>
      </c>
      <c r="J595" s="2">
        <v>1146.8499999999999</v>
      </c>
      <c r="K595" s="16">
        <f>Table13[[#This Row],[Profit]]/Table13[[#This Row],[Sales]]</f>
        <v>0.14127248090662722</v>
      </c>
      <c r="L595" s="17" t="str">
        <f t="shared" si="63"/>
        <v>Low</v>
      </c>
      <c r="M595" s="17" t="str">
        <f t="shared" si="64"/>
        <v>Oct</v>
      </c>
      <c r="N595" s="18">
        <f>YEAR(Table13[[#This Row],[Order_Date]])</f>
        <v>2023</v>
      </c>
      <c r="O595" s="18">
        <f>Table13[[#This Row],[Price]]*0.7</f>
        <v>1894.1999999999998</v>
      </c>
      <c r="P595" s="18">
        <f t="shared" si="65"/>
        <v>2435.4000000000005</v>
      </c>
      <c r="Q595" s="18">
        <f t="shared" si="66"/>
        <v>0.05</v>
      </c>
      <c r="R595" s="18">
        <f t="shared" si="67"/>
        <v>6971.15</v>
      </c>
      <c r="S595" s="18" t="str">
        <f>IF(Table13[[#This Row],[Quantity]]&lt;=3,"Small",IF(Table13[[#This Row],[Quantity]]&lt;=6,"Medium","Bulk"))</f>
        <v>Small</v>
      </c>
      <c r="T595" s="18" t="str">
        <f t="shared" si="68"/>
        <v>High Demand</v>
      </c>
      <c r="U595" s="18" t="str">
        <f t="shared" si="69"/>
        <v>low Value</v>
      </c>
    </row>
    <row r="596" spans="1:21" x14ac:dyDescent="0.3">
      <c r="A596" t="s">
        <v>604</v>
      </c>
      <c r="B596" s="1">
        <v>45282</v>
      </c>
      <c r="C596" t="s">
        <v>1213</v>
      </c>
      <c r="D596" t="s">
        <v>1214</v>
      </c>
      <c r="E596" t="s">
        <v>1220</v>
      </c>
      <c r="F596" t="s">
        <v>1225</v>
      </c>
      <c r="G596" s="6">
        <v>8</v>
      </c>
      <c r="H596">
        <v>313</v>
      </c>
      <c r="I596">
        <v>2504</v>
      </c>
      <c r="J596" s="2">
        <v>500.92</v>
      </c>
      <c r="K596" s="16">
        <f>Table13[[#This Row],[Profit]]/Table13[[#This Row],[Sales]]</f>
        <v>0.2000479233226837</v>
      </c>
      <c r="L596" s="17" t="str">
        <f t="shared" si="63"/>
        <v>Low</v>
      </c>
      <c r="M596" s="17" t="str">
        <f t="shared" si="64"/>
        <v>Dec</v>
      </c>
      <c r="N596" s="18">
        <f>YEAR(Table13[[#This Row],[Order_Date]])</f>
        <v>2023</v>
      </c>
      <c r="O596" s="18">
        <f>Table13[[#This Row],[Price]]*0.7</f>
        <v>219.1</v>
      </c>
      <c r="P596" s="18">
        <f t="shared" si="65"/>
        <v>751.2</v>
      </c>
      <c r="Q596" s="18">
        <f t="shared" si="66"/>
        <v>0.1</v>
      </c>
      <c r="R596" s="18">
        <f t="shared" si="67"/>
        <v>2003.08</v>
      </c>
      <c r="S596" s="18" t="str">
        <f>IF(Table13[[#This Row],[Quantity]]&lt;=3,"Small",IF(Table13[[#This Row],[Quantity]]&lt;=6,"Medium","Bulk"))</f>
        <v>Bulk</v>
      </c>
      <c r="T596" s="18" t="str">
        <f t="shared" si="68"/>
        <v>Normal</v>
      </c>
      <c r="U596" s="18" t="str">
        <f t="shared" si="69"/>
        <v>low Value</v>
      </c>
    </row>
    <row r="597" spans="1:21" x14ac:dyDescent="0.3">
      <c r="A597" t="s">
        <v>605</v>
      </c>
      <c r="B597" s="1">
        <v>44951</v>
      </c>
      <c r="C597" t="s">
        <v>1213</v>
      </c>
      <c r="D597" t="s">
        <v>1215</v>
      </c>
      <c r="E597" t="s">
        <v>1220</v>
      </c>
      <c r="F597" t="s">
        <v>1237</v>
      </c>
      <c r="G597" s="6">
        <v>3</v>
      </c>
      <c r="H597">
        <v>3396</v>
      </c>
      <c r="I597">
        <v>10188</v>
      </c>
      <c r="J597" s="2">
        <v>1831.59</v>
      </c>
      <c r="K597" s="16">
        <f>Table13[[#This Row],[Profit]]/Table13[[#This Row],[Sales]]</f>
        <v>0.17977915194346289</v>
      </c>
      <c r="L597" s="17" t="str">
        <f t="shared" si="63"/>
        <v>Medium</v>
      </c>
      <c r="M597" s="17" t="str">
        <f t="shared" si="64"/>
        <v>Jan</v>
      </c>
      <c r="N597" s="18">
        <f>YEAR(Table13[[#This Row],[Order_Date]])</f>
        <v>2023</v>
      </c>
      <c r="O597" s="18">
        <f>Table13[[#This Row],[Price]]*0.7</f>
        <v>2377.1999999999998</v>
      </c>
      <c r="P597" s="18">
        <f t="shared" si="65"/>
        <v>3056.4000000000005</v>
      </c>
      <c r="Q597" s="18">
        <f t="shared" si="66"/>
        <v>0.05</v>
      </c>
      <c r="R597" s="18">
        <f t="shared" si="67"/>
        <v>8356.41</v>
      </c>
      <c r="S597" s="18" t="str">
        <f>IF(Table13[[#This Row],[Quantity]]&lt;=3,"Small",IF(Table13[[#This Row],[Quantity]]&lt;=6,"Medium","Bulk"))</f>
        <v>Small</v>
      </c>
      <c r="T597" s="18" t="str">
        <f t="shared" si="68"/>
        <v>Normal</v>
      </c>
      <c r="U597" s="18" t="str">
        <f t="shared" si="69"/>
        <v>Medium Value</v>
      </c>
    </row>
    <row r="598" spans="1:21" x14ac:dyDescent="0.3">
      <c r="A598" t="s">
        <v>606</v>
      </c>
      <c r="B598" s="1">
        <v>44987</v>
      </c>
      <c r="C598" t="s">
        <v>1210</v>
      </c>
      <c r="D598" t="s">
        <v>1218</v>
      </c>
      <c r="E598" t="s">
        <v>1222</v>
      </c>
      <c r="F598" t="s">
        <v>1227</v>
      </c>
      <c r="G598" s="6">
        <v>3</v>
      </c>
      <c r="H598">
        <v>2930</v>
      </c>
      <c r="I598">
        <v>8790</v>
      </c>
      <c r="J598" s="2">
        <v>1713.53</v>
      </c>
      <c r="K598" s="16">
        <f>Table13[[#This Row],[Profit]]/Table13[[#This Row],[Sales]]</f>
        <v>0.19494084186575653</v>
      </c>
      <c r="L598" s="17" t="str">
        <f t="shared" si="63"/>
        <v>Low</v>
      </c>
      <c r="M598" s="17" t="str">
        <f t="shared" si="64"/>
        <v>Mar</v>
      </c>
      <c r="N598" s="18">
        <f>YEAR(Table13[[#This Row],[Order_Date]])</f>
        <v>2023</v>
      </c>
      <c r="O598" s="18">
        <f>Table13[[#This Row],[Price]]*0.7</f>
        <v>2051</v>
      </c>
      <c r="P598" s="18">
        <f t="shared" si="65"/>
        <v>2637</v>
      </c>
      <c r="Q598" s="18">
        <f t="shared" si="66"/>
        <v>0.05</v>
      </c>
      <c r="R598" s="18">
        <f t="shared" si="67"/>
        <v>7076.47</v>
      </c>
      <c r="S598" s="18" t="str">
        <f>IF(Table13[[#This Row],[Quantity]]&lt;=3,"Small",IF(Table13[[#This Row],[Quantity]]&lt;=6,"Medium","Bulk"))</f>
        <v>Small</v>
      </c>
      <c r="T598" s="18" t="str">
        <f t="shared" si="68"/>
        <v>Normal</v>
      </c>
      <c r="U598" s="18" t="str">
        <f t="shared" si="69"/>
        <v>low Value</v>
      </c>
    </row>
    <row r="599" spans="1:21" x14ac:dyDescent="0.3">
      <c r="A599" t="s">
        <v>607</v>
      </c>
      <c r="B599" s="1">
        <v>45036</v>
      </c>
      <c r="C599" t="s">
        <v>1211</v>
      </c>
      <c r="D599" t="s">
        <v>1216</v>
      </c>
      <c r="E599" t="s">
        <v>1221</v>
      </c>
      <c r="F599" t="s">
        <v>1239</v>
      </c>
      <c r="G599" s="6">
        <v>3</v>
      </c>
      <c r="H599">
        <v>3102</v>
      </c>
      <c r="I599">
        <v>9306</v>
      </c>
      <c r="J599" s="2">
        <v>2212.88</v>
      </c>
      <c r="K599" s="16">
        <f>Table13[[#This Row],[Profit]]/Table13[[#This Row],[Sales]]</f>
        <v>0.23779067268428972</v>
      </c>
      <c r="L599" s="17" t="str">
        <f t="shared" si="63"/>
        <v>Low</v>
      </c>
      <c r="M599" s="17" t="str">
        <f t="shared" si="64"/>
        <v>Apr</v>
      </c>
      <c r="N599" s="18">
        <f>YEAR(Table13[[#This Row],[Order_Date]])</f>
        <v>2023</v>
      </c>
      <c r="O599" s="18">
        <f>Table13[[#This Row],[Price]]*0.7</f>
        <v>2171.3999999999996</v>
      </c>
      <c r="P599" s="18">
        <f t="shared" si="65"/>
        <v>2791.8000000000011</v>
      </c>
      <c r="Q599" s="18">
        <f t="shared" si="66"/>
        <v>0.05</v>
      </c>
      <c r="R599" s="18">
        <f t="shared" si="67"/>
        <v>7093.119999999999</v>
      </c>
      <c r="S599" s="18" t="str">
        <f>IF(Table13[[#This Row],[Quantity]]&lt;=3,"Small",IF(Table13[[#This Row],[Quantity]]&lt;=6,"Medium","Bulk"))</f>
        <v>Small</v>
      </c>
      <c r="T599" s="18" t="str">
        <f t="shared" si="68"/>
        <v>Normal</v>
      </c>
      <c r="U599" s="18" t="str">
        <f t="shared" si="69"/>
        <v>low Value</v>
      </c>
    </row>
    <row r="600" spans="1:21" x14ac:dyDescent="0.3">
      <c r="A600" t="s">
        <v>608</v>
      </c>
      <c r="B600" s="1">
        <v>44976</v>
      </c>
      <c r="C600" t="s">
        <v>1213</v>
      </c>
      <c r="D600" t="s">
        <v>1218</v>
      </c>
      <c r="E600" t="s">
        <v>1222</v>
      </c>
      <c r="F600" t="s">
        <v>1227</v>
      </c>
      <c r="G600" s="6">
        <v>5</v>
      </c>
      <c r="H600">
        <v>3834</v>
      </c>
      <c r="I600">
        <v>19170</v>
      </c>
      <c r="J600" s="2">
        <v>2977.49</v>
      </c>
      <c r="K600" s="16">
        <f>Table13[[#This Row],[Profit]]/Table13[[#This Row],[Sales]]</f>
        <v>0.15532029212310902</v>
      </c>
      <c r="L600" s="17" t="str">
        <f t="shared" si="63"/>
        <v>Medium</v>
      </c>
      <c r="M600" s="17" t="str">
        <f t="shared" si="64"/>
        <v>Feb</v>
      </c>
      <c r="N600" s="18">
        <f>YEAR(Table13[[#This Row],[Order_Date]])</f>
        <v>2023</v>
      </c>
      <c r="O600" s="18">
        <f>Table13[[#This Row],[Price]]*0.7</f>
        <v>2683.7999999999997</v>
      </c>
      <c r="P600" s="18">
        <f t="shared" si="65"/>
        <v>5751.0000000000018</v>
      </c>
      <c r="Q600" s="18">
        <f t="shared" si="66"/>
        <v>0.05</v>
      </c>
      <c r="R600" s="18">
        <f t="shared" si="67"/>
        <v>16192.51</v>
      </c>
      <c r="S600" s="18" t="str">
        <f>IF(Table13[[#This Row],[Quantity]]&lt;=3,"Small",IF(Table13[[#This Row],[Quantity]]&lt;=6,"Medium","Bulk"))</f>
        <v>Medium</v>
      </c>
      <c r="T600" s="18" t="str">
        <f t="shared" si="68"/>
        <v>Normal</v>
      </c>
      <c r="U600" s="18" t="str">
        <f t="shared" si="69"/>
        <v>Medium Value</v>
      </c>
    </row>
    <row r="601" spans="1:21" x14ac:dyDescent="0.3">
      <c r="A601" t="s">
        <v>609</v>
      </c>
      <c r="B601" s="1">
        <v>45115</v>
      </c>
      <c r="C601" t="s">
        <v>1211</v>
      </c>
      <c r="D601" t="s">
        <v>1214</v>
      </c>
      <c r="E601" t="s">
        <v>1220</v>
      </c>
      <c r="F601" t="s">
        <v>1224</v>
      </c>
      <c r="G601" s="6">
        <v>6</v>
      </c>
      <c r="H601">
        <v>1237</v>
      </c>
      <c r="I601">
        <v>7422</v>
      </c>
      <c r="J601" s="2">
        <v>661.07</v>
      </c>
      <c r="K601" s="16">
        <f>Table13[[#This Row],[Profit]]/Table13[[#This Row],[Sales]]</f>
        <v>8.90689841013204E-2</v>
      </c>
      <c r="L601" s="17" t="str">
        <f t="shared" si="63"/>
        <v>Low</v>
      </c>
      <c r="M601" s="17" t="str">
        <f t="shared" si="64"/>
        <v>Jul</v>
      </c>
      <c r="N601" s="18">
        <f>YEAR(Table13[[#This Row],[Order_Date]])</f>
        <v>2023</v>
      </c>
      <c r="O601" s="18">
        <f>Table13[[#This Row],[Price]]*0.7</f>
        <v>865.9</v>
      </c>
      <c r="P601" s="18">
        <f t="shared" si="65"/>
        <v>2226.6000000000004</v>
      </c>
      <c r="Q601" s="18">
        <f t="shared" si="66"/>
        <v>0.1</v>
      </c>
      <c r="R601" s="18">
        <f t="shared" si="67"/>
        <v>6760.93</v>
      </c>
      <c r="S601" s="18" t="str">
        <f>IF(Table13[[#This Row],[Quantity]]&lt;=3,"Small",IF(Table13[[#This Row],[Quantity]]&lt;=6,"Medium","Bulk"))</f>
        <v>Medium</v>
      </c>
      <c r="T601" s="18" t="str">
        <f t="shared" si="68"/>
        <v>Normal</v>
      </c>
      <c r="U601" s="18" t="str">
        <f t="shared" si="69"/>
        <v>low Value</v>
      </c>
    </row>
    <row r="602" spans="1:21" x14ac:dyDescent="0.3">
      <c r="A602" t="s">
        <v>610</v>
      </c>
      <c r="B602" s="1">
        <v>45059</v>
      </c>
      <c r="C602" t="s">
        <v>1210</v>
      </c>
      <c r="D602" t="s">
        <v>1218</v>
      </c>
      <c r="E602" t="s">
        <v>1219</v>
      </c>
      <c r="F602" t="s">
        <v>1233</v>
      </c>
      <c r="G602" s="6">
        <v>2</v>
      </c>
      <c r="H602">
        <v>1298</v>
      </c>
      <c r="I602">
        <v>2596</v>
      </c>
      <c r="J602" s="2">
        <v>281.54000000000002</v>
      </c>
      <c r="K602" s="16">
        <f>Table13[[#This Row],[Profit]]/Table13[[#This Row],[Sales]]</f>
        <v>0.10845146379044684</v>
      </c>
      <c r="L602" s="17" t="str">
        <f t="shared" si="63"/>
        <v>Low</v>
      </c>
      <c r="M602" s="17" t="str">
        <f t="shared" si="64"/>
        <v>May</v>
      </c>
      <c r="N602" s="18">
        <f>YEAR(Table13[[#This Row],[Order_Date]])</f>
        <v>2023</v>
      </c>
      <c r="O602" s="18">
        <f>Table13[[#This Row],[Price]]*0.7</f>
        <v>908.59999999999991</v>
      </c>
      <c r="P602" s="18">
        <f t="shared" si="65"/>
        <v>778.80000000000018</v>
      </c>
      <c r="Q602" s="18">
        <f t="shared" si="66"/>
        <v>0.05</v>
      </c>
      <c r="R602" s="18">
        <f t="shared" si="67"/>
        <v>2314.46</v>
      </c>
      <c r="S602" s="18" t="str">
        <f>IF(Table13[[#This Row],[Quantity]]&lt;=3,"Small",IF(Table13[[#This Row],[Quantity]]&lt;=6,"Medium","Bulk"))</f>
        <v>Small</v>
      </c>
      <c r="T602" s="18" t="str">
        <f t="shared" si="68"/>
        <v>Normal</v>
      </c>
      <c r="U602" s="18" t="str">
        <f t="shared" si="69"/>
        <v>low Value</v>
      </c>
    </row>
    <row r="603" spans="1:21" x14ac:dyDescent="0.3">
      <c r="A603" t="s">
        <v>611</v>
      </c>
      <c r="B603" s="1">
        <v>45247</v>
      </c>
      <c r="C603" t="s">
        <v>1213</v>
      </c>
      <c r="D603" t="s">
        <v>1216</v>
      </c>
      <c r="E603" t="s">
        <v>1219</v>
      </c>
      <c r="F603" t="s">
        <v>1238</v>
      </c>
      <c r="G603" s="6">
        <v>9</v>
      </c>
      <c r="H603">
        <v>2705</v>
      </c>
      <c r="I603">
        <v>24345</v>
      </c>
      <c r="J603" s="2">
        <v>4243.26</v>
      </c>
      <c r="K603" s="16">
        <f>Table13[[#This Row],[Profit]]/Table13[[#This Row],[Sales]]</f>
        <v>0.17429698089956872</v>
      </c>
      <c r="L603" s="17" t="str">
        <f t="shared" si="63"/>
        <v>High</v>
      </c>
      <c r="M603" s="17" t="str">
        <f t="shared" si="64"/>
        <v>Nov</v>
      </c>
      <c r="N603" s="18">
        <f>YEAR(Table13[[#This Row],[Order_Date]])</f>
        <v>2023</v>
      </c>
      <c r="O603" s="18">
        <f>Table13[[#This Row],[Price]]*0.7</f>
        <v>1893.4999999999998</v>
      </c>
      <c r="P603" s="18">
        <f t="shared" si="65"/>
        <v>7303.5000000000036</v>
      </c>
      <c r="Q603" s="18">
        <f t="shared" si="66"/>
        <v>0.1</v>
      </c>
      <c r="R603" s="18">
        <f t="shared" si="67"/>
        <v>20101.740000000002</v>
      </c>
      <c r="S603" s="18" t="str">
        <f>IF(Table13[[#This Row],[Quantity]]&lt;=3,"Small",IF(Table13[[#This Row],[Quantity]]&lt;=6,"Medium","Bulk"))</f>
        <v>Bulk</v>
      </c>
      <c r="T603" s="18" t="str">
        <f t="shared" si="68"/>
        <v>Normal</v>
      </c>
      <c r="U603" s="18" t="str">
        <f t="shared" si="69"/>
        <v>High Value</v>
      </c>
    </row>
    <row r="604" spans="1:21" x14ac:dyDescent="0.3">
      <c r="A604" t="s">
        <v>612</v>
      </c>
      <c r="B604" s="1">
        <v>45135</v>
      </c>
      <c r="C604" t="s">
        <v>1212</v>
      </c>
      <c r="D604" t="s">
        <v>1217</v>
      </c>
      <c r="E604" t="s">
        <v>1222</v>
      </c>
      <c r="F604" t="s">
        <v>1227</v>
      </c>
      <c r="G604" s="6">
        <v>8</v>
      </c>
      <c r="H604">
        <v>4701</v>
      </c>
      <c r="I604">
        <v>37608</v>
      </c>
      <c r="J604" s="2">
        <v>5918.72</v>
      </c>
      <c r="K604" s="16">
        <f>Table13[[#This Row],[Profit]]/Table13[[#This Row],[Sales]]</f>
        <v>0.15737928100404169</v>
      </c>
      <c r="L604" s="17" t="str">
        <f t="shared" si="63"/>
        <v>High</v>
      </c>
      <c r="M604" s="17" t="str">
        <f t="shared" si="64"/>
        <v>Jul</v>
      </c>
      <c r="N604" s="18">
        <f>YEAR(Table13[[#This Row],[Order_Date]])</f>
        <v>2023</v>
      </c>
      <c r="O604" s="18">
        <f>Table13[[#This Row],[Price]]*0.7</f>
        <v>3290.7</v>
      </c>
      <c r="P604" s="18">
        <f t="shared" si="65"/>
        <v>11282.400000000001</v>
      </c>
      <c r="Q604" s="18">
        <f t="shared" si="66"/>
        <v>0.1</v>
      </c>
      <c r="R604" s="18">
        <f t="shared" si="67"/>
        <v>31689.279999999999</v>
      </c>
      <c r="S604" s="18" t="str">
        <f>IF(Table13[[#This Row],[Quantity]]&lt;=3,"Small",IF(Table13[[#This Row],[Quantity]]&lt;=6,"Medium","Bulk"))</f>
        <v>Bulk</v>
      </c>
      <c r="T604" s="18" t="str">
        <f t="shared" si="68"/>
        <v>High Demand</v>
      </c>
      <c r="U604" s="18" t="str">
        <f t="shared" si="69"/>
        <v>High Value</v>
      </c>
    </row>
    <row r="605" spans="1:21" x14ac:dyDescent="0.3">
      <c r="A605" t="s">
        <v>613</v>
      </c>
      <c r="B605" s="1">
        <v>45133</v>
      </c>
      <c r="C605" t="s">
        <v>1213</v>
      </c>
      <c r="D605" t="s">
        <v>1216</v>
      </c>
      <c r="E605" t="s">
        <v>1221</v>
      </c>
      <c r="F605" t="s">
        <v>1229</v>
      </c>
      <c r="G605" s="6">
        <v>1</v>
      </c>
      <c r="H605">
        <v>574</v>
      </c>
      <c r="I605">
        <v>574</v>
      </c>
      <c r="J605" s="2">
        <v>62.65</v>
      </c>
      <c r="K605" s="16">
        <f>Table13[[#This Row],[Profit]]/Table13[[#This Row],[Sales]]</f>
        <v>0.10914634146341463</v>
      </c>
      <c r="L605" s="17" t="str">
        <f t="shared" si="63"/>
        <v>Low</v>
      </c>
      <c r="M605" s="17" t="str">
        <f t="shared" si="64"/>
        <v>Jul</v>
      </c>
      <c r="N605" s="18">
        <f>YEAR(Table13[[#This Row],[Order_Date]])</f>
        <v>2023</v>
      </c>
      <c r="O605" s="18">
        <f>Table13[[#This Row],[Price]]*0.7</f>
        <v>401.79999999999995</v>
      </c>
      <c r="P605" s="18">
        <f t="shared" si="65"/>
        <v>172.20000000000005</v>
      </c>
      <c r="Q605" s="18">
        <f t="shared" si="66"/>
        <v>0.05</v>
      </c>
      <c r="R605" s="18">
        <f t="shared" si="67"/>
        <v>511.35</v>
      </c>
      <c r="S605" s="18" t="str">
        <f>IF(Table13[[#This Row],[Quantity]]&lt;=3,"Small",IF(Table13[[#This Row],[Quantity]]&lt;=6,"Medium","Bulk"))</f>
        <v>Small</v>
      </c>
      <c r="T605" s="18" t="str">
        <f t="shared" si="68"/>
        <v>Normal</v>
      </c>
      <c r="U605" s="18" t="str">
        <f t="shared" si="69"/>
        <v>low Value</v>
      </c>
    </row>
    <row r="606" spans="1:21" x14ac:dyDescent="0.3">
      <c r="A606" t="s">
        <v>614</v>
      </c>
      <c r="B606" s="1">
        <v>44939</v>
      </c>
      <c r="C606" t="s">
        <v>1212</v>
      </c>
      <c r="D606" t="s">
        <v>1217</v>
      </c>
      <c r="E606" t="s">
        <v>1220</v>
      </c>
      <c r="F606" t="s">
        <v>1225</v>
      </c>
      <c r="G606" s="6">
        <v>3</v>
      </c>
      <c r="H606">
        <v>3455</v>
      </c>
      <c r="I606">
        <v>10365</v>
      </c>
      <c r="J606" s="2">
        <v>2509.38</v>
      </c>
      <c r="K606" s="16">
        <f>Table13[[#This Row],[Profit]]/Table13[[#This Row],[Sales]]</f>
        <v>0.24210130246020262</v>
      </c>
      <c r="L606" s="17" t="str">
        <f t="shared" si="63"/>
        <v>Medium</v>
      </c>
      <c r="M606" s="17" t="str">
        <f t="shared" si="64"/>
        <v>Jan</v>
      </c>
      <c r="N606" s="18">
        <f>YEAR(Table13[[#This Row],[Order_Date]])</f>
        <v>2023</v>
      </c>
      <c r="O606" s="18">
        <f>Table13[[#This Row],[Price]]*0.7</f>
        <v>2418.5</v>
      </c>
      <c r="P606" s="18">
        <f t="shared" si="65"/>
        <v>3109.5</v>
      </c>
      <c r="Q606" s="18">
        <f t="shared" si="66"/>
        <v>0.05</v>
      </c>
      <c r="R606" s="18">
        <f t="shared" si="67"/>
        <v>7855.6200000000008</v>
      </c>
      <c r="S606" s="18" t="str">
        <f>IF(Table13[[#This Row],[Quantity]]&lt;=3,"Small",IF(Table13[[#This Row],[Quantity]]&lt;=6,"Medium","Bulk"))</f>
        <v>Small</v>
      </c>
      <c r="T606" s="18" t="str">
        <f t="shared" si="68"/>
        <v>High Demand</v>
      </c>
      <c r="U606" s="18" t="str">
        <f t="shared" si="69"/>
        <v>Medium Value</v>
      </c>
    </row>
    <row r="607" spans="1:21" x14ac:dyDescent="0.3">
      <c r="A607" t="s">
        <v>615</v>
      </c>
      <c r="B607" s="1">
        <v>45001</v>
      </c>
      <c r="C607" t="s">
        <v>1213</v>
      </c>
      <c r="D607" t="s">
        <v>1216</v>
      </c>
      <c r="E607" t="s">
        <v>1222</v>
      </c>
      <c r="F607" t="s">
        <v>1234</v>
      </c>
      <c r="G607" s="6">
        <v>6</v>
      </c>
      <c r="H607">
        <v>4075</v>
      </c>
      <c r="I607">
        <v>24450</v>
      </c>
      <c r="J607" s="2">
        <v>2282.5300000000002</v>
      </c>
      <c r="K607" s="16">
        <f>Table13[[#This Row],[Profit]]/Table13[[#This Row],[Sales]]</f>
        <v>9.3355010224948881E-2</v>
      </c>
      <c r="L607" s="17" t="str">
        <f t="shared" si="63"/>
        <v>High</v>
      </c>
      <c r="M607" s="17" t="str">
        <f t="shared" si="64"/>
        <v>Mar</v>
      </c>
      <c r="N607" s="18">
        <f>YEAR(Table13[[#This Row],[Order_Date]])</f>
        <v>2023</v>
      </c>
      <c r="O607" s="18">
        <f>Table13[[#This Row],[Price]]*0.7</f>
        <v>2852.5</v>
      </c>
      <c r="P607" s="18">
        <f t="shared" si="65"/>
        <v>7335</v>
      </c>
      <c r="Q607" s="18">
        <f t="shared" si="66"/>
        <v>0.1</v>
      </c>
      <c r="R607" s="18">
        <f t="shared" si="67"/>
        <v>22167.47</v>
      </c>
      <c r="S607" s="18" t="str">
        <f>IF(Table13[[#This Row],[Quantity]]&lt;=3,"Small",IF(Table13[[#This Row],[Quantity]]&lt;=6,"Medium","Bulk"))</f>
        <v>Medium</v>
      </c>
      <c r="T607" s="18" t="str">
        <f t="shared" si="68"/>
        <v>Normal</v>
      </c>
      <c r="U607" s="18" t="str">
        <f t="shared" si="69"/>
        <v>High Value</v>
      </c>
    </row>
    <row r="608" spans="1:21" x14ac:dyDescent="0.3">
      <c r="A608" t="s">
        <v>616</v>
      </c>
      <c r="B608" s="1">
        <v>45135</v>
      </c>
      <c r="C608" t="s">
        <v>1213</v>
      </c>
      <c r="D608" t="s">
        <v>1216</v>
      </c>
      <c r="E608" t="s">
        <v>1221</v>
      </c>
      <c r="F608" t="s">
        <v>1235</v>
      </c>
      <c r="G608" s="6">
        <v>6</v>
      </c>
      <c r="H608">
        <v>4591</v>
      </c>
      <c r="I608">
        <v>27546</v>
      </c>
      <c r="J608" s="2">
        <v>3284.45</v>
      </c>
      <c r="K608" s="16">
        <f>Table13[[#This Row],[Profit]]/Table13[[#This Row],[Sales]]</f>
        <v>0.11923509765483191</v>
      </c>
      <c r="L608" s="17" t="str">
        <f t="shared" si="63"/>
        <v>High</v>
      </c>
      <c r="M608" s="17" t="str">
        <f t="shared" si="64"/>
        <v>Jul</v>
      </c>
      <c r="N608" s="18">
        <f>YEAR(Table13[[#This Row],[Order_Date]])</f>
        <v>2023</v>
      </c>
      <c r="O608" s="18">
        <f>Table13[[#This Row],[Price]]*0.7</f>
        <v>3213.7</v>
      </c>
      <c r="P608" s="18">
        <f t="shared" si="65"/>
        <v>8263.8000000000029</v>
      </c>
      <c r="Q608" s="18">
        <f t="shared" si="66"/>
        <v>0.1</v>
      </c>
      <c r="R608" s="18">
        <f t="shared" si="67"/>
        <v>24261.550000000003</v>
      </c>
      <c r="S608" s="18" t="str">
        <f>IF(Table13[[#This Row],[Quantity]]&lt;=3,"Small",IF(Table13[[#This Row],[Quantity]]&lt;=6,"Medium","Bulk"))</f>
        <v>Medium</v>
      </c>
      <c r="T608" s="18" t="str">
        <f t="shared" si="68"/>
        <v>Normal</v>
      </c>
      <c r="U608" s="18" t="str">
        <f t="shared" si="69"/>
        <v>High Value</v>
      </c>
    </row>
    <row r="609" spans="1:21" x14ac:dyDescent="0.3">
      <c r="A609" t="s">
        <v>617</v>
      </c>
      <c r="B609" s="1">
        <v>45165</v>
      </c>
      <c r="C609" t="s">
        <v>1213</v>
      </c>
      <c r="D609" t="s">
        <v>1214</v>
      </c>
      <c r="E609" t="s">
        <v>1221</v>
      </c>
      <c r="F609" t="s">
        <v>1235</v>
      </c>
      <c r="G609" s="6">
        <v>7</v>
      </c>
      <c r="H609">
        <v>1175</v>
      </c>
      <c r="I609">
        <v>8225</v>
      </c>
      <c r="J609" s="2">
        <v>1864.69</v>
      </c>
      <c r="K609" s="16">
        <f>Table13[[#This Row],[Profit]]/Table13[[#This Row],[Sales]]</f>
        <v>0.22671003039513679</v>
      </c>
      <c r="L609" s="17" t="str">
        <f t="shared" si="63"/>
        <v>Low</v>
      </c>
      <c r="M609" s="17" t="str">
        <f t="shared" si="64"/>
        <v>Aug</v>
      </c>
      <c r="N609" s="18">
        <f>YEAR(Table13[[#This Row],[Order_Date]])</f>
        <v>2023</v>
      </c>
      <c r="O609" s="18">
        <f>Table13[[#This Row],[Price]]*0.7</f>
        <v>822.5</v>
      </c>
      <c r="P609" s="18">
        <f t="shared" si="65"/>
        <v>2467.5</v>
      </c>
      <c r="Q609" s="18">
        <f t="shared" si="66"/>
        <v>0.1</v>
      </c>
      <c r="R609" s="18">
        <f t="shared" si="67"/>
        <v>6360.3099999999995</v>
      </c>
      <c r="S609" s="18" t="str">
        <f>IF(Table13[[#This Row],[Quantity]]&lt;=3,"Small",IF(Table13[[#This Row],[Quantity]]&lt;=6,"Medium","Bulk"))</f>
        <v>Bulk</v>
      </c>
      <c r="T609" s="18" t="str">
        <f t="shared" si="68"/>
        <v>Normal</v>
      </c>
      <c r="U609" s="18" t="str">
        <f t="shared" si="69"/>
        <v>low Value</v>
      </c>
    </row>
    <row r="610" spans="1:21" x14ac:dyDescent="0.3">
      <c r="A610" t="s">
        <v>618</v>
      </c>
      <c r="B610" s="1">
        <v>45105</v>
      </c>
      <c r="C610" t="s">
        <v>1213</v>
      </c>
      <c r="D610" t="s">
        <v>1215</v>
      </c>
      <c r="E610" t="s">
        <v>1222</v>
      </c>
      <c r="F610" t="s">
        <v>1227</v>
      </c>
      <c r="G610" s="6">
        <v>8</v>
      </c>
      <c r="H610">
        <v>3527</v>
      </c>
      <c r="I610">
        <v>28216</v>
      </c>
      <c r="J610" s="2">
        <v>6107.32</v>
      </c>
      <c r="K610" s="16">
        <f>Table13[[#This Row],[Profit]]/Table13[[#This Row],[Sales]]</f>
        <v>0.21644882336263113</v>
      </c>
      <c r="L610" s="17" t="str">
        <f t="shared" si="63"/>
        <v>High</v>
      </c>
      <c r="M610" s="17" t="str">
        <f t="shared" si="64"/>
        <v>Jun</v>
      </c>
      <c r="N610" s="18">
        <f>YEAR(Table13[[#This Row],[Order_Date]])</f>
        <v>2023</v>
      </c>
      <c r="O610" s="18">
        <f>Table13[[#This Row],[Price]]*0.7</f>
        <v>2468.8999999999996</v>
      </c>
      <c r="P610" s="18">
        <f t="shared" si="65"/>
        <v>8464.8000000000029</v>
      </c>
      <c r="Q610" s="18">
        <f t="shared" si="66"/>
        <v>0.1</v>
      </c>
      <c r="R610" s="18">
        <f t="shared" si="67"/>
        <v>22108.68</v>
      </c>
      <c r="S610" s="18" t="str">
        <f>IF(Table13[[#This Row],[Quantity]]&lt;=3,"Small",IF(Table13[[#This Row],[Quantity]]&lt;=6,"Medium","Bulk"))</f>
        <v>Bulk</v>
      </c>
      <c r="T610" s="18" t="str">
        <f t="shared" si="68"/>
        <v>Normal</v>
      </c>
      <c r="U610" s="18" t="str">
        <f t="shared" si="69"/>
        <v>High Value</v>
      </c>
    </row>
    <row r="611" spans="1:21" x14ac:dyDescent="0.3">
      <c r="A611" t="s">
        <v>619</v>
      </c>
      <c r="B611" s="1">
        <v>45148</v>
      </c>
      <c r="C611" t="s">
        <v>1211</v>
      </c>
      <c r="D611" t="s">
        <v>1216</v>
      </c>
      <c r="E611" t="s">
        <v>1220</v>
      </c>
      <c r="F611" t="s">
        <v>1239</v>
      </c>
      <c r="G611" s="6">
        <v>7</v>
      </c>
      <c r="H611">
        <v>1430</v>
      </c>
      <c r="I611">
        <v>10010</v>
      </c>
      <c r="J611" s="2">
        <v>2242.8000000000002</v>
      </c>
      <c r="K611" s="16">
        <f>Table13[[#This Row],[Profit]]/Table13[[#This Row],[Sales]]</f>
        <v>0.22405594405594406</v>
      </c>
      <c r="L611" s="17" t="str">
        <f t="shared" si="63"/>
        <v>Medium</v>
      </c>
      <c r="M611" s="17" t="str">
        <f t="shared" si="64"/>
        <v>Aug</v>
      </c>
      <c r="N611" s="18">
        <f>YEAR(Table13[[#This Row],[Order_Date]])</f>
        <v>2023</v>
      </c>
      <c r="O611" s="18">
        <f>Table13[[#This Row],[Price]]*0.7</f>
        <v>1000.9999999999999</v>
      </c>
      <c r="P611" s="18">
        <f t="shared" si="65"/>
        <v>3003.0000000000009</v>
      </c>
      <c r="Q611" s="18">
        <f t="shared" si="66"/>
        <v>0.1</v>
      </c>
      <c r="R611" s="18">
        <f t="shared" si="67"/>
        <v>7767.2</v>
      </c>
      <c r="S611" s="18" t="str">
        <f>IF(Table13[[#This Row],[Quantity]]&lt;=3,"Small",IF(Table13[[#This Row],[Quantity]]&lt;=6,"Medium","Bulk"))</f>
        <v>Bulk</v>
      </c>
      <c r="T611" s="18" t="str">
        <f t="shared" si="68"/>
        <v>Normal</v>
      </c>
      <c r="U611" s="18" t="str">
        <f t="shared" si="69"/>
        <v>Medium Value</v>
      </c>
    </row>
    <row r="612" spans="1:21" x14ac:dyDescent="0.3">
      <c r="A612" t="s">
        <v>620</v>
      </c>
      <c r="B612" s="1">
        <v>45276</v>
      </c>
      <c r="C612" t="s">
        <v>1212</v>
      </c>
      <c r="D612" t="s">
        <v>1214</v>
      </c>
      <c r="E612" t="s">
        <v>1221</v>
      </c>
      <c r="F612" t="s">
        <v>1235</v>
      </c>
      <c r="G612" s="6">
        <v>5</v>
      </c>
      <c r="H612">
        <v>4056</v>
      </c>
      <c r="I612">
        <v>20280</v>
      </c>
      <c r="J612" s="2">
        <v>4561.6400000000003</v>
      </c>
      <c r="K612" s="16">
        <f>Table13[[#This Row],[Profit]]/Table13[[#This Row],[Sales]]</f>
        <v>0.22493293885601578</v>
      </c>
      <c r="L612" s="17" t="str">
        <f t="shared" si="63"/>
        <v>High</v>
      </c>
      <c r="M612" s="17" t="str">
        <f t="shared" si="64"/>
        <v>Dec</v>
      </c>
      <c r="N612" s="18">
        <f>YEAR(Table13[[#This Row],[Order_Date]])</f>
        <v>2023</v>
      </c>
      <c r="O612" s="18">
        <f>Table13[[#This Row],[Price]]*0.7</f>
        <v>2839.2</v>
      </c>
      <c r="P612" s="18">
        <f t="shared" si="65"/>
        <v>6084</v>
      </c>
      <c r="Q612" s="18">
        <f t="shared" si="66"/>
        <v>0.05</v>
      </c>
      <c r="R612" s="18">
        <f t="shared" si="67"/>
        <v>15718.36</v>
      </c>
      <c r="S612" s="18" t="str">
        <f>IF(Table13[[#This Row],[Quantity]]&lt;=3,"Small",IF(Table13[[#This Row],[Quantity]]&lt;=6,"Medium","Bulk"))</f>
        <v>Medium</v>
      </c>
      <c r="T612" s="18" t="str">
        <f t="shared" si="68"/>
        <v>High Demand</v>
      </c>
      <c r="U612" s="18" t="str">
        <f t="shared" si="69"/>
        <v>High Value</v>
      </c>
    </row>
    <row r="613" spans="1:21" x14ac:dyDescent="0.3">
      <c r="A613" t="s">
        <v>621</v>
      </c>
      <c r="B613" s="1">
        <v>45216</v>
      </c>
      <c r="C613" t="s">
        <v>1210</v>
      </c>
      <c r="D613" t="s">
        <v>1216</v>
      </c>
      <c r="E613" t="s">
        <v>1220</v>
      </c>
      <c r="F613" t="s">
        <v>1237</v>
      </c>
      <c r="G613" s="6">
        <v>2</v>
      </c>
      <c r="H613">
        <v>1294</v>
      </c>
      <c r="I613">
        <v>2588</v>
      </c>
      <c r="J613" s="2">
        <v>299.77999999999997</v>
      </c>
      <c r="K613" s="16">
        <f>Table13[[#This Row],[Profit]]/Table13[[#This Row],[Sales]]</f>
        <v>0.11583462132921174</v>
      </c>
      <c r="L613" s="17" t="str">
        <f t="shared" si="63"/>
        <v>Low</v>
      </c>
      <c r="M613" s="17" t="str">
        <f t="shared" si="64"/>
        <v>Oct</v>
      </c>
      <c r="N613" s="18">
        <f>YEAR(Table13[[#This Row],[Order_Date]])</f>
        <v>2023</v>
      </c>
      <c r="O613" s="18">
        <f>Table13[[#This Row],[Price]]*0.7</f>
        <v>905.8</v>
      </c>
      <c r="P613" s="18">
        <f t="shared" si="65"/>
        <v>776.40000000000009</v>
      </c>
      <c r="Q613" s="18">
        <f t="shared" si="66"/>
        <v>0.05</v>
      </c>
      <c r="R613" s="18">
        <f t="shared" si="67"/>
        <v>2288.2199999999998</v>
      </c>
      <c r="S613" s="18" t="str">
        <f>IF(Table13[[#This Row],[Quantity]]&lt;=3,"Small",IF(Table13[[#This Row],[Quantity]]&lt;=6,"Medium","Bulk"))</f>
        <v>Small</v>
      </c>
      <c r="T613" s="18" t="str">
        <f t="shared" si="68"/>
        <v>Normal</v>
      </c>
      <c r="U613" s="18" t="str">
        <f t="shared" si="69"/>
        <v>low Value</v>
      </c>
    </row>
    <row r="614" spans="1:21" x14ac:dyDescent="0.3">
      <c r="A614" t="s">
        <v>622</v>
      </c>
      <c r="B614" s="1">
        <v>45010</v>
      </c>
      <c r="C614" t="s">
        <v>1210</v>
      </c>
      <c r="D614" t="s">
        <v>1215</v>
      </c>
      <c r="E614" t="s">
        <v>1220</v>
      </c>
      <c r="F614" t="s">
        <v>1225</v>
      </c>
      <c r="G614" s="6">
        <v>8</v>
      </c>
      <c r="H614">
        <v>4859</v>
      </c>
      <c r="I614">
        <v>38872</v>
      </c>
      <c r="J614" s="2">
        <v>6007.19</v>
      </c>
      <c r="K614" s="16">
        <f>Table13[[#This Row],[Profit]]/Table13[[#This Row],[Sales]]</f>
        <v>0.15453771352130066</v>
      </c>
      <c r="L614" s="17" t="str">
        <f t="shared" si="63"/>
        <v>High</v>
      </c>
      <c r="M614" s="17" t="str">
        <f t="shared" si="64"/>
        <v>Mar</v>
      </c>
      <c r="N614" s="18">
        <f>YEAR(Table13[[#This Row],[Order_Date]])</f>
        <v>2023</v>
      </c>
      <c r="O614" s="18">
        <f>Table13[[#This Row],[Price]]*0.7</f>
        <v>3401.2999999999997</v>
      </c>
      <c r="P614" s="18">
        <f t="shared" si="65"/>
        <v>11661.600000000002</v>
      </c>
      <c r="Q614" s="18">
        <f t="shared" si="66"/>
        <v>0.1</v>
      </c>
      <c r="R614" s="18">
        <f t="shared" si="67"/>
        <v>32864.810000000005</v>
      </c>
      <c r="S614" s="18" t="str">
        <f>IF(Table13[[#This Row],[Quantity]]&lt;=3,"Small",IF(Table13[[#This Row],[Quantity]]&lt;=6,"Medium","Bulk"))</f>
        <v>Bulk</v>
      </c>
      <c r="T614" s="18" t="str">
        <f t="shared" si="68"/>
        <v>Normal</v>
      </c>
      <c r="U614" s="18" t="str">
        <f t="shared" si="69"/>
        <v>High Value</v>
      </c>
    </row>
    <row r="615" spans="1:21" x14ac:dyDescent="0.3">
      <c r="A615" t="s">
        <v>623</v>
      </c>
      <c r="B615" s="1">
        <v>44982</v>
      </c>
      <c r="C615" t="s">
        <v>1210</v>
      </c>
      <c r="D615" t="s">
        <v>1214</v>
      </c>
      <c r="E615" t="s">
        <v>1220</v>
      </c>
      <c r="F615" t="s">
        <v>1228</v>
      </c>
      <c r="G615" s="6">
        <v>8</v>
      </c>
      <c r="H615">
        <v>783</v>
      </c>
      <c r="I615">
        <v>6264</v>
      </c>
      <c r="J615" s="2">
        <v>969.39</v>
      </c>
      <c r="K615" s="16">
        <f>Table13[[#This Row],[Profit]]/Table13[[#This Row],[Sales]]</f>
        <v>0.15475574712643678</v>
      </c>
      <c r="L615" s="17" t="str">
        <f t="shared" si="63"/>
        <v>Low</v>
      </c>
      <c r="M615" s="17" t="str">
        <f t="shared" si="64"/>
        <v>Feb</v>
      </c>
      <c r="N615" s="18">
        <f>YEAR(Table13[[#This Row],[Order_Date]])</f>
        <v>2023</v>
      </c>
      <c r="O615" s="18">
        <f>Table13[[#This Row],[Price]]*0.7</f>
        <v>548.09999999999991</v>
      </c>
      <c r="P615" s="18">
        <f t="shared" si="65"/>
        <v>1879.2000000000007</v>
      </c>
      <c r="Q615" s="18">
        <f t="shared" si="66"/>
        <v>0.1</v>
      </c>
      <c r="R615" s="18">
        <f t="shared" si="67"/>
        <v>5294.61</v>
      </c>
      <c r="S615" s="18" t="str">
        <f>IF(Table13[[#This Row],[Quantity]]&lt;=3,"Small",IF(Table13[[#This Row],[Quantity]]&lt;=6,"Medium","Bulk"))</f>
        <v>Bulk</v>
      </c>
      <c r="T615" s="18" t="str">
        <f t="shared" si="68"/>
        <v>Normal</v>
      </c>
      <c r="U615" s="18" t="str">
        <f t="shared" si="69"/>
        <v>low Value</v>
      </c>
    </row>
    <row r="616" spans="1:21" x14ac:dyDescent="0.3">
      <c r="A616" t="s">
        <v>624</v>
      </c>
      <c r="B616" s="1">
        <v>45064</v>
      </c>
      <c r="C616" t="s">
        <v>1210</v>
      </c>
      <c r="D616" t="s">
        <v>1216</v>
      </c>
      <c r="E616" t="s">
        <v>1220</v>
      </c>
      <c r="F616" t="s">
        <v>1224</v>
      </c>
      <c r="G616" s="6">
        <v>8</v>
      </c>
      <c r="H616">
        <v>1061</v>
      </c>
      <c r="I616">
        <v>8488</v>
      </c>
      <c r="J616" s="2">
        <v>708.65</v>
      </c>
      <c r="K616" s="16">
        <f>Table13[[#This Row],[Profit]]/Table13[[#This Row],[Sales]]</f>
        <v>8.3488454288407163E-2</v>
      </c>
      <c r="L616" s="17" t="str">
        <f t="shared" si="63"/>
        <v>Low</v>
      </c>
      <c r="M616" s="17" t="str">
        <f t="shared" si="64"/>
        <v>May</v>
      </c>
      <c r="N616" s="18">
        <f>YEAR(Table13[[#This Row],[Order_Date]])</f>
        <v>2023</v>
      </c>
      <c r="O616" s="18">
        <f>Table13[[#This Row],[Price]]*0.7</f>
        <v>742.69999999999993</v>
      </c>
      <c r="P616" s="18">
        <f t="shared" si="65"/>
        <v>2546.4000000000005</v>
      </c>
      <c r="Q616" s="18">
        <f t="shared" si="66"/>
        <v>0.1</v>
      </c>
      <c r="R616" s="18">
        <f t="shared" si="67"/>
        <v>7779.35</v>
      </c>
      <c r="S616" s="18" t="str">
        <f>IF(Table13[[#This Row],[Quantity]]&lt;=3,"Small",IF(Table13[[#This Row],[Quantity]]&lt;=6,"Medium","Bulk"))</f>
        <v>Bulk</v>
      </c>
      <c r="T616" s="18" t="str">
        <f t="shared" si="68"/>
        <v>Normal</v>
      </c>
      <c r="U616" s="18" t="str">
        <f t="shared" si="69"/>
        <v>low Value</v>
      </c>
    </row>
    <row r="617" spans="1:21" x14ac:dyDescent="0.3">
      <c r="A617" t="s">
        <v>625</v>
      </c>
      <c r="B617" s="1">
        <v>44930</v>
      </c>
      <c r="C617" t="s">
        <v>1210</v>
      </c>
      <c r="D617" t="s">
        <v>1217</v>
      </c>
      <c r="E617" t="s">
        <v>1222</v>
      </c>
      <c r="F617" t="s">
        <v>1236</v>
      </c>
      <c r="G617" s="6">
        <v>4</v>
      </c>
      <c r="H617">
        <v>2348</v>
      </c>
      <c r="I617">
        <v>9392</v>
      </c>
      <c r="J617" s="2">
        <v>1022.97</v>
      </c>
      <c r="K617" s="16">
        <f>Table13[[#This Row],[Profit]]/Table13[[#This Row],[Sales]]</f>
        <v>0.10891929301533219</v>
      </c>
      <c r="L617" s="17" t="str">
        <f t="shared" si="63"/>
        <v>Low</v>
      </c>
      <c r="M617" s="17" t="str">
        <f t="shared" si="64"/>
        <v>Jan</v>
      </c>
      <c r="N617" s="18">
        <f>YEAR(Table13[[#This Row],[Order_Date]])</f>
        <v>2023</v>
      </c>
      <c r="O617" s="18">
        <f>Table13[[#This Row],[Price]]*0.7</f>
        <v>1643.6</v>
      </c>
      <c r="P617" s="18">
        <f t="shared" si="65"/>
        <v>2817.6000000000004</v>
      </c>
      <c r="Q617" s="18">
        <f t="shared" si="66"/>
        <v>0.05</v>
      </c>
      <c r="R617" s="18">
        <f t="shared" si="67"/>
        <v>8369.0300000000007</v>
      </c>
      <c r="S617" s="18" t="str">
        <f>IF(Table13[[#This Row],[Quantity]]&lt;=3,"Small",IF(Table13[[#This Row],[Quantity]]&lt;=6,"Medium","Bulk"))</f>
        <v>Medium</v>
      </c>
      <c r="T617" s="18" t="str">
        <f t="shared" si="68"/>
        <v>Normal</v>
      </c>
      <c r="U617" s="18" t="str">
        <f t="shared" si="69"/>
        <v>low Value</v>
      </c>
    </row>
    <row r="618" spans="1:21" x14ac:dyDescent="0.3">
      <c r="A618" t="s">
        <v>626</v>
      </c>
      <c r="B618" s="1">
        <v>45204</v>
      </c>
      <c r="C618" t="s">
        <v>1211</v>
      </c>
      <c r="D618" t="s">
        <v>1214</v>
      </c>
      <c r="E618" t="s">
        <v>1221</v>
      </c>
      <c r="F618" t="s">
        <v>1229</v>
      </c>
      <c r="G618" s="6">
        <v>8</v>
      </c>
      <c r="H618">
        <v>4166</v>
      </c>
      <c r="I618">
        <v>33328</v>
      </c>
      <c r="J618" s="2">
        <v>4203.7299999999996</v>
      </c>
      <c r="K618" s="16">
        <f>Table13[[#This Row],[Profit]]/Table13[[#This Row],[Sales]]</f>
        <v>0.12613208113298127</v>
      </c>
      <c r="L618" s="17" t="str">
        <f t="shared" si="63"/>
        <v>High</v>
      </c>
      <c r="M618" s="17" t="str">
        <f t="shared" si="64"/>
        <v>Oct</v>
      </c>
      <c r="N618" s="18">
        <f>YEAR(Table13[[#This Row],[Order_Date]])</f>
        <v>2023</v>
      </c>
      <c r="O618" s="18">
        <f>Table13[[#This Row],[Price]]*0.7</f>
        <v>2916.2</v>
      </c>
      <c r="P618" s="18">
        <f t="shared" si="65"/>
        <v>9998.4000000000015</v>
      </c>
      <c r="Q618" s="18">
        <f t="shared" si="66"/>
        <v>0.1</v>
      </c>
      <c r="R618" s="18">
        <f t="shared" si="67"/>
        <v>29124.27</v>
      </c>
      <c r="S618" s="18" t="str">
        <f>IF(Table13[[#This Row],[Quantity]]&lt;=3,"Small",IF(Table13[[#This Row],[Quantity]]&lt;=6,"Medium","Bulk"))</f>
        <v>Bulk</v>
      </c>
      <c r="T618" s="18" t="str">
        <f t="shared" si="68"/>
        <v>Normal</v>
      </c>
      <c r="U618" s="18" t="str">
        <f t="shared" si="69"/>
        <v>High Value</v>
      </c>
    </row>
    <row r="619" spans="1:21" x14ac:dyDescent="0.3">
      <c r="A619" t="s">
        <v>627</v>
      </c>
      <c r="B619" s="1">
        <v>45054</v>
      </c>
      <c r="C619" t="s">
        <v>1211</v>
      </c>
      <c r="D619" t="s">
        <v>1214</v>
      </c>
      <c r="E619" t="s">
        <v>1221</v>
      </c>
      <c r="F619" t="s">
        <v>1229</v>
      </c>
      <c r="G619" s="6">
        <v>5</v>
      </c>
      <c r="H619">
        <v>4781</v>
      </c>
      <c r="I619">
        <v>23905</v>
      </c>
      <c r="J619" s="2">
        <v>5084.46</v>
      </c>
      <c r="K619" s="16">
        <f>Table13[[#This Row],[Profit]]/Table13[[#This Row],[Sales]]</f>
        <v>0.21269441539426898</v>
      </c>
      <c r="L619" s="17" t="str">
        <f t="shared" si="63"/>
        <v>High</v>
      </c>
      <c r="M619" s="17" t="str">
        <f t="shared" si="64"/>
        <v>May</v>
      </c>
      <c r="N619" s="18">
        <f>YEAR(Table13[[#This Row],[Order_Date]])</f>
        <v>2023</v>
      </c>
      <c r="O619" s="18">
        <f>Table13[[#This Row],[Price]]*0.7</f>
        <v>3346.7</v>
      </c>
      <c r="P619" s="18">
        <f t="shared" si="65"/>
        <v>7171.5</v>
      </c>
      <c r="Q619" s="18">
        <f t="shared" si="66"/>
        <v>0.05</v>
      </c>
      <c r="R619" s="18">
        <f t="shared" si="67"/>
        <v>18820.54</v>
      </c>
      <c r="S619" s="18" t="str">
        <f>IF(Table13[[#This Row],[Quantity]]&lt;=3,"Small",IF(Table13[[#This Row],[Quantity]]&lt;=6,"Medium","Bulk"))</f>
        <v>Medium</v>
      </c>
      <c r="T619" s="18" t="str">
        <f t="shared" si="68"/>
        <v>Normal</v>
      </c>
      <c r="U619" s="18" t="str">
        <f t="shared" si="69"/>
        <v>High Value</v>
      </c>
    </row>
    <row r="620" spans="1:21" x14ac:dyDescent="0.3">
      <c r="A620" t="s">
        <v>628</v>
      </c>
      <c r="B620" s="1">
        <v>45149</v>
      </c>
      <c r="C620" t="s">
        <v>1210</v>
      </c>
      <c r="D620" t="s">
        <v>1217</v>
      </c>
      <c r="E620" t="s">
        <v>1221</v>
      </c>
      <c r="F620" t="s">
        <v>1226</v>
      </c>
      <c r="G620" s="6">
        <v>7</v>
      </c>
      <c r="H620">
        <v>3416</v>
      </c>
      <c r="I620">
        <v>23912</v>
      </c>
      <c r="J620" s="2">
        <v>3708.68</v>
      </c>
      <c r="K620" s="16">
        <f>Table13[[#This Row],[Profit]]/Table13[[#This Row],[Sales]]</f>
        <v>0.15509702241552359</v>
      </c>
      <c r="L620" s="17" t="str">
        <f t="shared" si="63"/>
        <v>High</v>
      </c>
      <c r="M620" s="17" t="str">
        <f t="shared" si="64"/>
        <v>Aug</v>
      </c>
      <c r="N620" s="18">
        <f>YEAR(Table13[[#This Row],[Order_Date]])</f>
        <v>2023</v>
      </c>
      <c r="O620" s="18">
        <f>Table13[[#This Row],[Price]]*0.7</f>
        <v>2391.1999999999998</v>
      </c>
      <c r="P620" s="18">
        <f t="shared" si="65"/>
        <v>7173.6000000000022</v>
      </c>
      <c r="Q620" s="18">
        <f t="shared" si="66"/>
        <v>0.1</v>
      </c>
      <c r="R620" s="18">
        <f t="shared" si="67"/>
        <v>20203.32</v>
      </c>
      <c r="S620" s="18" t="str">
        <f>IF(Table13[[#This Row],[Quantity]]&lt;=3,"Small",IF(Table13[[#This Row],[Quantity]]&lt;=6,"Medium","Bulk"))</f>
        <v>Bulk</v>
      </c>
      <c r="T620" s="18" t="str">
        <f t="shared" si="68"/>
        <v>Normal</v>
      </c>
      <c r="U620" s="18" t="str">
        <f t="shared" si="69"/>
        <v>High Value</v>
      </c>
    </row>
    <row r="621" spans="1:21" x14ac:dyDescent="0.3">
      <c r="A621" t="s">
        <v>629</v>
      </c>
      <c r="B621" s="1">
        <v>45015</v>
      </c>
      <c r="C621" t="s">
        <v>1213</v>
      </c>
      <c r="D621" t="s">
        <v>1217</v>
      </c>
      <c r="E621" t="s">
        <v>1222</v>
      </c>
      <c r="F621" t="s">
        <v>1227</v>
      </c>
      <c r="G621" s="6">
        <v>5</v>
      </c>
      <c r="H621">
        <v>425</v>
      </c>
      <c r="I621">
        <v>2125</v>
      </c>
      <c r="J621" s="2">
        <v>335.61</v>
      </c>
      <c r="K621" s="16">
        <f>Table13[[#This Row],[Profit]]/Table13[[#This Row],[Sales]]</f>
        <v>0.15793411764705884</v>
      </c>
      <c r="L621" s="17" t="str">
        <f t="shared" si="63"/>
        <v>Low</v>
      </c>
      <c r="M621" s="17" t="str">
        <f t="shared" si="64"/>
        <v>Mar</v>
      </c>
      <c r="N621" s="18">
        <f>YEAR(Table13[[#This Row],[Order_Date]])</f>
        <v>2023</v>
      </c>
      <c r="O621" s="18">
        <f>Table13[[#This Row],[Price]]*0.7</f>
        <v>297.5</v>
      </c>
      <c r="P621" s="18">
        <f t="shared" si="65"/>
        <v>637.5</v>
      </c>
      <c r="Q621" s="18">
        <f t="shared" si="66"/>
        <v>0.05</v>
      </c>
      <c r="R621" s="18">
        <f t="shared" si="67"/>
        <v>1789.39</v>
      </c>
      <c r="S621" s="18" t="str">
        <f>IF(Table13[[#This Row],[Quantity]]&lt;=3,"Small",IF(Table13[[#This Row],[Quantity]]&lt;=6,"Medium","Bulk"))</f>
        <v>Medium</v>
      </c>
      <c r="T621" s="18" t="str">
        <f t="shared" si="68"/>
        <v>Normal</v>
      </c>
      <c r="U621" s="18" t="str">
        <f t="shared" si="69"/>
        <v>low Value</v>
      </c>
    </row>
    <row r="622" spans="1:21" x14ac:dyDescent="0.3">
      <c r="A622" t="s">
        <v>630</v>
      </c>
      <c r="B622" s="1">
        <v>45245</v>
      </c>
      <c r="C622" t="s">
        <v>1210</v>
      </c>
      <c r="D622" t="s">
        <v>1215</v>
      </c>
      <c r="E622" t="s">
        <v>1219</v>
      </c>
      <c r="F622" t="s">
        <v>1223</v>
      </c>
      <c r="G622" s="6">
        <v>8</v>
      </c>
      <c r="H622">
        <v>2353</v>
      </c>
      <c r="I622">
        <v>18824</v>
      </c>
      <c r="J622" s="2">
        <v>2510.35</v>
      </c>
      <c r="K622" s="16">
        <f>Table13[[#This Row],[Profit]]/Table13[[#This Row],[Sales]]</f>
        <v>0.13335900977475562</v>
      </c>
      <c r="L622" s="17" t="str">
        <f t="shared" si="63"/>
        <v>Medium</v>
      </c>
      <c r="M622" s="17" t="str">
        <f t="shared" si="64"/>
        <v>Nov</v>
      </c>
      <c r="N622" s="18">
        <f>YEAR(Table13[[#This Row],[Order_Date]])</f>
        <v>2023</v>
      </c>
      <c r="O622" s="18">
        <f>Table13[[#This Row],[Price]]*0.7</f>
        <v>1647.1</v>
      </c>
      <c r="P622" s="18">
        <f t="shared" si="65"/>
        <v>5647.2000000000007</v>
      </c>
      <c r="Q622" s="18">
        <f t="shared" si="66"/>
        <v>0.1</v>
      </c>
      <c r="R622" s="18">
        <f t="shared" si="67"/>
        <v>16313.65</v>
      </c>
      <c r="S622" s="18" t="str">
        <f>IF(Table13[[#This Row],[Quantity]]&lt;=3,"Small",IF(Table13[[#This Row],[Quantity]]&lt;=6,"Medium","Bulk"))</f>
        <v>Bulk</v>
      </c>
      <c r="T622" s="18" t="str">
        <f t="shared" si="68"/>
        <v>Normal</v>
      </c>
      <c r="U622" s="18" t="str">
        <f t="shared" si="69"/>
        <v>Medium Value</v>
      </c>
    </row>
    <row r="623" spans="1:21" x14ac:dyDescent="0.3">
      <c r="A623" t="s">
        <v>631</v>
      </c>
      <c r="B623" s="1">
        <v>45145</v>
      </c>
      <c r="C623" t="s">
        <v>1212</v>
      </c>
      <c r="D623" t="s">
        <v>1217</v>
      </c>
      <c r="E623" t="s">
        <v>1222</v>
      </c>
      <c r="F623" t="s">
        <v>1236</v>
      </c>
      <c r="G623" s="6">
        <v>9</v>
      </c>
      <c r="H623">
        <v>4335</v>
      </c>
      <c r="I623">
        <v>39015</v>
      </c>
      <c r="J623" s="2">
        <v>5584.98</v>
      </c>
      <c r="K623" s="16">
        <f>Table13[[#This Row],[Profit]]/Table13[[#This Row],[Sales]]</f>
        <v>0.14314955786236061</v>
      </c>
      <c r="L623" s="17" t="str">
        <f t="shared" si="63"/>
        <v>High</v>
      </c>
      <c r="M623" s="17" t="str">
        <f t="shared" si="64"/>
        <v>Aug</v>
      </c>
      <c r="N623" s="18">
        <f>YEAR(Table13[[#This Row],[Order_Date]])</f>
        <v>2023</v>
      </c>
      <c r="O623" s="18">
        <f>Table13[[#This Row],[Price]]*0.7</f>
        <v>3034.5</v>
      </c>
      <c r="P623" s="18">
        <f t="shared" si="65"/>
        <v>11704.5</v>
      </c>
      <c r="Q623" s="18">
        <f t="shared" si="66"/>
        <v>0.1</v>
      </c>
      <c r="R623" s="18">
        <f t="shared" si="67"/>
        <v>33430.020000000004</v>
      </c>
      <c r="S623" s="18" t="str">
        <f>IF(Table13[[#This Row],[Quantity]]&lt;=3,"Small",IF(Table13[[#This Row],[Quantity]]&lt;=6,"Medium","Bulk"))</f>
        <v>Bulk</v>
      </c>
      <c r="T623" s="18" t="str">
        <f t="shared" si="68"/>
        <v>High Demand</v>
      </c>
      <c r="U623" s="18" t="str">
        <f t="shared" si="69"/>
        <v>High Value</v>
      </c>
    </row>
    <row r="624" spans="1:21" x14ac:dyDescent="0.3">
      <c r="A624" t="s">
        <v>632</v>
      </c>
      <c r="B624" s="1">
        <v>44964</v>
      </c>
      <c r="C624" t="s">
        <v>1210</v>
      </c>
      <c r="D624" t="s">
        <v>1216</v>
      </c>
      <c r="E624" t="s">
        <v>1222</v>
      </c>
      <c r="F624" t="s">
        <v>1236</v>
      </c>
      <c r="G624" s="6">
        <v>9</v>
      </c>
      <c r="H624">
        <v>646</v>
      </c>
      <c r="I624">
        <v>5814</v>
      </c>
      <c r="J624" s="2">
        <v>1018.2</v>
      </c>
      <c r="K624" s="16">
        <f>Table13[[#This Row],[Profit]]/Table13[[#This Row],[Sales]]</f>
        <v>0.17512899896800826</v>
      </c>
      <c r="L624" s="17" t="str">
        <f t="shared" si="63"/>
        <v>Low</v>
      </c>
      <c r="M624" s="17" t="str">
        <f t="shared" si="64"/>
        <v>Feb</v>
      </c>
      <c r="N624" s="18">
        <f>YEAR(Table13[[#This Row],[Order_Date]])</f>
        <v>2023</v>
      </c>
      <c r="O624" s="18">
        <f>Table13[[#This Row],[Price]]*0.7</f>
        <v>452.2</v>
      </c>
      <c r="P624" s="18">
        <f t="shared" si="65"/>
        <v>1744.2000000000003</v>
      </c>
      <c r="Q624" s="18">
        <f t="shared" si="66"/>
        <v>0.1</v>
      </c>
      <c r="R624" s="18">
        <f t="shared" si="67"/>
        <v>4795.8</v>
      </c>
      <c r="S624" s="18" t="str">
        <f>IF(Table13[[#This Row],[Quantity]]&lt;=3,"Small",IF(Table13[[#This Row],[Quantity]]&lt;=6,"Medium","Bulk"))</f>
        <v>Bulk</v>
      </c>
      <c r="T624" s="18" t="str">
        <f t="shared" si="68"/>
        <v>Normal</v>
      </c>
      <c r="U624" s="18" t="str">
        <f t="shared" si="69"/>
        <v>low Value</v>
      </c>
    </row>
    <row r="625" spans="1:21" x14ac:dyDescent="0.3">
      <c r="A625" t="s">
        <v>633</v>
      </c>
      <c r="B625" s="1">
        <v>45221</v>
      </c>
      <c r="C625" t="s">
        <v>1213</v>
      </c>
      <c r="D625" t="s">
        <v>1214</v>
      </c>
      <c r="E625" t="s">
        <v>1219</v>
      </c>
      <c r="F625" t="s">
        <v>1232</v>
      </c>
      <c r="G625" s="6">
        <v>3</v>
      </c>
      <c r="H625">
        <v>4343</v>
      </c>
      <c r="I625">
        <v>13029</v>
      </c>
      <c r="J625" s="2">
        <v>1943.36</v>
      </c>
      <c r="K625" s="16">
        <f>Table13[[#This Row],[Profit]]/Table13[[#This Row],[Sales]]</f>
        <v>0.14915649704505332</v>
      </c>
      <c r="L625" s="17" t="str">
        <f t="shared" si="63"/>
        <v>Medium</v>
      </c>
      <c r="M625" s="17" t="str">
        <f t="shared" si="64"/>
        <v>Oct</v>
      </c>
      <c r="N625" s="18">
        <f>YEAR(Table13[[#This Row],[Order_Date]])</f>
        <v>2023</v>
      </c>
      <c r="O625" s="18">
        <f>Table13[[#This Row],[Price]]*0.7</f>
        <v>3040.1</v>
      </c>
      <c r="P625" s="18">
        <f t="shared" si="65"/>
        <v>3908.7000000000007</v>
      </c>
      <c r="Q625" s="18">
        <f t="shared" si="66"/>
        <v>0.05</v>
      </c>
      <c r="R625" s="18">
        <f t="shared" si="67"/>
        <v>11085.640000000001</v>
      </c>
      <c r="S625" s="18" t="str">
        <f>IF(Table13[[#This Row],[Quantity]]&lt;=3,"Small",IF(Table13[[#This Row],[Quantity]]&lt;=6,"Medium","Bulk"))</f>
        <v>Small</v>
      </c>
      <c r="T625" s="18" t="str">
        <f t="shared" si="68"/>
        <v>Normal</v>
      </c>
      <c r="U625" s="18" t="str">
        <f t="shared" si="69"/>
        <v>Medium Value</v>
      </c>
    </row>
    <row r="626" spans="1:21" x14ac:dyDescent="0.3">
      <c r="A626" t="s">
        <v>634</v>
      </c>
      <c r="B626" s="1">
        <v>45155</v>
      </c>
      <c r="C626" t="s">
        <v>1211</v>
      </c>
      <c r="D626" t="s">
        <v>1214</v>
      </c>
      <c r="E626" t="s">
        <v>1222</v>
      </c>
      <c r="F626" t="s">
        <v>1236</v>
      </c>
      <c r="G626" s="6">
        <v>8</v>
      </c>
      <c r="H626">
        <v>2132</v>
      </c>
      <c r="I626">
        <v>17056</v>
      </c>
      <c r="J626" s="2">
        <v>3944.72</v>
      </c>
      <c r="K626" s="16">
        <f>Table13[[#This Row],[Profit]]/Table13[[#This Row],[Sales]]</f>
        <v>0.23128048780487803</v>
      </c>
      <c r="L626" s="17" t="str">
        <f t="shared" si="63"/>
        <v>Medium</v>
      </c>
      <c r="M626" s="17" t="str">
        <f t="shared" si="64"/>
        <v>Aug</v>
      </c>
      <c r="N626" s="18">
        <f>YEAR(Table13[[#This Row],[Order_Date]])</f>
        <v>2023</v>
      </c>
      <c r="O626" s="18">
        <f>Table13[[#This Row],[Price]]*0.7</f>
        <v>1492.3999999999999</v>
      </c>
      <c r="P626" s="18">
        <f t="shared" si="65"/>
        <v>5116.8000000000011</v>
      </c>
      <c r="Q626" s="18">
        <f t="shared" si="66"/>
        <v>0.1</v>
      </c>
      <c r="R626" s="18">
        <f t="shared" si="67"/>
        <v>13111.28</v>
      </c>
      <c r="S626" s="18" t="str">
        <f>IF(Table13[[#This Row],[Quantity]]&lt;=3,"Small",IF(Table13[[#This Row],[Quantity]]&lt;=6,"Medium","Bulk"))</f>
        <v>Bulk</v>
      </c>
      <c r="T626" s="18" t="str">
        <f t="shared" si="68"/>
        <v>Normal</v>
      </c>
      <c r="U626" s="18" t="str">
        <f t="shared" si="69"/>
        <v>Medium Value</v>
      </c>
    </row>
    <row r="627" spans="1:21" x14ac:dyDescent="0.3">
      <c r="A627" t="s">
        <v>635</v>
      </c>
      <c r="B627" s="1">
        <v>44998</v>
      </c>
      <c r="C627" t="s">
        <v>1212</v>
      </c>
      <c r="D627" t="s">
        <v>1215</v>
      </c>
      <c r="E627" t="s">
        <v>1222</v>
      </c>
      <c r="F627" t="s">
        <v>1234</v>
      </c>
      <c r="G627" s="6">
        <v>6</v>
      </c>
      <c r="H627">
        <v>3403</v>
      </c>
      <c r="I627">
        <v>20418</v>
      </c>
      <c r="J627" s="2">
        <v>5001.1899999999996</v>
      </c>
      <c r="K627" s="16">
        <f>Table13[[#This Row],[Profit]]/Table13[[#This Row],[Sales]]</f>
        <v>0.24494024880007834</v>
      </c>
      <c r="L627" s="17" t="str">
        <f t="shared" si="63"/>
        <v>High</v>
      </c>
      <c r="M627" s="17" t="str">
        <f t="shared" si="64"/>
        <v>Mar</v>
      </c>
      <c r="N627" s="18">
        <f>YEAR(Table13[[#This Row],[Order_Date]])</f>
        <v>2023</v>
      </c>
      <c r="O627" s="18">
        <f>Table13[[#This Row],[Price]]*0.7</f>
        <v>2382.1</v>
      </c>
      <c r="P627" s="18">
        <f t="shared" si="65"/>
        <v>6125.4000000000015</v>
      </c>
      <c r="Q627" s="18">
        <f t="shared" si="66"/>
        <v>0.1</v>
      </c>
      <c r="R627" s="18">
        <f t="shared" si="67"/>
        <v>15416.81</v>
      </c>
      <c r="S627" s="18" t="str">
        <f>IF(Table13[[#This Row],[Quantity]]&lt;=3,"Small",IF(Table13[[#This Row],[Quantity]]&lt;=6,"Medium","Bulk"))</f>
        <v>Medium</v>
      </c>
      <c r="T627" s="18" t="str">
        <f t="shared" si="68"/>
        <v>High Demand</v>
      </c>
      <c r="U627" s="18" t="str">
        <f t="shared" si="69"/>
        <v>High Value</v>
      </c>
    </row>
    <row r="628" spans="1:21" x14ac:dyDescent="0.3">
      <c r="A628" t="s">
        <v>636</v>
      </c>
      <c r="B628" s="1">
        <v>45146</v>
      </c>
      <c r="C628" t="s">
        <v>1212</v>
      </c>
      <c r="D628" t="s">
        <v>1214</v>
      </c>
      <c r="E628" t="s">
        <v>1221</v>
      </c>
      <c r="F628" t="s">
        <v>1235</v>
      </c>
      <c r="G628" s="6">
        <v>6</v>
      </c>
      <c r="H628">
        <v>3462</v>
      </c>
      <c r="I628">
        <v>20772</v>
      </c>
      <c r="J628" s="2">
        <v>3677.67</v>
      </c>
      <c r="K628" s="16">
        <f>Table13[[#This Row],[Profit]]/Table13[[#This Row],[Sales]]</f>
        <v>0.17704939341421144</v>
      </c>
      <c r="L628" s="17" t="str">
        <f t="shared" si="63"/>
        <v>High</v>
      </c>
      <c r="M628" s="17" t="str">
        <f t="shared" si="64"/>
        <v>Aug</v>
      </c>
      <c r="N628" s="18">
        <f>YEAR(Table13[[#This Row],[Order_Date]])</f>
        <v>2023</v>
      </c>
      <c r="O628" s="18">
        <f>Table13[[#This Row],[Price]]*0.7</f>
        <v>2423.3999999999996</v>
      </c>
      <c r="P628" s="18">
        <f t="shared" si="65"/>
        <v>6231.6000000000022</v>
      </c>
      <c r="Q628" s="18">
        <f t="shared" si="66"/>
        <v>0.1</v>
      </c>
      <c r="R628" s="18">
        <f t="shared" si="67"/>
        <v>17094.329999999998</v>
      </c>
      <c r="S628" s="18" t="str">
        <f>IF(Table13[[#This Row],[Quantity]]&lt;=3,"Small",IF(Table13[[#This Row],[Quantity]]&lt;=6,"Medium","Bulk"))</f>
        <v>Medium</v>
      </c>
      <c r="T628" s="18" t="str">
        <f t="shared" si="68"/>
        <v>High Demand</v>
      </c>
      <c r="U628" s="18" t="str">
        <f t="shared" si="69"/>
        <v>High Value</v>
      </c>
    </row>
    <row r="629" spans="1:21" x14ac:dyDescent="0.3">
      <c r="A629" t="s">
        <v>637</v>
      </c>
      <c r="B629" s="1">
        <v>45022</v>
      </c>
      <c r="C629" t="s">
        <v>1212</v>
      </c>
      <c r="D629" t="s">
        <v>1218</v>
      </c>
      <c r="E629" t="s">
        <v>1221</v>
      </c>
      <c r="F629" t="s">
        <v>1235</v>
      </c>
      <c r="G629" s="6">
        <v>6</v>
      </c>
      <c r="H629">
        <v>2985</v>
      </c>
      <c r="I629">
        <v>17910</v>
      </c>
      <c r="J629" s="2">
        <v>4182.74</v>
      </c>
      <c r="K629" s="16">
        <f>Table13[[#This Row],[Profit]]/Table13[[#This Row],[Sales]]</f>
        <v>0.23354215522054717</v>
      </c>
      <c r="L629" s="17" t="str">
        <f t="shared" si="63"/>
        <v>Medium</v>
      </c>
      <c r="M629" s="17" t="str">
        <f t="shared" si="64"/>
        <v>Apr</v>
      </c>
      <c r="N629" s="18">
        <f>YEAR(Table13[[#This Row],[Order_Date]])</f>
        <v>2023</v>
      </c>
      <c r="O629" s="18">
        <f>Table13[[#This Row],[Price]]*0.7</f>
        <v>2089.5</v>
      </c>
      <c r="P629" s="18">
        <f t="shared" si="65"/>
        <v>5373</v>
      </c>
      <c r="Q629" s="18">
        <f t="shared" si="66"/>
        <v>0.1</v>
      </c>
      <c r="R629" s="18">
        <f t="shared" si="67"/>
        <v>13727.259999999998</v>
      </c>
      <c r="S629" s="18" t="str">
        <f>IF(Table13[[#This Row],[Quantity]]&lt;=3,"Small",IF(Table13[[#This Row],[Quantity]]&lt;=6,"Medium","Bulk"))</f>
        <v>Medium</v>
      </c>
      <c r="T629" s="18" t="str">
        <f t="shared" si="68"/>
        <v>High Demand</v>
      </c>
      <c r="U629" s="18" t="str">
        <f t="shared" si="69"/>
        <v>Medium Value</v>
      </c>
    </row>
    <row r="630" spans="1:21" x14ac:dyDescent="0.3">
      <c r="A630" t="s">
        <v>638</v>
      </c>
      <c r="B630" s="1">
        <v>45113</v>
      </c>
      <c r="C630" t="s">
        <v>1213</v>
      </c>
      <c r="D630" t="s">
        <v>1218</v>
      </c>
      <c r="E630" t="s">
        <v>1220</v>
      </c>
      <c r="F630" t="s">
        <v>1225</v>
      </c>
      <c r="G630" s="6">
        <v>3</v>
      </c>
      <c r="H630">
        <v>3153</v>
      </c>
      <c r="I630">
        <v>9459</v>
      </c>
      <c r="J630" s="2">
        <v>1347.5</v>
      </c>
      <c r="K630" s="16">
        <f>Table13[[#This Row],[Profit]]/Table13[[#This Row],[Sales]]</f>
        <v>0.14245691933608204</v>
      </c>
      <c r="L630" s="17" t="str">
        <f t="shared" si="63"/>
        <v>Low</v>
      </c>
      <c r="M630" s="17" t="str">
        <f t="shared" si="64"/>
        <v>Jul</v>
      </c>
      <c r="N630" s="18">
        <f>YEAR(Table13[[#This Row],[Order_Date]])</f>
        <v>2023</v>
      </c>
      <c r="O630" s="18">
        <f>Table13[[#This Row],[Price]]*0.7</f>
        <v>2207.1</v>
      </c>
      <c r="P630" s="18">
        <f t="shared" si="65"/>
        <v>2837.7000000000007</v>
      </c>
      <c r="Q630" s="18">
        <f t="shared" si="66"/>
        <v>0.05</v>
      </c>
      <c r="R630" s="18">
        <f t="shared" si="67"/>
        <v>8111.5</v>
      </c>
      <c r="S630" s="18" t="str">
        <f>IF(Table13[[#This Row],[Quantity]]&lt;=3,"Small",IF(Table13[[#This Row],[Quantity]]&lt;=6,"Medium","Bulk"))</f>
        <v>Small</v>
      </c>
      <c r="T630" s="18" t="str">
        <f t="shared" si="68"/>
        <v>Normal</v>
      </c>
      <c r="U630" s="18" t="str">
        <f t="shared" si="69"/>
        <v>low Value</v>
      </c>
    </row>
    <row r="631" spans="1:21" x14ac:dyDescent="0.3">
      <c r="A631" t="s">
        <v>639</v>
      </c>
      <c r="B631" s="1">
        <v>45213</v>
      </c>
      <c r="C631" t="s">
        <v>1211</v>
      </c>
      <c r="D631" t="s">
        <v>1215</v>
      </c>
      <c r="E631" t="s">
        <v>1219</v>
      </c>
      <c r="F631" t="s">
        <v>1238</v>
      </c>
      <c r="G631" s="6">
        <v>5</v>
      </c>
      <c r="H631">
        <v>507</v>
      </c>
      <c r="I631">
        <v>2535</v>
      </c>
      <c r="J631" s="2">
        <v>492.73</v>
      </c>
      <c r="K631" s="16">
        <f>Table13[[#This Row],[Profit]]/Table13[[#This Row],[Sales]]</f>
        <v>0.19437080867850098</v>
      </c>
      <c r="L631" s="17" t="str">
        <f t="shared" si="63"/>
        <v>Low</v>
      </c>
      <c r="M631" s="17" t="str">
        <f t="shared" si="64"/>
        <v>Oct</v>
      </c>
      <c r="N631" s="18">
        <f>YEAR(Table13[[#This Row],[Order_Date]])</f>
        <v>2023</v>
      </c>
      <c r="O631" s="18">
        <f>Table13[[#This Row],[Price]]*0.7</f>
        <v>354.9</v>
      </c>
      <c r="P631" s="18">
        <f t="shared" si="65"/>
        <v>760.5</v>
      </c>
      <c r="Q631" s="18">
        <f t="shared" si="66"/>
        <v>0.05</v>
      </c>
      <c r="R631" s="18">
        <f t="shared" si="67"/>
        <v>2042.27</v>
      </c>
      <c r="S631" s="18" t="str">
        <f>IF(Table13[[#This Row],[Quantity]]&lt;=3,"Small",IF(Table13[[#This Row],[Quantity]]&lt;=6,"Medium","Bulk"))</f>
        <v>Medium</v>
      </c>
      <c r="T631" s="18" t="str">
        <f t="shared" si="68"/>
        <v>Normal</v>
      </c>
      <c r="U631" s="18" t="str">
        <f t="shared" si="69"/>
        <v>low Value</v>
      </c>
    </row>
    <row r="632" spans="1:21" x14ac:dyDescent="0.3">
      <c r="A632" t="s">
        <v>640</v>
      </c>
      <c r="B632" s="1">
        <v>44939</v>
      </c>
      <c r="C632" t="s">
        <v>1212</v>
      </c>
      <c r="D632" t="s">
        <v>1217</v>
      </c>
      <c r="E632" t="s">
        <v>1220</v>
      </c>
      <c r="F632" t="s">
        <v>1224</v>
      </c>
      <c r="G632" s="6">
        <v>7</v>
      </c>
      <c r="H632">
        <v>4678</v>
      </c>
      <c r="I632">
        <v>32746</v>
      </c>
      <c r="J632" s="2">
        <v>4085.13</v>
      </c>
      <c r="K632" s="16">
        <f>Table13[[#This Row],[Profit]]/Table13[[#This Row],[Sales]]</f>
        <v>0.12475203078238564</v>
      </c>
      <c r="L632" s="17" t="str">
        <f t="shared" si="63"/>
        <v>High</v>
      </c>
      <c r="M632" s="17" t="str">
        <f t="shared" si="64"/>
        <v>Jan</v>
      </c>
      <c r="N632" s="18">
        <f>YEAR(Table13[[#This Row],[Order_Date]])</f>
        <v>2023</v>
      </c>
      <c r="O632" s="18">
        <f>Table13[[#This Row],[Price]]*0.7</f>
        <v>3274.6</v>
      </c>
      <c r="P632" s="18">
        <f t="shared" si="65"/>
        <v>9823.7999999999993</v>
      </c>
      <c r="Q632" s="18">
        <f t="shared" si="66"/>
        <v>0.1</v>
      </c>
      <c r="R632" s="18">
        <f t="shared" si="67"/>
        <v>28660.87</v>
      </c>
      <c r="S632" s="18" t="str">
        <f>IF(Table13[[#This Row],[Quantity]]&lt;=3,"Small",IF(Table13[[#This Row],[Quantity]]&lt;=6,"Medium","Bulk"))</f>
        <v>Bulk</v>
      </c>
      <c r="T632" s="18" t="str">
        <f t="shared" si="68"/>
        <v>High Demand</v>
      </c>
      <c r="U632" s="18" t="str">
        <f t="shared" si="69"/>
        <v>High Value</v>
      </c>
    </row>
    <row r="633" spans="1:21" x14ac:dyDescent="0.3">
      <c r="A633" t="s">
        <v>641</v>
      </c>
      <c r="B633" s="1">
        <v>45199</v>
      </c>
      <c r="C633" t="s">
        <v>1213</v>
      </c>
      <c r="D633" t="s">
        <v>1217</v>
      </c>
      <c r="E633" t="s">
        <v>1220</v>
      </c>
      <c r="F633" t="s">
        <v>1228</v>
      </c>
      <c r="G633" s="6">
        <v>4</v>
      </c>
      <c r="H633">
        <v>2747</v>
      </c>
      <c r="I633">
        <v>10988</v>
      </c>
      <c r="J633" s="2">
        <v>2280.5100000000002</v>
      </c>
      <c r="K633" s="16">
        <f>Table13[[#This Row],[Profit]]/Table13[[#This Row],[Sales]]</f>
        <v>0.20754550418638518</v>
      </c>
      <c r="L633" s="17" t="str">
        <f t="shared" si="63"/>
        <v>Medium</v>
      </c>
      <c r="M633" s="17" t="str">
        <f t="shared" si="64"/>
        <v>Sep</v>
      </c>
      <c r="N633" s="18">
        <f>YEAR(Table13[[#This Row],[Order_Date]])</f>
        <v>2023</v>
      </c>
      <c r="O633" s="18">
        <f>Table13[[#This Row],[Price]]*0.7</f>
        <v>1922.8999999999999</v>
      </c>
      <c r="P633" s="18">
        <f t="shared" si="65"/>
        <v>3296.4000000000005</v>
      </c>
      <c r="Q633" s="18">
        <f t="shared" si="66"/>
        <v>0.05</v>
      </c>
      <c r="R633" s="18">
        <f t="shared" si="67"/>
        <v>8707.49</v>
      </c>
      <c r="S633" s="18" t="str">
        <f>IF(Table13[[#This Row],[Quantity]]&lt;=3,"Small",IF(Table13[[#This Row],[Quantity]]&lt;=6,"Medium","Bulk"))</f>
        <v>Medium</v>
      </c>
      <c r="T633" s="18" t="str">
        <f t="shared" si="68"/>
        <v>Normal</v>
      </c>
      <c r="U633" s="18" t="str">
        <f t="shared" si="69"/>
        <v>Medium Value</v>
      </c>
    </row>
    <row r="634" spans="1:21" x14ac:dyDescent="0.3">
      <c r="A634" t="s">
        <v>642</v>
      </c>
      <c r="B634" s="1">
        <v>45241</v>
      </c>
      <c r="C634" t="s">
        <v>1211</v>
      </c>
      <c r="D634" t="s">
        <v>1214</v>
      </c>
      <c r="E634" t="s">
        <v>1221</v>
      </c>
      <c r="F634" t="s">
        <v>1229</v>
      </c>
      <c r="G634" s="6">
        <v>7</v>
      </c>
      <c r="H634">
        <v>3957</v>
      </c>
      <c r="I634">
        <v>27699</v>
      </c>
      <c r="J634" s="2">
        <v>5088.03</v>
      </c>
      <c r="K634" s="16">
        <f>Table13[[#This Row],[Profit]]/Table13[[#This Row],[Sales]]</f>
        <v>0.18369002491064659</v>
      </c>
      <c r="L634" s="17" t="str">
        <f t="shared" si="63"/>
        <v>High</v>
      </c>
      <c r="M634" s="17" t="str">
        <f t="shared" si="64"/>
        <v>Nov</v>
      </c>
      <c r="N634" s="18">
        <f>YEAR(Table13[[#This Row],[Order_Date]])</f>
        <v>2023</v>
      </c>
      <c r="O634" s="18">
        <f>Table13[[#This Row],[Price]]*0.7</f>
        <v>2769.8999999999996</v>
      </c>
      <c r="P634" s="18">
        <f t="shared" si="65"/>
        <v>8309.7000000000044</v>
      </c>
      <c r="Q634" s="18">
        <f t="shared" si="66"/>
        <v>0.1</v>
      </c>
      <c r="R634" s="18">
        <f t="shared" si="67"/>
        <v>22610.97</v>
      </c>
      <c r="S634" s="18" t="str">
        <f>IF(Table13[[#This Row],[Quantity]]&lt;=3,"Small",IF(Table13[[#This Row],[Quantity]]&lt;=6,"Medium","Bulk"))</f>
        <v>Bulk</v>
      </c>
      <c r="T634" s="18" t="str">
        <f t="shared" si="68"/>
        <v>Normal</v>
      </c>
      <c r="U634" s="18" t="str">
        <f t="shared" si="69"/>
        <v>High Value</v>
      </c>
    </row>
    <row r="635" spans="1:21" x14ac:dyDescent="0.3">
      <c r="A635" t="s">
        <v>643</v>
      </c>
      <c r="B635" s="1">
        <v>45115</v>
      </c>
      <c r="C635" t="s">
        <v>1213</v>
      </c>
      <c r="D635" t="s">
        <v>1217</v>
      </c>
      <c r="E635" t="s">
        <v>1222</v>
      </c>
      <c r="F635" t="s">
        <v>1227</v>
      </c>
      <c r="G635" s="6">
        <v>5</v>
      </c>
      <c r="H635">
        <v>1720</v>
      </c>
      <c r="I635">
        <v>8600</v>
      </c>
      <c r="J635" s="2">
        <v>1817.42</v>
      </c>
      <c r="K635" s="16">
        <f>Table13[[#This Row],[Profit]]/Table13[[#This Row],[Sales]]</f>
        <v>0.2113279069767442</v>
      </c>
      <c r="L635" s="17" t="str">
        <f t="shared" si="63"/>
        <v>Low</v>
      </c>
      <c r="M635" s="17" t="str">
        <f t="shared" si="64"/>
        <v>Jul</v>
      </c>
      <c r="N635" s="18">
        <f>YEAR(Table13[[#This Row],[Order_Date]])</f>
        <v>2023</v>
      </c>
      <c r="O635" s="18">
        <f>Table13[[#This Row],[Price]]*0.7</f>
        <v>1204</v>
      </c>
      <c r="P635" s="18">
        <f t="shared" si="65"/>
        <v>2580</v>
      </c>
      <c r="Q635" s="18">
        <f t="shared" si="66"/>
        <v>0.05</v>
      </c>
      <c r="R635" s="18">
        <f t="shared" si="67"/>
        <v>6782.58</v>
      </c>
      <c r="S635" s="18" t="str">
        <f>IF(Table13[[#This Row],[Quantity]]&lt;=3,"Small",IF(Table13[[#This Row],[Quantity]]&lt;=6,"Medium","Bulk"))</f>
        <v>Medium</v>
      </c>
      <c r="T635" s="18" t="str">
        <f t="shared" si="68"/>
        <v>Normal</v>
      </c>
      <c r="U635" s="18" t="str">
        <f t="shared" si="69"/>
        <v>low Value</v>
      </c>
    </row>
    <row r="636" spans="1:21" x14ac:dyDescent="0.3">
      <c r="A636" t="s">
        <v>644</v>
      </c>
      <c r="B636" s="1">
        <v>45022</v>
      </c>
      <c r="C636" t="s">
        <v>1211</v>
      </c>
      <c r="D636" t="s">
        <v>1215</v>
      </c>
      <c r="E636" t="s">
        <v>1220</v>
      </c>
      <c r="F636" t="s">
        <v>1225</v>
      </c>
      <c r="G636" s="6">
        <v>1</v>
      </c>
      <c r="H636">
        <v>3557</v>
      </c>
      <c r="I636">
        <v>3557</v>
      </c>
      <c r="J636" s="2">
        <v>888.98</v>
      </c>
      <c r="K636" s="16">
        <f>Table13[[#This Row],[Profit]]/Table13[[#This Row],[Sales]]</f>
        <v>0.24992409333708182</v>
      </c>
      <c r="L636" s="17" t="str">
        <f t="shared" si="63"/>
        <v>Low</v>
      </c>
      <c r="M636" s="17" t="str">
        <f t="shared" si="64"/>
        <v>Apr</v>
      </c>
      <c r="N636" s="18">
        <f>YEAR(Table13[[#This Row],[Order_Date]])</f>
        <v>2023</v>
      </c>
      <c r="O636" s="18">
        <f>Table13[[#This Row],[Price]]*0.7</f>
        <v>2489.8999999999996</v>
      </c>
      <c r="P636" s="18">
        <f t="shared" si="65"/>
        <v>1067.1000000000004</v>
      </c>
      <c r="Q636" s="18">
        <f t="shared" si="66"/>
        <v>0.05</v>
      </c>
      <c r="R636" s="18">
        <f t="shared" si="67"/>
        <v>2668.02</v>
      </c>
      <c r="S636" s="18" t="str">
        <f>IF(Table13[[#This Row],[Quantity]]&lt;=3,"Small",IF(Table13[[#This Row],[Quantity]]&lt;=6,"Medium","Bulk"))</f>
        <v>Small</v>
      </c>
      <c r="T636" s="18" t="str">
        <f t="shared" si="68"/>
        <v>Normal</v>
      </c>
      <c r="U636" s="18" t="str">
        <f t="shared" si="69"/>
        <v>low Value</v>
      </c>
    </row>
    <row r="637" spans="1:21" x14ac:dyDescent="0.3">
      <c r="A637" t="s">
        <v>645</v>
      </c>
      <c r="B637" s="1">
        <v>45020</v>
      </c>
      <c r="C637" t="s">
        <v>1212</v>
      </c>
      <c r="D637" t="s">
        <v>1218</v>
      </c>
      <c r="E637" t="s">
        <v>1220</v>
      </c>
      <c r="F637" t="s">
        <v>1225</v>
      </c>
      <c r="G637" s="6">
        <v>2</v>
      </c>
      <c r="H637">
        <v>3028</v>
      </c>
      <c r="I637">
        <v>6056</v>
      </c>
      <c r="J637" s="2">
        <v>1178.79</v>
      </c>
      <c r="K637" s="16">
        <f>Table13[[#This Row],[Profit]]/Table13[[#This Row],[Sales]]</f>
        <v>0.19464828269484807</v>
      </c>
      <c r="L637" s="17" t="str">
        <f t="shared" si="63"/>
        <v>Low</v>
      </c>
      <c r="M637" s="17" t="str">
        <f t="shared" si="64"/>
        <v>Apr</v>
      </c>
      <c r="N637" s="18">
        <f>YEAR(Table13[[#This Row],[Order_Date]])</f>
        <v>2023</v>
      </c>
      <c r="O637" s="18">
        <f>Table13[[#This Row],[Price]]*0.7</f>
        <v>2119.6</v>
      </c>
      <c r="P637" s="18">
        <f t="shared" si="65"/>
        <v>1816.8000000000002</v>
      </c>
      <c r="Q637" s="18">
        <f t="shared" si="66"/>
        <v>0.05</v>
      </c>
      <c r="R637" s="18">
        <f t="shared" si="67"/>
        <v>4877.21</v>
      </c>
      <c r="S637" s="18" t="str">
        <f>IF(Table13[[#This Row],[Quantity]]&lt;=3,"Small",IF(Table13[[#This Row],[Quantity]]&lt;=6,"Medium","Bulk"))</f>
        <v>Small</v>
      </c>
      <c r="T637" s="18" t="str">
        <f t="shared" si="68"/>
        <v>High Demand</v>
      </c>
      <c r="U637" s="18" t="str">
        <f t="shared" si="69"/>
        <v>low Value</v>
      </c>
    </row>
    <row r="638" spans="1:21" x14ac:dyDescent="0.3">
      <c r="A638" t="s">
        <v>646</v>
      </c>
      <c r="B638" s="1">
        <v>45128</v>
      </c>
      <c r="C638" t="s">
        <v>1213</v>
      </c>
      <c r="D638" t="s">
        <v>1215</v>
      </c>
      <c r="E638" t="s">
        <v>1221</v>
      </c>
      <c r="F638" t="s">
        <v>1235</v>
      </c>
      <c r="G638" s="6">
        <v>4</v>
      </c>
      <c r="H638">
        <v>342</v>
      </c>
      <c r="I638">
        <v>1368</v>
      </c>
      <c r="J638" s="2">
        <v>321.20999999999998</v>
      </c>
      <c r="K638" s="16">
        <f>Table13[[#This Row],[Profit]]/Table13[[#This Row],[Sales]]</f>
        <v>0.23480263157894735</v>
      </c>
      <c r="L638" s="17" t="str">
        <f t="shared" si="63"/>
        <v>Low</v>
      </c>
      <c r="M638" s="17" t="str">
        <f t="shared" si="64"/>
        <v>Jul</v>
      </c>
      <c r="N638" s="18">
        <f>YEAR(Table13[[#This Row],[Order_Date]])</f>
        <v>2023</v>
      </c>
      <c r="O638" s="18">
        <f>Table13[[#This Row],[Price]]*0.7</f>
        <v>239.39999999999998</v>
      </c>
      <c r="P638" s="18">
        <f t="shared" si="65"/>
        <v>410.40000000000009</v>
      </c>
      <c r="Q638" s="18">
        <f t="shared" si="66"/>
        <v>0.05</v>
      </c>
      <c r="R638" s="18">
        <f t="shared" si="67"/>
        <v>1046.79</v>
      </c>
      <c r="S638" s="18" t="str">
        <f>IF(Table13[[#This Row],[Quantity]]&lt;=3,"Small",IF(Table13[[#This Row],[Quantity]]&lt;=6,"Medium","Bulk"))</f>
        <v>Medium</v>
      </c>
      <c r="T638" s="18" t="str">
        <f t="shared" si="68"/>
        <v>Normal</v>
      </c>
      <c r="U638" s="18" t="str">
        <f t="shared" si="69"/>
        <v>low Value</v>
      </c>
    </row>
    <row r="639" spans="1:21" x14ac:dyDescent="0.3">
      <c r="A639" t="s">
        <v>647</v>
      </c>
      <c r="B639" s="1">
        <v>45063</v>
      </c>
      <c r="C639" t="s">
        <v>1211</v>
      </c>
      <c r="D639" t="s">
        <v>1218</v>
      </c>
      <c r="E639" t="s">
        <v>1219</v>
      </c>
      <c r="F639" t="s">
        <v>1223</v>
      </c>
      <c r="G639" s="6">
        <v>4</v>
      </c>
      <c r="H639">
        <v>4712</v>
      </c>
      <c r="I639">
        <v>18848</v>
      </c>
      <c r="J639" s="2">
        <v>4240.93</v>
      </c>
      <c r="K639" s="16">
        <f>Table13[[#This Row],[Profit]]/Table13[[#This Row],[Sales]]</f>
        <v>0.22500689728353143</v>
      </c>
      <c r="L639" s="17" t="str">
        <f t="shared" si="63"/>
        <v>Medium</v>
      </c>
      <c r="M639" s="17" t="str">
        <f t="shared" si="64"/>
        <v>May</v>
      </c>
      <c r="N639" s="18">
        <f>YEAR(Table13[[#This Row],[Order_Date]])</f>
        <v>2023</v>
      </c>
      <c r="O639" s="18">
        <f>Table13[[#This Row],[Price]]*0.7</f>
        <v>3298.3999999999996</v>
      </c>
      <c r="P639" s="18">
        <f t="shared" si="65"/>
        <v>5654.4000000000015</v>
      </c>
      <c r="Q639" s="18">
        <f t="shared" si="66"/>
        <v>0.05</v>
      </c>
      <c r="R639" s="18">
        <f t="shared" si="67"/>
        <v>14607.07</v>
      </c>
      <c r="S639" s="18" t="str">
        <f>IF(Table13[[#This Row],[Quantity]]&lt;=3,"Small",IF(Table13[[#This Row],[Quantity]]&lt;=6,"Medium","Bulk"))</f>
        <v>Medium</v>
      </c>
      <c r="T639" s="18" t="str">
        <f t="shared" si="68"/>
        <v>Normal</v>
      </c>
      <c r="U639" s="18" t="str">
        <f t="shared" si="69"/>
        <v>Medium Value</v>
      </c>
    </row>
    <row r="640" spans="1:21" x14ac:dyDescent="0.3">
      <c r="A640" t="s">
        <v>648</v>
      </c>
      <c r="B640" s="1">
        <v>45197</v>
      </c>
      <c r="C640" t="s">
        <v>1213</v>
      </c>
      <c r="D640" t="s">
        <v>1218</v>
      </c>
      <c r="E640" t="s">
        <v>1221</v>
      </c>
      <c r="F640" t="s">
        <v>1235</v>
      </c>
      <c r="G640" s="6">
        <v>2</v>
      </c>
      <c r="H640">
        <v>3991</v>
      </c>
      <c r="I640">
        <v>7982</v>
      </c>
      <c r="J640" s="2">
        <v>960.8</v>
      </c>
      <c r="K640" s="16">
        <f>Table13[[#This Row],[Profit]]/Table13[[#This Row],[Sales]]</f>
        <v>0.12037083437734902</v>
      </c>
      <c r="L640" s="17" t="str">
        <f t="shared" si="63"/>
        <v>Low</v>
      </c>
      <c r="M640" s="17" t="str">
        <f t="shared" si="64"/>
        <v>Sep</v>
      </c>
      <c r="N640" s="18">
        <f>YEAR(Table13[[#This Row],[Order_Date]])</f>
        <v>2023</v>
      </c>
      <c r="O640" s="18">
        <f>Table13[[#This Row],[Price]]*0.7</f>
        <v>2793.7</v>
      </c>
      <c r="P640" s="18">
        <f t="shared" si="65"/>
        <v>2394.6000000000004</v>
      </c>
      <c r="Q640" s="18">
        <f t="shared" si="66"/>
        <v>0.05</v>
      </c>
      <c r="R640" s="18">
        <f t="shared" si="67"/>
        <v>7021.2</v>
      </c>
      <c r="S640" s="18" t="str">
        <f>IF(Table13[[#This Row],[Quantity]]&lt;=3,"Small",IF(Table13[[#This Row],[Quantity]]&lt;=6,"Medium","Bulk"))</f>
        <v>Small</v>
      </c>
      <c r="T640" s="18" t="str">
        <f t="shared" si="68"/>
        <v>Normal</v>
      </c>
      <c r="U640" s="18" t="str">
        <f t="shared" si="69"/>
        <v>low Value</v>
      </c>
    </row>
    <row r="641" spans="1:21" x14ac:dyDescent="0.3">
      <c r="A641" t="s">
        <v>649</v>
      </c>
      <c r="B641" s="1">
        <v>45116</v>
      </c>
      <c r="C641" t="s">
        <v>1213</v>
      </c>
      <c r="D641" t="s">
        <v>1218</v>
      </c>
      <c r="E641" t="s">
        <v>1222</v>
      </c>
      <c r="F641" t="s">
        <v>1230</v>
      </c>
      <c r="G641" s="6">
        <v>9</v>
      </c>
      <c r="H641">
        <v>3151</v>
      </c>
      <c r="I641">
        <v>28359</v>
      </c>
      <c r="J641" s="2">
        <v>3623.67</v>
      </c>
      <c r="K641" s="16">
        <f>Table13[[#This Row],[Profit]]/Table13[[#This Row],[Sales]]</f>
        <v>0.1277784830212631</v>
      </c>
      <c r="L641" s="17" t="str">
        <f t="shared" si="63"/>
        <v>High</v>
      </c>
      <c r="M641" s="17" t="str">
        <f t="shared" si="64"/>
        <v>Jul</v>
      </c>
      <c r="N641" s="18">
        <f>YEAR(Table13[[#This Row],[Order_Date]])</f>
        <v>2023</v>
      </c>
      <c r="O641" s="18">
        <f>Table13[[#This Row],[Price]]*0.7</f>
        <v>2205.6999999999998</v>
      </c>
      <c r="P641" s="18">
        <f t="shared" si="65"/>
        <v>8507.7000000000007</v>
      </c>
      <c r="Q641" s="18">
        <f t="shared" si="66"/>
        <v>0.1</v>
      </c>
      <c r="R641" s="18">
        <f t="shared" si="67"/>
        <v>24735.329999999998</v>
      </c>
      <c r="S641" s="18" t="str">
        <f>IF(Table13[[#This Row],[Quantity]]&lt;=3,"Small",IF(Table13[[#This Row],[Quantity]]&lt;=6,"Medium","Bulk"))</f>
        <v>Bulk</v>
      </c>
      <c r="T641" s="18" t="str">
        <f t="shared" si="68"/>
        <v>Normal</v>
      </c>
      <c r="U641" s="18" t="str">
        <f t="shared" si="69"/>
        <v>High Value</v>
      </c>
    </row>
    <row r="642" spans="1:21" x14ac:dyDescent="0.3">
      <c r="A642" t="s">
        <v>650</v>
      </c>
      <c r="B642" s="1">
        <v>45277</v>
      </c>
      <c r="C642" t="s">
        <v>1212</v>
      </c>
      <c r="D642" t="s">
        <v>1218</v>
      </c>
      <c r="E642" t="s">
        <v>1219</v>
      </c>
      <c r="F642" t="s">
        <v>1223</v>
      </c>
      <c r="G642" s="6">
        <v>3</v>
      </c>
      <c r="H642">
        <v>4434</v>
      </c>
      <c r="I642">
        <v>13302</v>
      </c>
      <c r="J642" s="2">
        <v>2349.65</v>
      </c>
      <c r="K642" s="16">
        <f>Table13[[#This Row],[Profit]]/Table13[[#This Row],[Sales]]</f>
        <v>0.17663885130055632</v>
      </c>
      <c r="L642" s="17" t="str">
        <f t="shared" ref="L642:L705" si="70">IF(I642&gt;20000,"High",IF(I642&gt;10000,"Medium","Low"))</f>
        <v>Medium</v>
      </c>
      <c r="M642" s="17" t="str">
        <f t="shared" ref="M642:M705" si="71">TEXT(B642,"mmm")</f>
        <v>Dec</v>
      </c>
      <c r="N642" s="18">
        <f>YEAR(Table13[[#This Row],[Order_Date]])</f>
        <v>2023</v>
      </c>
      <c r="O642" s="18">
        <f>Table13[[#This Row],[Price]]*0.7</f>
        <v>3103.7999999999997</v>
      </c>
      <c r="P642" s="18">
        <f t="shared" ref="P642:P705" si="72">I642 - (G642 *O642)</f>
        <v>3990.6000000000004</v>
      </c>
      <c r="Q642" s="18">
        <f t="shared" ref="Q642:Q705" si="73">IF(G642&gt;5,0.1,0.05)</f>
        <v>0.05</v>
      </c>
      <c r="R642" s="18">
        <f t="shared" ref="R642:R705" si="74">I642*(1-K642)</f>
        <v>10952.35</v>
      </c>
      <c r="S642" s="18" t="str">
        <f>IF(Table13[[#This Row],[Quantity]]&lt;=3,"Small",IF(Table13[[#This Row],[Quantity]]&lt;=6,"Medium","Bulk"))</f>
        <v>Small</v>
      </c>
      <c r="T642" s="18" t="str">
        <f t="shared" ref="T642:T705" si="75">IF(C642="North","High Demand","Normal")</f>
        <v>High Demand</v>
      </c>
      <c r="U642" s="18" t="str">
        <f t="shared" ref="U642:U705" si="76">IF(I642&gt;20000,"High Value",IF(I642&gt;10000,"Medium Value","low Value"))</f>
        <v>Medium Value</v>
      </c>
    </row>
    <row r="643" spans="1:21" x14ac:dyDescent="0.3">
      <c r="A643" t="s">
        <v>651</v>
      </c>
      <c r="B643" s="1">
        <v>44982</v>
      </c>
      <c r="C643" t="s">
        <v>1211</v>
      </c>
      <c r="D643" t="s">
        <v>1217</v>
      </c>
      <c r="E643" t="s">
        <v>1221</v>
      </c>
      <c r="F643" t="s">
        <v>1229</v>
      </c>
      <c r="G643" s="6">
        <v>5</v>
      </c>
      <c r="H643">
        <v>4124</v>
      </c>
      <c r="I643">
        <v>20620</v>
      </c>
      <c r="J643" s="2">
        <v>4576.84</v>
      </c>
      <c r="K643" s="16">
        <f>Table13[[#This Row],[Profit]]/Table13[[#This Row],[Sales]]</f>
        <v>0.22196120271580991</v>
      </c>
      <c r="L643" s="17" t="str">
        <f t="shared" si="70"/>
        <v>High</v>
      </c>
      <c r="M643" s="17" t="str">
        <f t="shared" si="71"/>
        <v>Feb</v>
      </c>
      <c r="N643" s="18">
        <f>YEAR(Table13[[#This Row],[Order_Date]])</f>
        <v>2023</v>
      </c>
      <c r="O643" s="18">
        <f>Table13[[#This Row],[Price]]*0.7</f>
        <v>2886.7999999999997</v>
      </c>
      <c r="P643" s="18">
        <f t="shared" si="72"/>
        <v>6186.0000000000018</v>
      </c>
      <c r="Q643" s="18">
        <f t="shared" si="73"/>
        <v>0.05</v>
      </c>
      <c r="R643" s="18">
        <f t="shared" si="74"/>
        <v>16043.16</v>
      </c>
      <c r="S643" s="18" t="str">
        <f>IF(Table13[[#This Row],[Quantity]]&lt;=3,"Small",IF(Table13[[#This Row],[Quantity]]&lt;=6,"Medium","Bulk"))</f>
        <v>Medium</v>
      </c>
      <c r="T643" s="18" t="str">
        <f t="shared" si="75"/>
        <v>Normal</v>
      </c>
      <c r="U643" s="18" t="str">
        <f t="shared" si="76"/>
        <v>High Value</v>
      </c>
    </row>
    <row r="644" spans="1:21" x14ac:dyDescent="0.3">
      <c r="A644" t="s">
        <v>652</v>
      </c>
      <c r="B644" s="1">
        <v>45065</v>
      </c>
      <c r="C644" t="s">
        <v>1213</v>
      </c>
      <c r="D644" t="s">
        <v>1218</v>
      </c>
      <c r="E644" t="s">
        <v>1220</v>
      </c>
      <c r="F644" t="s">
        <v>1228</v>
      </c>
      <c r="G644" s="6">
        <v>3</v>
      </c>
      <c r="H644">
        <v>1456</v>
      </c>
      <c r="I644">
        <v>4368</v>
      </c>
      <c r="J644" s="2">
        <v>559.44000000000005</v>
      </c>
      <c r="K644" s="16">
        <f>Table13[[#This Row],[Profit]]/Table13[[#This Row],[Sales]]</f>
        <v>0.12807692307692309</v>
      </c>
      <c r="L644" s="17" t="str">
        <f t="shared" si="70"/>
        <v>Low</v>
      </c>
      <c r="M644" s="17" t="str">
        <f t="shared" si="71"/>
        <v>May</v>
      </c>
      <c r="N644" s="18">
        <f>YEAR(Table13[[#This Row],[Order_Date]])</f>
        <v>2023</v>
      </c>
      <c r="O644" s="18">
        <f>Table13[[#This Row],[Price]]*0.7</f>
        <v>1019.1999999999999</v>
      </c>
      <c r="P644" s="18">
        <f t="shared" si="72"/>
        <v>1310.4000000000001</v>
      </c>
      <c r="Q644" s="18">
        <f t="shared" si="73"/>
        <v>0.05</v>
      </c>
      <c r="R644" s="18">
        <f t="shared" si="74"/>
        <v>3808.56</v>
      </c>
      <c r="S644" s="18" t="str">
        <f>IF(Table13[[#This Row],[Quantity]]&lt;=3,"Small",IF(Table13[[#This Row],[Quantity]]&lt;=6,"Medium","Bulk"))</f>
        <v>Small</v>
      </c>
      <c r="T644" s="18" t="str">
        <f t="shared" si="75"/>
        <v>Normal</v>
      </c>
      <c r="U644" s="18" t="str">
        <f t="shared" si="76"/>
        <v>low Value</v>
      </c>
    </row>
    <row r="645" spans="1:21" x14ac:dyDescent="0.3">
      <c r="A645" t="s">
        <v>653</v>
      </c>
      <c r="B645" s="1">
        <v>45285</v>
      </c>
      <c r="C645" t="s">
        <v>1213</v>
      </c>
      <c r="D645" t="s">
        <v>1214</v>
      </c>
      <c r="E645" t="s">
        <v>1222</v>
      </c>
      <c r="F645" t="s">
        <v>1227</v>
      </c>
      <c r="G645" s="6">
        <v>2</v>
      </c>
      <c r="H645">
        <v>1286</v>
      </c>
      <c r="I645">
        <v>2572</v>
      </c>
      <c r="J645" s="2">
        <v>223.91</v>
      </c>
      <c r="K645" s="16">
        <f>Table13[[#This Row],[Profit]]/Table13[[#This Row],[Sales]]</f>
        <v>8.7056765163297037E-2</v>
      </c>
      <c r="L645" s="17" t="str">
        <f t="shared" si="70"/>
        <v>Low</v>
      </c>
      <c r="M645" s="17" t="str">
        <f t="shared" si="71"/>
        <v>Dec</v>
      </c>
      <c r="N645" s="18">
        <f>YEAR(Table13[[#This Row],[Order_Date]])</f>
        <v>2023</v>
      </c>
      <c r="O645" s="18">
        <f>Table13[[#This Row],[Price]]*0.7</f>
        <v>900.19999999999993</v>
      </c>
      <c r="P645" s="18">
        <f t="shared" si="72"/>
        <v>771.60000000000014</v>
      </c>
      <c r="Q645" s="18">
        <f t="shared" si="73"/>
        <v>0.05</v>
      </c>
      <c r="R645" s="18">
        <f t="shared" si="74"/>
        <v>2348.0899999999997</v>
      </c>
      <c r="S645" s="18" t="str">
        <f>IF(Table13[[#This Row],[Quantity]]&lt;=3,"Small",IF(Table13[[#This Row],[Quantity]]&lt;=6,"Medium","Bulk"))</f>
        <v>Small</v>
      </c>
      <c r="T645" s="18" t="str">
        <f t="shared" si="75"/>
        <v>Normal</v>
      </c>
      <c r="U645" s="18" t="str">
        <f t="shared" si="76"/>
        <v>low Value</v>
      </c>
    </row>
    <row r="646" spans="1:21" x14ac:dyDescent="0.3">
      <c r="A646" t="s">
        <v>654</v>
      </c>
      <c r="B646" s="1">
        <v>44964</v>
      </c>
      <c r="C646" t="s">
        <v>1210</v>
      </c>
      <c r="D646" t="s">
        <v>1215</v>
      </c>
      <c r="E646" t="s">
        <v>1222</v>
      </c>
      <c r="F646" t="s">
        <v>1230</v>
      </c>
      <c r="G646" s="6">
        <v>3</v>
      </c>
      <c r="H646">
        <v>4269</v>
      </c>
      <c r="I646">
        <v>12807</v>
      </c>
      <c r="J646" s="2">
        <v>1668.26</v>
      </c>
      <c r="K646" s="16">
        <f>Table13[[#This Row],[Profit]]/Table13[[#This Row],[Sales]]</f>
        <v>0.13026157570078864</v>
      </c>
      <c r="L646" s="17" t="str">
        <f t="shared" si="70"/>
        <v>Medium</v>
      </c>
      <c r="M646" s="17" t="str">
        <f t="shared" si="71"/>
        <v>Feb</v>
      </c>
      <c r="N646" s="18">
        <f>YEAR(Table13[[#This Row],[Order_Date]])</f>
        <v>2023</v>
      </c>
      <c r="O646" s="18">
        <f>Table13[[#This Row],[Price]]*0.7</f>
        <v>2988.2999999999997</v>
      </c>
      <c r="P646" s="18">
        <f t="shared" si="72"/>
        <v>3842.1000000000004</v>
      </c>
      <c r="Q646" s="18">
        <f t="shared" si="73"/>
        <v>0.05</v>
      </c>
      <c r="R646" s="18">
        <f t="shared" si="74"/>
        <v>11138.74</v>
      </c>
      <c r="S646" s="18" t="str">
        <f>IF(Table13[[#This Row],[Quantity]]&lt;=3,"Small",IF(Table13[[#This Row],[Quantity]]&lt;=6,"Medium","Bulk"))</f>
        <v>Small</v>
      </c>
      <c r="T646" s="18" t="str">
        <f t="shared" si="75"/>
        <v>Normal</v>
      </c>
      <c r="U646" s="18" t="str">
        <f t="shared" si="76"/>
        <v>Medium Value</v>
      </c>
    </row>
    <row r="647" spans="1:21" x14ac:dyDescent="0.3">
      <c r="A647" t="s">
        <v>655</v>
      </c>
      <c r="B647" s="1">
        <v>45225</v>
      </c>
      <c r="C647" t="s">
        <v>1213</v>
      </c>
      <c r="D647" t="s">
        <v>1217</v>
      </c>
      <c r="E647" t="s">
        <v>1219</v>
      </c>
      <c r="F647" t="s">
        <v>1223</v>
      </c>
      <c r="G647" s="6">
        <v>4</v>
      </c>
      <c r="H647">
        <v>3997</v>
      </c>
      <c r="I647">
        <v>15988</v>
      </c>
      <c r="J647" s="2">
        <v>2033.18</v>
      </c>
      <c r="K647" s="16">
        <f>Table13[[#This Row],[Profit]]/Table13[[#This Row],[Sales]]</f>
        <v>0.12716912684513385</v>
      </c>
      <c r="L647" s="17" t="str">
        <f t="shared" si="70"/>
        <v>Medium</v>
      </c>
      <c r="M647" s="17" t="str">
        <f t="shared" si="71"/>
        <v>Oct</v>
      </c>
      <c r="N647" s="18">
        <f>YEAR(Table13[[#This Row],[Order_Date]])</f>
        <v>2023</v>
      </c>
      <c r="O647" s="18">
        <f>Table13[[#This Row],[Price]]*0.7</f>
        <v>2797.8999999999996</v>
      </c>
      <c r="P647" s="18">
        <f t="shared" si="72"/>
        <v>4796.4000000000015</v>
      </c>
      <c r="Q647" s="18">
        <f t="shared" si="73"/>
        <v>0.05</v>
      </c>
      <c r="R647" s="18">
        <f t="shared" si="74"/>
        <v>13954.82</v>
      </c>
      <c r="S647" s="18" t="str">
        <f>IF(Table13[[#This Row],[Quantity]]&lt;=3,"Small",IF(Table13[[#This Row],[Quantity]]&lt;=6,"Medium","Bulk"))</f>
        <v>Medium</v>
      </c>
      <c r="T647" s="18" t="str">
        <f t="shared" si="75"/>
        <v>Normal</v>
      </c>
      <c r="U647" s="18" t="str">
        <f t="shared" si="76"/>
        <v>Medium Value</v>
      </c>
    </row>
    <row r="648" spans="1:21" x14ac:dyDescent="0.3">
      <c r="A648" t="s">
        <v>656</v>
      </c>
      <c r="B648" s="1">
        <v>45114</v>
      </c>
      <c r="C648" t="s">
        <v>1211</v>
      </c>
      <c r="D648" t="s">
        <v>1214</v>
      </c>
      <c r="E648" t="s">
        <v>1222</v>
      </c>
      <c r="F648" t="s">
        <v>1236</v>
      </c>
      <c r="G648" s="6">
        <v>1</v>
      </c>
      <c r="H648">
        <v>3376</v>
      </c>
      <c r="I648">
        <v>3376</v>
      </c>
      <c r="J648" s="2">
        <v>469.16</v>
      </c>
      <c r="K648" s="16">
        <f>Table13[[#This Row],[Profit]]/Table13[[#This Row],[Sales]]</f>
        <v>0.13896919431279622</v>
      </c>
      <c r="L648" s="17" t="str">
        <f t="shared" si="70"/>
        <v>Low</v>
      </c>
      <c r="M648" s="17" t="str">
        <f t="shared" si="71"/>
        <v>Jul</v>
      </c>
      <c r="N648" s="18">
        <f>YEAR(Table13[[#This Row],[Order_Date]])</f>
        <v>2023</v>
      </c>
      <c r="O648" s="18">
        <f>Table13[[#This Row],[Price]]*0.7</f>
        <v>2363.1999999999998</v>
      </c>
      <c r="P648" s="18">
        <f t="shared" si="72"/>
        <v>1012.8000000000002</v>
      </c>
      <c r="Q648" s="18">
        <f t="shared" si="73"/>
        <v>0.05</v>
      </c>
      <c r="R648" s="18">
        <f t="shared" si="74"/>
        <v>2906.84</v>
      </c>
      <c r="S648" s="18" t="str">
        <f>IF(Table13[[#This Row],[Quantity]]&lt;=3,"Small",IF(Table13[[#This Row],[Quantity]]&lt;=6,"Medium","Bulk"))</f>
        <v>Small</v>
      </c>
      <c r="T648" s="18" t="str">
        <f t="shared" si="75"/>
        <v>Normal</v>
      </c>
      <c r="U648" s="18" t="str">
        <f t="shared" si="76"/>
        <v>low Value</v>
      </c>
    </row>
    <row r="649" spans="1:21" x14ac:dyDescent="0.3">
      <c r="A649" t="s">
        <v>657</v>
      </c>
      <c r="B649" s="1">
        <v>45222</v>
      </c>
      <c r="C649" t="s">
        <v>1212</v>
      </c>
      <c r="D649" t="s">
        <v>1216</v>
      </c>
      <c r="E649" t="s">
        <v>1220</v>
      </c>
      <c r="F649" t="s">
        <v>1224</v>
      </c>
      <c r="G649" s="6">
        <v>3</v>
      </c>
      <c r="H649">
        <v>2161</v>
      </c>
      <c r="I649">
        <v>6483</v>
      </c>
      <c r="J649" s="2">
        <v>897.09</v>
      </c>
      <c r="K649" s="16">
        <f>Table13[[#This Row],[Profit]]/Table13[[#This Row],[Sales]]</f>
        <v>0.13837575196668209</v>
      </c>
      <c r="L649" s="17" t="str">
        <f t="shared" si="70"/>
        <v>Low</v>
      </c>
      <c r="M649" s="17" t="str">
        <f t="shared" si="71"/>
        <v>Oct</v>
      </c>
      <c r="N649" s="18">
        <f>YEAR(Table13[[#This Row],[Order_Date]])</f>
        <v>2023</v>
      </c>
      <c r="O649" s="18">
        <f>Table13[[#This Row],[Price]]*0.7</f>
        <v>1512.6999999999998</v>
      </c>
      <c r="P649" s="18">
        <f t="shared" si="72"/>
        <v>1944.9000000000005</v>
      </c>
      <c r="Q649" s="18">
        <f t="shared" si="73"/>
        <v>0.05</v>
      </c>
      <c r="R649" s="18">
        <f t="shared" si="74"/>
        <v>5585.91</v>
      </c>
      <c r="S649" s="18" t="str">
        <f>IF(Table13[[#This Row],[Quantity]]&lt;=3,"Small",IF(Table13[[#This Row],[Quantity]]&lt;=6,"Medium","Bulk"))</f>
        <v>Small</v>
      </c>
      <c r="T649" s="18" t="str">
        <f t="shared" si="75"/>
        <v>High Demand</v>
      </c>
      <c r="U649" s="18" t="str">
        <f t="shared" si="76"/>
        <v>low Value</v>
      </c>
    </row>
    <row r="650" spans="1:21" x14ac:dyDescent="0.3">
      <c r="A650" t="s">
        <v>658</v>
      </c>
      <c r="B650" s="1">
        <v>45063</v>
      </c>
      <c r="C650" t="s">
        <v>1210</v>
      </c>
      <c r="D650" t="s">
        <v>1239</v>
      </c>
      <c r="E650" t="s">
        <v>1221</v>
      </c>
      <c r="F650" t="s">
        <v>1226</v>
      </c>
      <c r="G650" s="6">
        <v>2</v>
      </c>
      <c r="H650">
        <v>4205</v>
      </c>
      <c r="I650">
        <v>8410</v>
      </c>
      <c r="J650" s="2">
        <v>761.17</v>
      </c>
      <c r="K650" s="16">
        <f>Table13[[#This Row],[Profit]]/Table13[[#This Row],[Sales]]</f>
        <v>9.0507728894173592E-2</v>
      </c>
      <c r="L650" s="17" t="str">
        <f t="shared" si="70"/>
        <v>Low</v>
      </c>
      <c r="M650" s="17" t="str">
        <f t="shared" si="71"/>
        <v>May</v>
      </c>
      <c r="N650" s="18">
        <f>YEAR(Table13[[#This Row],[Order_Date]])</f>
        <v>2023</v>
      </c>
      <c r="O650" s="18">
        <f>Table13[[#This Row],[Price]]*0.7</f>
        <v>2943.5</v>
      </c>
      <c r="P650" s="18">
        <f t="shared" si="72"/>
        <v>2523</v>
      </c>
      <c r="Q650" s="18">
        <f t="shared" si="73"/>
        <v>0.05</v>
      </c>
      <c r="R650" s="18">
        <f t="shared" si="74"/>
        <v>7648.83</v>
      </c>
      <c r="S650" s="18" t="str">
        <f>IF(Table13[[#This Row],[Quantity]]&lt;=3,"Small",IF(Table13[[#This Row],[Quantity]]&lt;=6,"Medium","Bulk"))</f>
        <v>Small</v>
      </c>
      <c r="T650" s="18" t="str">
        <f t="shared" si="75"/>
        <v>Normal</v>
      </c>
      <c r="U650" s="18" t="str">
        <f t="shared" si="76"/>
        <v>low Value</v>
      </c>
    </row>
    <row r="651" spans="1:21" x14ac:dyDescent="0.3">
      <c r="A651" t="s">
        <v>659</v>
      </c>
      <c r="B651" s="1">
        <v>45216</v>
      </c>
      <c r="C651" t="s">
        <v>1210</v>
      </c>
      <c r="D651" t="s">
        <v>1217</v>
      </c>
      <c r="E651" t="s">
        <v>1219</v>
      </c>
      <c r="F651" t="s">
        <v>1223</v>
      </c>
      <c r="G651" s="6">
        <v>7</v>
      </c>
      <c r="H651">
        <v>2996</v>
      </c>
      <c r="I651">
        <v>20972</v>
      </c>
      <c r="J651" s="2">
        <v>3270.4</v>
      </c>
      <c r="K651" s="16">
        <f>Table13[[#This Row],[Profit]]/Table13[[#This Row],[Sales]]</f>
        <v>0.15594125500667558</v>
      </c>
      <c r="L651" s="17" t="str">
        <f t="shared" si="70"/>
        <v>High</v>
      </c>
      <c r="M651" s="17" t="str">
        <f t="shared" si="71"/>
        <v>Oct</v>
      </c>
      <c r="N651" s="18">
        <f>YEAR(Table13[[#This Row],[Order_Date]])</f>
        <v>2023</v>
      </c>
      <c r="O651" s="18">
        <f>Table13[[#This Row],[Price]]*0.7</f>
        <v>2097.1999999999998</v>
      </c>
      <c r="P651" s="18">
        <f t="shared" si="72"/>
        <v>6291.6000000000022</v>
      </c>
      <c r="Q651" s="18">
        <f t="shared" si="73"/>
        <v>0.1</v>
      </c>
      <c r="R651" s="18">
        <f t="shared" si="74"/>
        <v>17701.600000000002</v>
      </c>
      <c r="S651" s="18" t="str">
        <f>IF(Table13[[#This Row],[Quantity]]&lt;=3,"Small",IF(Table13[[#This Row],[Quantity]]&lt;=6,"Medium","Bulk"))</f>
        <v>Bulk</v>
      </c>
      <c r="T651" s="18" t="str">
        <f t="shared" si="75"/>
        <v>Normal</v>
      </c>
      <c r="U651" s="18" t="str">
        <f t="shared" si="76"/>
        <v>High Value</v>
      </c>
    </row>
    <row r="652" spans="1:21" x14ac:dyDescent="0.3">
      <c r="A652" t="s">
        <v>660</v>
      </c>
      <c r="B652" s="1">
        <v>45286</v>
      </c>
      <c r="C652" t="s">
        <v>1211</v>
      </c>
      <c r="D652" t="s">
        <v>1214</v>
      </c>
      <c r="E652" t="s">
        <v>1221</v>
      </c>
      <c r="F652" t="s">
        <v>1229</v>
      </c>
      <c r="G652" s="6">
        <v>6</v>
      </c>
      <c r="H652">
        <v>3249</v>
      </c>
      <c r="I652">
        <v>19494</v>
      </c>
      <c r="J652" s="2">
        <v>4557.8999999999996</v>
      </c>
      <c r="K652" s="16">
        <f>Table13[[#This Row],[Profit]]/Table13[[#This Row],[Sales]]</f>
        <v>0.2338104032009849</v>
      </c>
      <c r="L652" s="17" t="str">
        <f t="shared" si="70"/>
        <v>Medium</v>
      </c>
      <c r="M652" s="17" t="str">
        <f t="shared" si="71"/>
        <v>Dec</v>
      </c>
      <c r="N652" s="18">
        <f>YEAR(Table13[[#This Row],[Order_Date]])</f>
        <v>2023</v>
      </c>
      <c r="O652" s="18">
        <f>Table13[[#This Row],[Price]]*0.7</f>
        <v>2274.2999999999997</v>
      </c>
      <c r="P652" s="18">
        <f t="shared" si="72"/>
        <v>5848.2000000000007</v>
      </c>
      <c r="Q652" s="18">
        <f t="shared" si="73"/>
        <v>0.1</v>
      </c>
      <c r="R652" s="18">
        <f t="shared" si="74"/>
        <v>14936.1</v>
      </c>
      <c r="S652" s="18" t="str">
        <f>IF(Table13[[#This Row],[Quantity]]&lt;=3,"Small",IF(Table13[[#This Row],[Quantity]]&lt;=6,"Medium","Bulk"))</f>
        <v>Medium</v>
      </c>
      <c r="T652" s="18" t="str">
        <f t="shared" si="75"/>
        <v>Normal</v>
      </c>
      <c r="U652" s="18" t="str">
        <f t="shared" si="76"/>
        <v>Medium Value</v>
      </c>
    </row>
    <row r="653" spans="1:21" x14ac:dyDescent="0.3">
      <c r="A653" t="s">
        <v>661</v>
      </c>
      <c r="B653" s="1">
        <v>45039</v>
      </c>
      <c r="C653" t="s">
        <v>1210</v>
      </c>
      <c r="D653" t="s">
        <v>1214</v>
      </c>
      <c r="E653" t="s">
        <v>1219</v>
      </c>
      <c r="F653" t="s">
        <v>1223</v>
      </c>
      <c r="G653" s="6">
        <v>5</v>
      </c>
      <c r="H653">
        <v>2177</v>
      </c>
      <c r="I653">
        <v>10885</v>
      </c>
      <c r="J653" s="2">
        <v>2613.06</v>
      </c>
      <c r="K653" s="16">
        <f>Table13[[#This Row],[Profit]]/Table13[[#This Row],[Sales]]</f>
        <v>0.24006063389986218</v>
      </c>
      <c r="L653" s="17" t="str">
        <f t="shared" si="70"/>
        <v>Medium</v>
      </c>
      <c r="M653" s="17" t="str">
        <f t="shared" si="71"/>
        <v>Apr</v>
      </c>
      <c r="N653" s="18">
        <f>YEAR(Table13[[#This Row],[Order_Date]])</f>
        <v>2023</v>
      </c>
      <c r="O653" s="18">
        <f>Table13[[#This Row],[Price]]*0.7</f>
        <v>1523.8999999999999</v>
      </c>
      <c r="P653" s="18">
        <f t="shared" si="72"/>
        <v>3265.5000000000009</v>
      </c>
      <c r="Q653" s="18">
        <f t="shared" si="73"/>
        <v>0.05</v>
      </c>
      <c r="R653" s="18">
        <f t="shared" si="74"/>
        <v>8271.94</v>
      </c>
      <c r="S653" s="18" t="str">
        <f>IF(Table13[[#This Row],[Quantity]]&lt;=3,"Small",IF(Table13[[#This Row],[Quantity]]&lt;=6,"Medium","Bulk"))</f>
        <v>Medium</v>
      </c>
      <c r="T653" s="18" t="str">
        <f t="shared" si="75"/>
        <v>Normal</v>
      </c>
      <c r="U653" s="18" t="str">
        <f t="shared" si="76"/>
        <v>Medium Value</v>
      </c>
    </row>
    <row r="654" spans="1:21" x14ac:dyDescent="0.3">
      <c r="A654" t="s">
        <v>662</v>
      </c>
      <c r="B654" s="1">
        <v>45066</v>
      </c>
      <c r="C654" t="s">
        <v>1210</v>
      </c>
      <c r="D654" t="s">
        <v>1216</v>
      </c>
      <c r="E654" t="s">
        <v>1221</v>
      </c>
      <c r="F654" t="s">
        <v>1231</v>
      </c>
      <c r="G654" s="6">
        <v>5</v>
      </c>
      <c r="H654">
        <v>2598</v>
      </c>
      <c r="I654">
        <v>12990</v>
      </c>
      <c r="J654" s="2">
        <v>1827.05</v>
      </c>
      <c r="K654" s="16">
        <f>Table13[[#This Row],[Profit]]/Table13[[#This Row],[Sales]]</f>
        <v>0.14065050038491148</v>
      </c>
      <c r="L654" s="17" t="str">
        <f t="shared" si="70"/>
        <v>Medium</v>
      </c>
      <c r="M654" s="17" t="str">
        <f t="shared" si="71"/>
        <v>May</v>
      </c>
      <c r="N654" s="18">
        <f>YEAR(Table13[[#This Row],[Order_Date]])</f>
        <v>2023</v>
      </c>
      <c r="O654" s="18">
        <f>Table13[[#This Row],[Price]]*0.7</f>
        <v>1818.6</v>
      </c>
      <c r="P654" s="18">
        <f t="shared" si="72"/>
        <v>3897</v>
      </c>
      <c r="Q654" s="18">
        <f t="shared" si="73"/>
        <v>0.05</v>
      </c>
      <c r="R654" s="18">
        <f t="shared" si="74"/>
        <v>11162.95</v>
      </c>
      <c r="S654" s="18" t="str">
        <f>IF(Table13[[#This Row],[Quantity]]&lt;=3,"Small",IF(Table13[[#This Row],[Quantity]]&lt;=6,"Medium","Bulk"))</f>
        <v>Medium</v>
      </c>
      <c r="T654" s="18" t="str">
        <f t="shared" si="75"/>
        <v>Normal</v>
      </c>
      <c r="U654" s="18" t="str">
        <f t="shared" si="76"/>
        <v>Medium Value</v>
      </c>
    </row>
    <row r="655" spans="1:21" x14ac:dyDescent="0.3">
      <c r="A655" t="s">
        <v>663</v>
      </c>
      <c r="B655" s="1">
        <v>44992</v>
      </c>
      <c r="C655" t="s">
        <v>1211</v>
      </c>
      <c r="D655" t="s">
        <v>1214</v>
      </c>
      <c r="E655" t="s">
        <v>1219</v>
      </c>
      <c r="F655" t="s">
        <v>1223</v>
      </c>
      <c r="G655" s="6">
        <v>7</v>
      </c>
      <c r="H655">
        <v>328</v>
      </c>
      <c r="I655">
        <v>2296</v>
      </c>
      <c r="J655" s="2">
        <v>355.44</v>
      </c>
      <c r="K655" s="16">
        <f>Table13[[#This Row],[Profit]]/Table13[[#This Row],[Sales]]</f>
        <v>0.15480836236933798</v>
      </c>
      <c r="L655" s="17" t="str">
        <f t="shared" si="70"/>
        <v>Low</v>
      </c>
      <c r="M655" s="17" t="str">
        <f t="shared" si="71"/>
        <v>Mar</v>
      </c>
      <c r="N655" s="18">
        <f>YEAR(Table13[[#This Row],[Order_Date]])</f>
        <v>2023</v>
      </c>
      <c r="O655" s="18">
        <f>Table13[[#This Row],[Price]]*0.7</f>
        <v>229.6</v>
      </c>
      <c r="P655" s="18">
        <f t="shared" si="72"/>
        <v>688.8</v>
      </c>
      <c r="Q655" s="18">
        <f t="shared" si="73"/>
        <v>0.1</v>
      </c>
      <c r="R655" s="18">
        <f t="shared" si="74"/>
        <v>1940.5600000000002</v>
      </c>
      <c r="S655" s="18" t="str">
        <f>IF(Table13[[#This Row],[Quantity]]&lt;=3,"Small",IF(Table13[[#This Row],[Quantity]]&lt;=6,"Medium","Bulk"))</f>
        <v>Bulk</v>
      </c>
      <c r="T655" s="18" t="str">
        <f t="shared" si="75"/>
        <v>Normal</v>
      </c>
      <c r="U655" s="18" t="str">
        <f t="shared" si="76"/>
        <v>low Value</v>
      </c>
    </row>
    <row r="656" spans="1:21" x14ac:dyDescent="0.3">
      <c r="A656" t="s">
        <v>664</v>
      </c>
      <c r="B656" s="1">
        <v>45220</v>
      </c>
      <c r="C656" t="s">
        <v>1212</v>
      </c>
      <c r="D656" t="s">
        <v>1217</v>
      </c>
      <c r="E656" t="s">
        <v>1220</v>
      </c>
      <c r="F656" t="s">
        <v>1239</v>
      </c>
      <c r="G656" s="6">
        <v>9</v>
      </c>
      <c r="H656">
        <v>827</v>
      </c>
      <c r="I656">
        <v>7443</v>
      </c>
      <c r="J656" s="2">
        <v>747.14</v>
      </c>
      <c r="K656" s="16">
        <f>Table13[[#This Row],[Profit]]/Table13[[#This Row],[Sales]]</f>
        <v>0.10038156657261857</v>
      </c>
      <c r="L656" s="17" t="str">
        <f t="shared" si="70"/>
        <v>Low</v>
      </c>
      <c r="M656" s="17" t="str">
        <f t="shared" si="71"/>
        <v>Oct</v>
      </c>
      <c r="N656" s="18">
        <f>YEAR(Table13[[#This Row],[Order_Date]])</f>
        <v>2023</v>
      </c>
      <c r="O656" s="18">
        <f>Table13[[#This Row],[Price]]*0.7</f>
        <v>578.9</v>
      </c>
      <c r="P656" s="18">
        <f t="shared" si="72"/>
        <v>2232.9000000000005</v>
      </c>
      <c r="Q656" s="18">
        <f t="shared" si="73"/>
        <v>0.1</v>
      </c>
      <c r="R656" s="18">
        <f t="shared" si="74"/>
        <v>6695.8600000000006</v>
      </c>
      <c r="S656" s="18" t="str">
        <f>IF(Table13[[#This Row],[Quantity]]&lt;=3,"Small",IF(Table13[[#This Row],[Quantity]]&lt;=6,"Medium","Bulk"))</f>
        <v>Bulk</v>
      </c>
      <c r="T656" s="18" t="str">
        <f t="shared" si="75"/>
        <v>High Demand</v>
      </c>
      <c r="U656" s="18" t="str">
        <f t="shared" si="76"/>
        <v>low Value</v>
      </c>
    </row>
    <row r="657" spans="1:21" x14ac:dyDescent="0.3">
      <c r="A657" t="s">
        <v>665</v>
      </c>
      <c r="B657" s="1">
        <v>45203</v>
      </c>
      <c r="C657" t="s">
        <v>1213</v>
      </c>
      <c r="D657" t="s">
        <v>1218</v>
      </c>
      <c r="E657" t="s">
        <v>1220</v>
      </c>
      <c r="F657" t="s">
        <v>1225</v>
      </c>
      <c r="G657" s="6">
        <v>4</v>
      </c>
      <c r="H657">
        <v>1174</v>
      </c>
      <c r="I657">
        <v>4696</v>
      </c>
      <c r="J657" s="2">
        <v>722.03</v>
      </c>
      <c r="K657" s="16">
        <f>Table13[[#This Row],[Profit]]/Table13[[#This Row],[Sales]]</f>
        <v>0.15375425894378195</v>
      </c>
      <c r="L657" s="17" t="str">
        <f t="shared" si="70"/>
        <v>Low</v>
      </c>
      <c r="M657" s="17" t="str">
        <f t="shared" si="71"/>
        <v>Oct</v>
      </c>
      <c r="N657" s="18">
        <f>YEAR(Table13[[#This Row],[Order_Date]])</f>
        <v>2023</v>
      </c>
      <c r="O657" s="18">
        <f>Table13[[#This Row],[Price]]*0.7</f>
        <v>821.8</v>
      </c>
      <c r="P657" s="18">
        <f t="shared" si="72"/>
        <v>1408.8000000000002</v>
      </c>
      <c r="Q657" s="18">
        <f t="shared" si="73"/>
        <v>0.05</v>
      </c>
      <c r="R657" s="18">
        <f t="shared" si="74"/>
        <v>3973.9700000000003</v>
      </c>
      <c r="S657" s="18" t="str">
        <f>IF(Table13[[#This Row],[Quantity]]&lt;=3,"Small",IF(Table13[[#This Row],[Quantity]]&lt;=6,"Medium","Bulk"))</f>
        <v>Medium</v>
      </c>
      <c r="T657" s="18" t="str">
        <f t="shared" si="75"/>
        <v>Normal</v>
      </c>
      <c r="U657" s="18" t="str">
        <f t="shared" si="76"/>
        <v>low Value</v>
      </c>
    </row>
    <row r="658" spans="1:21" x14ac:dyDescent="0.3">
      <c r="A658" t="s">
        <v>666</v>
      </c>
      <c r="B658" s="1">
        <v>45290</v>
      </c>
      <c r="C658" t="s">
        <v>1210</v>
      </c>
      <c r="D658" t="s">
        <v>1216</v>
      </c>
      <c r="E658" t="s">
        <v>1220</v>
      </c>
      <c r="F658" t="s">
        <v>1228</v>
      </c>
      <c r="G658" s="6">
        <v>6</v>
      </c>
      <c r="H658">
        <v>2872</v>
      </c>
      <c r="I658">
        <v>17232</v>
      </c>
      <c r="J658" s="2">
        <v>1511.11</v>
      </c>
      <c r="K658" s="16">
        <f>Table13[[#This Row],[Profit]]/Table13[[#This Row],[Sales]]</f>
        <v>8.7692084493964706E-2</v>
      </c>
      <c r="L658" s="17" t="str">
        <f t="shared" si="70"/>
        <v>Medium</v>
      </c>
      <c r="M658" s="17" t="str">
        <f t="shared" si="71"/>
        <v>Dec</v>
      </c>
      <c r="N658" s="18">
        <f>YEAR(Table13[[#This Row],[Order_Date]])</f>
        <v>2023</v>
      </c>
      <c r="O658" s="18">
        <f>Table13[[#This Row],[Price]]*0.7</f>
        <v>2010.3999999999999</v>
      </c>
      <c r="P658" s="18">
        <f t="shared" si="72"/>
        <v>5169.6000000000004</v>
      </c>
      <c r="Q658" s="18">
        <f t="shared" si="73"/>
        <v>0.1</v>
      </c>
      <c r="R658" s="18">
        <f t="shared" si="74"/>
        <v>15720.89</v>
      </c>
      <c r="S658" s="18" t="str">
        <f>IF(Table13[[#This Row],[Quantity]]&lt;=3,"Small",IF(Table13[[#This Row],[Quantity]]&lt;=6,"Medium","Bulk"))</f>
        <v>Medium</v>
      </c>
      <c r="T658" s="18" t="str">
        <f t="shared" si="75"/>
        <v>Normal</v>
      </c>
      <c r="U658" s="18" t="str">
        <f t="shared" si="76"/>
        <v>Medium Value</v>
      </c>
    </row>
    <row r="659" spans="1:21" x14ac:dyDescent="0.3">
      <c r="A659" t="s">
        <v>667</v>
      </c>
      <c r="B659" s="1">
        <v>45286</v>
      </c>
      <c r="C659" t="s">
        <v>1210</v>
      </c>
      <c r="D659" t="s">
        <v>1214</v>
      </c>
      <c r="E659" t="s">
        <v>1219</v>
      </c>
      <c r="F659" t="s">
        <v>1233</v>
      </c>
      <c r="G659" s="6">
        <v>5</v>
      </c>
      <c r="H659">
        <v>4259</v>
      </c>
      <c r="I659">
        <v>21295</v>
      </c>
      <c r="J659" s="2">
        <v>4864.0600000000004</v>
      </c>
      <c r="K659" s="16">
        <f>Table13[[#This Row],[Profit]]/Table13[[#This Row],[Sales]]</f>
        <v>0.22841324254519843</v>
      </c>
      <c r="L659" s="17" t="str">
        <f t="shared" si="70"/>
        <v>High</v>
      </c>
      <c r="M659" s="17" t="str">
        <f t="shared" si="71"/>
        <v>Dec</v>
      </c>
      <c r="N659" s="18">
        <f>YEAR(Table13[[#This Row],[Order_Date]])</f>
        <v>2023</v>
      </c>
      <c r="O659" s="18">
        <f>Table13[[#This Row],[Price]]*0.7</f>
        <v>2981.2999999999997</v>
      </c>
      <c r="P659" s="18">
        <f t="shared" si="72"/>
        <v>6388.5000000000018</v>
      </c>
      <c r="Q659" s="18">
        <f t="shared" si="73"/>
        <v>0.05</v>
      </c>
      <c r="R659" s="18">
        <f t="shared" si="74"/>
        <v>16430.939999999999</v>
      </c>
      <c r="S659" s="18" t="str">
        <f>IF(Table13[[#This Row],[Quantity]]&lt;=3,"Small",IF(Table13[[#This Row],[Quantity]]&lt;=6,"Medium","Bulk"))</f>
        <v>Medium</v>
      </c>
      <c r="T659" s="18" t="str">
        <f t="shared" si="75"/>
        <v>Normal</v>
      </c>
      <c r="U659" s="18" t="str">
        <f t="shared" si="76"/>
        <v>High Value</v>
      </c>
    </row>
    <row r="660" spans="1:21" x14ac:dyDescent="0.3">
      <c r="A660" t="s">
        <v>668</v>
      </c>
      <c r="B660" s="1">
        <v>45129</v>
      </c>
      <c r="C660" t="s">
        <v>1212</v>
      </c>
      <c r="D660" t="s">
        <v>1215</v>
      </c>
      <c r="E660" t="s">
        <v>1221</v>
      </c>
      <c r="F660" t="s">
        <v>1229</v>
      </c>
      <c r="G660" s="6">
        <v>9</v>
      </c>
      <c r="H660">
        <v>1208</v>
      </c>
      <c r="I660">
        <v>10872</v>
      </c>
      <c r="J660" s="2">
        <v>1022.67</v>
      </c>
      <c r="K660" s="16">
        <f>Table13[[#This Row],[Profit]]/Table13[[#This Row],[Sales]]</f>
        <v>9.4064569536423837E-2</v>
      </c>
      <c r="L660" s="17" t="str">
        <f t="shared" si="70"/>
        <v>Medium</v>
      </c>
      <c r="M660" s="17" t="str">
        <f t="shared" si="71"/>
        <v>Jul</v>
      </c>
      <c r="N660" s="18">
        <f>YEAR(Table13[[#This Row],[Order_Date]])</f>
        <v>2023</v>
      </c>
      <c r="O660" s="18">
        <f>Table13[[#This Row],[Price]]*0.7</f>
        <v>845.59999999999991</v>
      </c>
      <c r="P660" s="18">
        <f t="shared" si="72"/>
        <v>3261.6000000000004</v>
      </c>
      <c r="Q660" s="18">
        <f t="shared" si="73"/>
        <v>0.1</v>
      </c>
      <c r="R660" s="18">
        <f t="shared" si="74"/>
        <v>9849.33</v>
      </c>
      <c r="S660" s="18" t="str">
        <f>IF(Table13[[#This Row],[Quantity]]&lt;=3,"Small",IF(Table13[[#This Row],[Quantity]]&lt;=6,"Medium","Bulk"))</f>
        <v>Bulk</v>
      </c>
      <c r="T660" s="18" t="str">
        <f t="shared" si="75"/>
        <v>High Demand</v>
      </c>
      <c r="U660" s="18" t="str">
        <f t="shared" si="76"/>
        <v>Medium Value</v>
      </c>
    </row>
    <row r="661" spans="1:21" x14ac:dyDescent="0.3">
      <c r="A661" t="s">
        <v>669</v>
      </c>
      <c r="B661" s="1">
        <v>45163</v>
      </c>
      <c r="C661" t="s">
        <v>1211</v>
      </c>
      <c r="D661" t="s">
        <v>1215</v>
      </c>
      <c r="E661" t="s">
        <v>1220</v>
      </c>
      <c r="F661" t="s">
        <v>1228</v>
      </c>
      <c r="G661" s="6">
        <v>5</v>
      </c>
      <c r="H661">
        <v>510</v>
      </c>
      <c r="I661">
        <v>2550</v>
      </c>
      <c r="J661" s="2">
        <v>360.73</v>
      </c>
      <c r="K661" s="16">
        <f>Table13[[#This Row],[Profit]]/Table13[[#This Row],[Sales]]</f>
        <v>0.14146274509803922</v>
      </c>
      <c r="L661" s="17" t="str">
        <f t="shared" si="70"/>
        <v>Low</v>
      </c>
      <c r="M661" s="17" t="str">
        <f t="shared" si="71"/>
        <v>Aug</v>
      </c>
      <c r="N661" s="18">
        <f>YEAR(Table13[[#This Row],[Order_Date]])</f>
        <v>2023</v>
      </c>
      <c r="O661" s="18">
        <f>Table13[[#This Row],[Price]]*0.7</f>
        <v>357</v>
      </c>
      <c r="P661" s="18">
        <f t="shared" si="72"/>
        <v>765</v>
      </c>
      <c r="Q661" s="18">
        <f t="shared" si="73"/>
        <v>0.05</v>
      </c>
      <c r="R661" s="18">
        <f t="shared" si="74"/>
        <v>2189.27</v>
      </c>
      <c r="S661" s="18" t="str">
        <f>IF(Table13[[#This Row],[Quantity]]&lt;=3,"Small",IF(Table13[[#This Row],[Quantity]]&lt;=6,"Medium","Bulk"))</f>
        <v>Medium</v>
      </c>
      <c r="T661" s="18" t="str">
        <f t="shared" si="75"/>
        <v>Normal</v>
      </c>
      <c r="U661" s="18" t="str">
        <f t="shared" si="76"/>
        <v>low Value</v>
      </c>
    </row>
    <row r="662" spans="1:21" x14ac:dyDescent="0.3">
      <c r="A662" t="s">
        <v>670</v>
      </c>
      <c r="B662" s="1">
        <v>44956</v>
      </c>
      <c r="C662" t="s">
        <v>1210</v>
      </c>
      <c r="D662" t="s">
        <v>1216</v>
      </c>
      <c r="E662" t="s">
        <v>1222</v>
      </c>
      <c r="F662" t="s">
        <v>1234</v>
      </c>
      <c r="G662" s="6">
        <v>2</v>
      </c>
      <c r="H662">
        <v>559</v>
      </c>
      <c r="I662">
        <v>1118</v>
      </c>
      <c r="J662" s="2">
        <v>95.61</v>
      </c>
      <c r="K662" s="16">
        <f>Table13[[#This Row],[Profit]]/Table13[[#This Row],[Sales]]</f>
        <v>8.5518783542039359E-2</v>
      </c>
      <c r="L662" s="17" t="str">
        <f t="shared" si="70"/>
        <v>Low</v>
      </c>
      <c r="M662" s="17" t="str">
        <f t="shared" si="71"/>
        <v>Jan</v>
      </c>
      <c r="N662" s="18">
        <f>YEAR(Table13[[#This Row],[Order_Date]])</f>
        <v>2023</v>
      </c>
      <c r="O662" s="18">
        <f>Table13[[#This Row],[Price]]*0.7</f>
        <v>391.29999999999995</v>
      </c>
      <c r="P662" s="18">
        <f t="shared" si="72"/>
        <v>335.40000000000009</v>
      </c>
      <c r="Q662" s="18">
        <f t="shared" si="73"/>
        <v>0.05</v>
      </c>
      <c r="R662" s="18">
        <f t="shared" si="74"/>
        <v>1022.39</v>
      </c>
      <c r="S662" s="18" t="str">
        <f>IF(Table13[[#This Row],[Quantity]]&lt;=3,"Small",IF(Table13[[#This Row],[Quantity]]&lt;=6,"Medium","Bulk"))</f>
        <v>Small</v>
      </c>
      <c r="T662" s="18" t="str">
        <f t="shared" si="75"/>
        <v>Normal</v>
      </c>
      <c r="U662" s="18" t="str">
        <f t="shared" si="76"/>
        <v>low Value</v>
      </c>
    </row>
    <row r="663" spans="1:21" x14ac:dyDescent="0.3">
      <c r="A663" t="s">
        <v>671</v>
      </c>
      <c r="B663" s="1">
        <v>45146</v>
      </c>
      <c r="C663" t="s">
        <v>1211</v>
      </c>
      <c r="D663" t="s">
        <v>1218</v>
      </c>
      <c r="E663" t="s">
        <v>1221</v>
      </c>
      <c r="F663" t="s">
        <v>1226</v>
      </c>
      <c r="G663" s="6">
        <v>7</v>
      </c>
      <c r="H663">
        <v>1825</v>
      </c>
      <c r="I663">
        <v>12775</v>
      </c>
      <c r="J663" s="2">
        <v>2736.58</v>
      </c>
      <c r="K663" s="16">
        <f>Table13[[#This Row],[Profit]]/Table13[[#This Row],[Sales]]</f>
        <v>0.21421369863013698</v>
      </c>
      <c r="L663" s="17" t="str">
        <f t="shared" si="70"/>
        <v>Medium</v>
      </c>
      <c r="M663" s="17" t="str">
        <f t="shared" si="71"/>
        <v>Aug</v>
      </c>
      <c r="N663" s="18">
        <f>YEAR(Table13[[#This Row],[Order_Date]])</f>
        <v>2023</v>
      </c>
      <c r="O663" s="18">
        <f>Table13[[#This Row],[Price]]*0.7</f>
        <v>1277.5</v>
      </c>
      <c r="P663" s="18">
        <f t="shared" si="72"/>
        <v>3832.5</v>
      </c>
      <c r="Q663" s="18">
        <f t="shared" si="73"/>
        <v>0.1</v>
      </c>
      <c r="R663" s="18">
        <f t="shared" si="74"/>
        <v>10038.42</v>
      </c>
      <c r="S663" s="18" t="str">
        <f>IF(Table13[[#This Row],[Quantity]]&lt;=3,"Small",IF(Table13[[#This Row],[Quantity]]&lt;=6,"Medium","Bulk"))</f>
        <v>Bulk</v>
      </c>
      <c r="T663" s="18" t="str">
        <f t="shared" si="75"/>
        <v>Normal</v>
      </c>
      <c r="U663" s="18" t="str">
        <f t="shared" si="76"/>
        <v>Medium Value</v>
      </c>
    </row>
    <row r="664" spans="1:21" x14ac:dyDescent="0.3">
      <c r="A664" t="s">
        <v>672</v>
      </c>
      <c r="B664" s="1">
        <v>45173</v>
      </c>
      <c r="C664" t="s">
        <v>1210</v>
      </c>
      <c r="D664" t="s">
        <v>1216</v>
      </c>
      <c r="E664" t="s">
        <v>1219</v>
      </c>
      <c r="F664" t="s">
        <v>1238</v>
      </c>
      <c r="G664" s="6">
        <v>5</v>
      </c>
      <c r="H664">
        <v>1919</v>
      </c>
      <c r="I664">
        <v>9595</v>
      </c>
      <c r="J664" s="2">
        <v>1334.46</v>
      </c>
      <c r="K664" s="16">
        <f>Table13[[#This Row],[Profit]]/Table13[[#This Row],[Sales]]</f>
        <v>0.13907868681605004</v>
      </c>
      <c r="L664" s="17" t="str">
        <f t="shared" si="70"/>
        <v>Low</v>
      </c>
      <c r="M664" s="17" t="str">
        <f t="shared" si="71"/>
        <v>Sep</v>
      </c>
      <c r="N664" s="18">
        <f>YEAR(Table13[[#This Row],[Order_Date]])</f>
        <v>2023</v>
      </c>
      <c r="O664" s="18">
        <f>Table13[[#This Row],[Price]]*0.7</f>
        <v>1343.3</v>
      </c>
      <c r="P664" s="18">
        <f t="shared" si="72"/>
        <v>2878.5</v>
      </c>
      <c r="Q664" s="18">
        <f t="shared" si="73"/>
        <v>0.05</v>
      </c>
      <c r="R664" s="18">
        <f t="shared" si="74"/>
        <v>8260.5399999999991</v>
      </c>
      <c r="S664" s="18" t="str">
        <f>IF(Table13[[#This Row],[Quantity]]&lt;=3,"Small",IF(Table13[[#This Row],[Quantity]]&lt;=6,"Medium","Bulk"))</f>
        <v>Medium</v>
      </c>
      <c r="T664" s="18" t="str">
        <f t="shared" si="75"/>
        <v>Normal</v>
      </c>
      <c r="U664" s="18" t="str">
        <f t="shared" si="76"/>
        <v>low Value</v>
      </c>
    </row>
    <row r="665" spans="1:21" x14ac:dyDescent="0.3">
      <c r="A665" t="s">
        <v>673</v>
      </c>
      <c r="B665" s="1">
        <v>45037</v>
      </c>
      <c r="C665" t="s">
        <v>1212</v>
      </c>
      <c r="D665" t="s">
        <v>1218</v>
      </c>
      <c r="E665" t="s">
        <v>1222</v>
      </c>
      <c r="F665" t="s">
        <v>1236</v>
      </c>
      <c r="G665" s="6">
        <v>1</v>
      </c>
      <c r="H665">
        <v>477</v>
      </c>
      <c r="I665">
        <v>477</v>
      </c>
      <c r="J665" s="2">
        <v>56.53</v>
      </c>
      <c r="K665" s="16">
        <f>Table13[[#This Row],[Profit]]/Table13[[#This Row],[Sales]]</f>
        <v>0.11851153039832285</v>
      </c>
      <c r="L665" s="17" t="str">
        <f t="shared" si="70"/>
        <v>Low</v>
      </c>
      <c r="M665" s="17" t="str">
        <f t="shared" si="71"/>
        <v>Apr</v>
      </c>
      <c r="N665" s="18">
        <f>YEAR(Table13[[#This Row],[Order_Date]])</f>
        <v>2023</v>
      </c>
      <c r="O665" s="18">
        <f>Table13[[#This Row],[Price]]*0.7</f>
        <v>333.9</v>
      </c>
      <c r="P665" s="18">
        <f t="shared" si="72"/>
        <v>143.10000000000002</v>
      </c>
      <c r="Q665" s="18">
        <f t="shared" si="73"/>
        <v>0.05</v>
      </c>
      <c r="R665" s="18">
        <f t="shared" si="74"/>
        <v>420.47</v>
      </c>
      <c r="S665" s="18" t="str">
        <f>IF(Table13[[#This Row],[Quantity]]&lt;=3,"Small",IF(Table13[[#This Row],[Quantity]]&lt;=6,"Medium","Bulk"))</f>
        <v>Small</v>
      </c>
      <c r="T665" s="18" t="str">
        <f t="shared" si="75"/>
        <v>High Demand</v>
      </c>
      <c r="U665" s="18" t="str">
        <f t="shared" si="76"/>
        <v>low Value</v>
      </c>
    </row>
    <row r="666" spans="1:21" x14ac:dyDescent="0.3">
      <c r="A666" t="s">
        <v>674</v>
      </c>
      <c r="B666" s="1">
        <v>45135</v>
      </c>
      <c r="C666" t="s">
        <v>1211</v>
      </c>
      <c r="D666" t="s">
        <v>1214</v>
      </c>
      <c r="E666" t="s">
        <v>1222</v>
      </c>
      <c r="F666" t="s">
        <v>1227</v>
      </c>
      <c r="G666" s="6">
        <v>6</v>
      </c>
      <c r="H666">
        <v>1649</v>
      </c>
      <c r="I666">
        <v>9894</v>
      </c>
      <c r="J666" s="2">
        <v>2176.7199999999998</v>
      </c>
      <c r="K666" s="16">
        <f>Table13[[#This Row],[Profit]]/Table13[[#This Row],[Sales]]</f>
        <v>0.22000404285425509</v>
      </c>
      <c r="L666" s="17" t="str">
        <f t="shared" si="70"/>
        <v>Low</v>
      </c>
      <c r="M666" s="17" t="str">
        <f t="shared" si="71"/>
        <v>Jul</v>
      </c>
      <c r="N666" s="18">
        <f>YEAR(Table13[[#This Row],[Order_Date]])</f>
        <v>2023</v>
      </c>
      <c r="O666" s="18">
        <f>Table13[[#This Row],[Price]]*0.7</f>
        <v>1154.3</v>
      </c>
      <c r="P666" s="18">
        <f t="shared" si="72"/>
        <v>2968.2000000000007</v>
      </c>
      <c r="Q666" s="18">
        <f t="shared" si="73"/>
        <v>0.1</v>
      </c>
      <c r="R666" s="18">
        <f t="shared" si="74"/>
        <v>7717.28</v>
      </c>
      <c r="S666" s="18" t="str">
        <f>IF(Table13[[#This Row],[Quantity]]&lt;=3,"Small",IF(Table13[[#This Row],[Quantity]]&lt;=6,"Medium","Bulk"))</f>
        <v>Medium</v>
      </c>
      <c r="T666" s="18" t="str">
        <f t="shared" si="75"/>
        <v>Normal</v>
      </c>
      <c r="U666" s="18" t="str">
        <f t="shared" si="76"/>
        <v>low Value</v>
      </c>
    </row>
    <row r="667" spans="1:21" x14ac:dyDescent="0.3">
      <c r="A667" t="s">
        <v>675</v>
      </c>
      <c r="B667" s="1">
        <v>45016</v>
      </c>
      <c r="C667" t="s">
        <v>1212</v>
      </c>
      <c r="D667" t="s">
        <v>1218</v>
      </c>
      <c r="E667" t="s">
        <v>1222</v>
      </c>
      <c r="F667" t="s">
        <v>1236</v>
      </c>
      <c r="G667" s="6">
        <v>8</v>
      </c>
      <c r="H667">
        <v>3958</v>
      </c>
      <c r="I667">
        <v>31664</v>
      </c>
      <c r="J667" s="2">
        <v>2811.88</v>
      </c>
      <c r="K667" s="16">
        <f>Table13[[#This Row],[Profit]]/Table13[[#This Row],[Sales]]</f>
        <v>8.8803688731682665E-2</v>
      </c>
      <c r="L667" s="17" t="str">
        <f t="shared" si="70"/>
        <v>High</v>
      </c>
      <c r="M667" s="17" t="str">
        <f t="shared" si="71"/>
        <v>Mar</v>
      </c>
      <c r="N667" s="18">
        <f>YEAR(Table13[[#This Row],[Order_Date]])</f>
        <v>2023</v>
      </c>
      <c r="O667" s="18">
        <f>Table13[[#This Row],[Price]]*0.7</f>
        <v>2770.6</v>
      </c>
      <c r="P667" s="18">
        <f t="shared" si="72"/>
        <v>9499.2000000000007</v>
      </c>
      <c r="Q667" s="18">
        <f t="shared" si="73"/>
        <v>0.1</v>
      </c>
      <c r="R667" s="18">
        <f t="shared" si="74"/>
        <v>28852.12</v>
      </c>
      <c r="S667" s="18" t="str">
        <f>IF(Table13[[#This Row],[Quantity]]&lt;=3,"Small",IF(Table13[[#This Row],[Quantity]]&lt;=6,"Medium","Bulk"))</f>
        <v>Bulk</v>
      </c>
      <c r="T667" s="18" t="str">
        <f t="shared" si="75"/>
        <v>High Demand</v>
      </c>
      <c r="U667" s="18" t="str">
        <f t="shared" si="76"/>
        <v>High Value</v>
      </c>
    </row>
    <row r="668" spans="1:21" x14ac:dyDescent="0.3">
      <c r="A668" t="s">
        <v>676</v>
      </c>
      <c r="B668" s="1">
        <v>45165</v>
      </c>
      <c r="C668" t="s">
        <v>1213</v>
      </c>
      <c r="D668" t="s">
        <v>1215</v>
      </c>
      <c r="E668" t="s">
        <v>1220</v>
      </c>
      <c r="F668" t="s">
        <v>1228</v>
      </c>
      <c r="G668" s="6">
        <v>6</v>
      </c>
      <c r="H668">
        <v>4458</v>
      </c>
      <c r="I668">
        <v>26748</v>
      </c>
      <c r="J668" s="2">
        <v>3145.85</v>
      </c>
      <c r="K668" s="16">
        <f>Table13[[#This Row],[Profit]]/Table13[[#This Row],[Sales]]</f>
        <v>0.11761066247943772</v>
      </c>
      <c r="L668" s="17" t="str">
        <f t="shared" si="70"/>
        <v>High</v>
      </c>
      <c r="M668" s="17" t="str">
        <f t="shared" si="71"/>
        <v>Aug</v>
      </c>
      <c r="N668" s="18">
        <f>YEAR(Table13[[#This Row],[Order_Date]])</f>
        <v>2023</v>
      </c>
      <c r="O668" s="18">
        <f>Table13[[#This Row],[Price]]*0.7</f>
        <v>3120.6</v>
      </c>
      <c r="P668" s="18">
        <f t="shared" si="72"/>
        <v>8024.4000000000015</v>
      </c>
      <c r="Q668" s="18">
        <f t="shared" si="73"/>
        <v>0.1</v>
      </c>
      <c r="R668" s="18">
        <f t="shared" si="74"/>
        <v>23602.149999999998</v>
      </c>
      <c r="S668" s="18" t="str">
        <f>IF(Table13[[#This Row],[Quantity]]&lt;=3,"Small",IF(Table13[[#This Row],[Quantity]]&lt;=6,"Medium","Bulk"))</f>
        <v>Medium</v>
      </c>
      <c r="T668" s="18" t="str">
        <f t="shared" si="75"/>
        <v>Normal</v>
      </c>
      <c r="U668" s="18" t="str">
        <f t="shared" si="76"/>
        <v>High Value</v>
      </c>
    </row>
    <row r="669" spans="1:21" x14ac:dyDescent="0.3">
      <c r="A669" t="s">
        <v>677</v>
      </c>
      <c r="B669" s="1">
        <v>45089</v>
      </c>
      <c r="C669" t="s">
        <v>1213</v>
      </c>
      <c r="D669" t="s">
        <v>1215</v>
      </c>
      <c r="E669" t="s">
        <v>1219</v>
      </c>
      <c r="F669" t="s">
        <v>1233</v>
      </c>
      <c r="G669" s="6">
        <v>1</v>
      </c>
      <c r="H669">
        <v>2662</v>
      </c>
      <c r="I669">
        <v>2662</v>
      </c>
      <c r="J669" s="2">
        <v>350.21</v>
      </c>
      <c r="K669" s="16">
        <f>Table13[[#This Row],[Profit]]/Table13[[#This Row],[Sales]]</f>
        <v>0.13155897821187076</v>
      </c>
      <c r="L669" s="17" t="str">
        <f t="shared" si="70"/>
        <v>Low</v>
      </c>
      <c r="M669" s="17" t="str">
        <f t="shared" si="71"/>
        <v>Jun</v>
      </c>
      <c r="N669" s="18">
        <f>YEAR(Table13[[#This Row],[Order_Date]])</f>
        <v>2023</v>
      </c>
      <c r="O669" s="18">
        <f>Table13[[#This Row],[Price]]*0.7</f>
        <v>1863.3999999999999</v>
      </c>
      <c r="P669" s="18">
        <f t="shared" si="72"/>
        <v>798.60000000000014</v>
      </c>
      <c r="Q669" s="18">
        <f t="shared" si="73"/>
        <v>0.05</v>
      </c>
      <c r="R669" s="18">
        <f t="shared" si="74"/>
        <v>2311.79</v>
      </c>
      <c r="S669" s="18" t="str">
        <f>IF(Table13[[#This Row],[Quantity]]&lt;=3,"Small",IF(Table13[[#This Row],[Quantity]]&lt;=6,"Medium","Bulk"))</f>
        <v>Small</v>
      </c>
      <c r="T669" s="18" t="str">
        <f t="shared" si="75"/>
        <v>Normal</v>
      </c>
      <c r="U669" s="18" t="str">
        <f t="shared" si="76"/>
        <v>low Value</v>
      </c>
    </row>
    <row r="670" spans="1:21" x14ac:dyDescent="0.3">
      <c r="A670" t="s">
        <v>678</v>
      </c>
      <c r="B670" s="1">
        <v>44952</v>
      </c>
      <c r="C670" t="s">
        <v>1210</v>
      </c>
      <c r="D670" t="s">
        <v>1215</v>
      </c>
      <c r="E670" t="s">
        <v>1220</v>
      </c>
      <c r="F670" t="s">
        <v>1225</v>
      </c>
      <c r="G670" s="6">
        <v>1</v>
      </c>
      <c r="H670">
        <v>606</v>
      </c>
      <c r="I670">
        <v>606</v>
      </c>
      <c r="J670" s="2">
        <v>103.24</v>
      </c>
      <c r="K670" s="16">
        <f>Table13[[#This Row],[Profit]]/Table13[[#This Row],[Sales]]</f>
        <v>0.17036303630363037</v>
      </c>
      <c r="L670" s="17" t="str">
        <f t="shared" si="70"/>
        <v>Low</v>
      </c>
      <c r="M670" s="17" t="str">
        <f t="shared" si="71"/>
        <v>Jan</v>
      </c>
      <c r="N670" s="18">
        <f>YEAR(Table13[[#This Row],[Order_Date]])</f>
        <v>2023</v>
      </c>
      <c r="O670" s="18">
        <f>Table13[[#This Row],[Price]]*0.7</f>
        <v>424.2</v>
      </c>
      <c r="P670" s="18">
        <f t="shared" si="72"/>
        <v>181.8</v>
      </c>
      <c r="Q670" s="18">
        <f t="shared" si="73"/>
        <v>0.05</v>
      </c>
      <c r="R670" s="18">
        <f t="shared" si="74"/>
        <v>502.76</v>
      </c>
      <c r="S670" s="18" t="str">
        <f>IF(Table13[[#This Row],[Quantity]]&lt;=3,"Small",IF(Table13[[#This Row],[Quantity]]&lt;=6,"Medium","Bulk"))</f>
        <v>Small</v>
      </c>
      <c r="T670" s="18" t="str">
        <f t="shared" si="75"/>
        <v>Normal</v>
      </c>
      <c r="U670" s="18" t="str">
        <f t="shared" si="76"/>
        <v>low Value</v>
      </c>
    </row>
    <row r="671" spans="1:21" x14ac:dyDescent="0.3">
      <c r="A671" t="s">
        <v>679</v>
      </c>
      <c r="B671" s="1">
        <v>45168</v>
      </c>
      <c r="C671" t="s">
        <v>1211</v>
      </c>
      <c r="D671" t="s">
        <v>1216</v>
      </c>
      <c r="E671" t="s">
        <v>1220</v>
      </c>
      <c r="F671" t="s">
        <v>1224</v>
      </c>
      <c r="G671" s="6">
        <v>6</v>
      </c>
      <c r="H671">
        <v>909</v>
      </c>
      <c r="I671">
        <v>5454</v>
      </c>
      <c r="J671" s="2">
        <v>1042.8399999999999</v>
      </c>
      <c r="K671" s="16">
        <f>Table13[[#This Row],[Profit]]/Table13[[#This Row],[Sales]]</f>
        <v>0.19120645397873118</v>
      </c>
      <c r="L671" s="17" t="str">
        <f t="shared" si="70"/>
        <v>Low</v>
      </c>
      <c r="M671" s="17" t="str">
        <f t="shared" si="71"/>
        <v>Aug</v>
      </c>
      <c r="N671" s="18">
        <f>YEAR(Table13[[#This Row],[Order_Date]])</f>
        <v>2023</v>
      </c>
      <c r="O671" s="18">
        <f>Table13[[#This Row],[Price]]*0.7</f>
        <v>636.29999999999995</v>
      </c>
      <c r="P671" s="18">
        <f t="shared" si="72"/>
        <v>1636.2000000000003</v>
      </c>
      <c r="Q671" s="18">
        <f t="shared" si="73"/>
        <v>0.1</v>
      </c>
      <c r="R671" s="18">
        <f t="shared" si="74"/>
        <v>4411.16</v>
      </c>
      <c r="S671" s="18" t="str">
        <f>IF(Table13[[#This Row],[Quantity]]&lt;=3,"Small",IF(Table13[[#This Row],[Quantity]]&lt;=6,"Medium","Bulk"))</f>
        <v>Medium</v>
      </c>
      <c r="T671" s="18" t="str">
        <f t="shared" si="75"/>
        <v>Normal</v>
      </c>
      <c r="U671" s="18" t="str">
        <f t="shared" si="76"/>
        <v>low Value</v>
      </c>
    </row>
    <row r="672" spans="1:21" x14ac:dyDescent="0.3">
      <c r="A672" t="s">
        <v>680</v>
      </c>
      <c r="B672" s="1">
        <v>44945</v>
      </c>
      <c r="C672" t="s">
        <v>1210</v>
      </c>
      <c r="D672" t="s">
        <v>1214</v>
      </c>
      <c r="E672" t="s">
        <v>1222</v>
      </c>
      <c r="F672" t="s">
        <v>1234</v>
      </c>
      <c r="G672" s="6">
        <v>7</v>
      </c>
      <c r="H672">
        <v>4851</v>
      </c>
      <c r="I672">
        <v>33957</v>
      </c>
      <c r="J672" s="2">
        <v>3388.26</v>
      </c>
      <c r="K672" s="16">
        <f>Table13[[#This Row],[Profit]]/Table13[[#This Row],[Sales]]</f>
        <v>9.9780899372736112E-2</v>
      </c>
      <c r="L672" s="17" t="str">
        <f t="shared" si="70"/>
        <v>High</v>
      </c>
      <c r="M672" s="17" t="str">
        <f t="shared" si="71"/>
        <v>Jan</v>
      </c>
      <c r="N672" s="18">
        <f>YEAR(Table13[[#This Row],[Order_Date]])</f>
        <v>2023</v>
      </c>
      <c r="O672" s="18">
        <f>Table13[[#This Row],[Price]]*0.7</f>
        <v>3395.7</v>
      </c>
      <c r="P672" s="18">
        <f t="shared" si="72"/>
        <v>10187.100000000002</v>
      </c>
      <c r="Q672" s="18">
        <f t="shared" si="73"/>
        <v>0.1</v>
      </c>
      <c r="R672" s="18">
        <f t="shared" si="74"/>
        <v>30568.739999999998</v>
      </c>
      <c r="S672" s="18" t="str">
        <f>IF(Table13[[#This Row],[Quantity]]&lt;=3,"Small",IF(Table13[[#This Row],[Quantity]]&lt;=6,"Medium","Bulk"))</f>
        <v>Bulk</v>
      </c>
      <c r="T672" s="18" t="str">
        <f t="shared" si="75"/>
        <v>Normal</v>
      </c>
      <c r="U672" s="18" t="str">
        <f t="shared" si="76"/>
        <v>High Value</v>
      </c>
    </row>
    <row r="673" spans="1:21" x14ac:dyDescent="0.3">
      <c r="A673" t="s">
        <v>681</v>
      </c>
      <c r="B673" s="1">
        <v>45026</v>
      </c>
      <c r="C673" t="s">
        <v>1210</v>
      </c>
      <c r="D673" t="s">
        <v>1217</v>
      </c>
      <c r="E673" t="s">
        <v>1219</v>
      </c>
      <c r="F673" t="s">
        <v>1223</v>
      </c>
      <c r="G673" s="6">
        <v>3</v>
      </c>
      <c r="H673">
        <v>2666</v>
      </c>
      <c r="I673">
        <v>7998</v>
      </c>
      <c r="J673" s="2">
        <v>1122.07</v>
      </c>
      <c r="K673" s="16">
        <f>Table13[[#This Row],[Profit]]/Table13[[#This Row],[Sales]]</f>
        <v>0.14029382345586397</v>
      </c>
      <c r="L673" s="17" t="str">
        <f t="shared" si="70"/>
        <v>Low</v>
      </c>
      <c r="M673" s="17" t="str">
        <f t="shared" si="71"/>
        <v>Apr</v>
      </c>
      <c r="N673" s="18">
        <f>YEAR(Table13[[#This Row],[Order_Date]])</f>
        <v>2023</v>
      </c>
      <c r="O673" s="18">
        <f>Table13[[#This Row],[Price]]*0.7</f>
        <v>1866.1999999999998</v>
      </c>
      <c r="P673" s="18">
        <f t="shared" si="72"/>
        <v>2399.4000000000005</v>
      </c>
      <c r="Q673" s="18">
        <f t="shared" si="73"/>
        <v>0.05</v>
      </c>
      <c r="R673" s="18">
        <f t="shared" si="74"/>
        <v>6875.93</v>
      </c>
      <c r="S673" s="18" t="str">
        <f>IF(Table13[[#This Row],[Quantity]]&lt;=3,"Small",IF(Table13[[#This Row],[Quantity]]&lt;=6,"Medium","Bulk"))</f>
        <v>Small</v>
      </c>
      <c r="T673" s="18" t="str">
        <f t="shared" si="75"/>
        <v>Normal</v>
      </c>
      <c r="U673" s="18" t="str">
        <f t="shared" si="76"/>
        <v>low Value</v>
      </c>
    </row>
    <row r="674" spans="1:21" x14ac:dyDescent="0.3">
      <c r="A674" t="s">
        <v>682</v>
      </c>
      <c r="B674" s="1">
        <v>44976</v>
      </c>
      <c r="C674" t="s">
        <v>1212</v>
      </c>
      <c r="D674" t="s">
        <v>1214</v>
      </c>
      <c r="E674" t="s">
        <v>1221</v>
      </c>
      <c r="F674" t="s">
        <v>1226</v>
      </c>
      <c r="G674" s="6">
        <v>8</v>
      </c>
      <c r="H674">
        <v>4440</v>
      </c>
      <c r="I674">
        <v>35520</v>
      </c>
      <c r="J674" s="2">
        <v>8271.69</v>
      </c>
      <c r="K674" s="16">
        <f>Table13[[#This Row],[Profit]]/Table13[[#This Row],[Sales]]</f>
        <v>0.23287415540540543</v>
      </c>
      <c r="L674" s="17" t="str">
        <f t="shared" si="70"/>
        <v>High</v>
      </c>
      <c r="M674" s="17" t="str">
        <f t="shared" si="71"/>
        <v>Feb</v>
      </c>
      <c r="N674" s="18">
        <f>YEAR(Table13[[#This Row],[Order_Date]])</f>
        <v>2023</v>
      </c>
      <c r="O674" s="18">
        <f>Table13[[#This Row],[Price]]*0.7</f>
        <v>3108</v>
      </c>
      <c r="P674" s="18">
        <f t="shared" si="72"/>
        <v>10656</v>
      </c>
      <c r="Q674" s="18">
        <f t="shared" si="73"/>
        <v>0.1</v>
      </c>
      <c r="R674" s="18">
        <f t="shared" si="74"/>
        <v>27248.309999999998</v>
      </c>
      <c r="S674" s="18" t="str">
        <f>IF(Table13[[#This Row],[Quantity]]&lt;=3,"Small",IF(Table13[[#This Row],[Quantity]]&lt;=6,"Medium","Bulk"))</f>
        <v>Bulk</v>
      </c>
      <c r="T674" s="18" t="str">
        <f t="shared" si="75"/>
        <v>High Demand</v>
      </c>
      <c r="U674" s="18" t="str">
        <f t="shared" si="76"/>
        <v>High Value</v>
      </c>
    </row>
    <row r="675" spans="1:21" x14ac:dyDescent="0.3">
      <c r="A675" t="s">
        <v>683</v>
      </c>
      <c r="B675" s="1">
        <v>45165</v>
      </c>
      <c r="C675" t="s">
        <v>1211</v>
      </c>
      <c r="D675" t="s">
        <v>1216</v>
      </c>
      <c r="E675" t="s">
        <v>1221</v>
      </c>
      <c r="F675" t="s">
        <v>1226</v>
      </c>
      <c r="G675" s="6">
        <v>6</v>
      </c>
      <c r="H675">
        <v>1351</v>
      </c>
      <c r="I675">
        <v>8106</v>
      </c>
      <c r="J675" s="2">
        <v>1555.44</v>
      </c>
      <c r="K675" s="16">
        <f>Table13[[#This Row],[Profit]]/Table13[[#This Row],[Sales]]</f>
        <v>0.19188749074759437</v>
      </c>
      <c r="L675" s="17" t="str">
        <f t="shared" si="70"/>
        <v>Low</v>
      </c>
      <c r="M675" s="17" t="str">
        <f t="shared" si="71"/>
        <v>Aug</v>
      </c>
      <c r="N675" s="18">
        <f>YEAR(Table13[[#This Row],[Order_Date]])</f>
        <v>2023</v>
      </c>
      <c r="O675" s="18">
        <f>Table13[[#This Row],[Price]]*0.7</f>
        <v>945.69999999999993</v>
      </c>
      <c r="P675" s="18">
        <f t="shared" si="72"/>
        <v>2431.8000000000002</v>
      </c>
      <c r="Q675" s="18">
        <f t="shared" si="73"/>
        <v>0.1</v>
      </c>
      <c r="R675" s="18">
        <f t="shared" si="74"/>
        <v>6550.56</v>
      </c>
      <c r="S675" s="18" t="str">
        <f>IF(Table13[[#This Row],[Quantity]]&lt;=3,"Small",IF(Table13[[#This Row],[Quantity]]&lt;=6,"Medium","Bulk"))</f>
        <v>Medium</v>
      </c>
      <c r="T675" s="18" t="str">
        <f t="shared" si="75"/>
        <v>Normal</v>
      </c>
      <c r="U675" s="18" t="str">
        <f t="shared" si="76"/>
        <v>low Value</v>
      </c>
    </row>
    <row r="676" spans="1:21" x14ac:dyDescent="0.3">
      <c r="A676" t="s">
        <v>684</v>
      </c>
      <c r="B676" s="1">
        <v>45278</v>
      </c>
      <c r="C676" t="s">
        <v>1212</v>
      </c>
      <c r="D676" t="s">
        <v>1239</v>
      </c>
      <c r="E676" t="s">
        <v>1221</v>
      </c>
      <c r="F676" t="s">
        <v>1235</v>
      </c>
      <c r="G676" s="6">
        <v>4</v>
      </c>
      <c r="H676">
        <v>4724</v>
      </c>
      <c r="I676">
        <v>18896</v>
      </c>
      <c r="J676" s="2">
        <v>2218.6799999999998</v>
      </c>
      <c r="K676" s="16">
        <f>Table13[[#This Row],[Profit]]/Table13[[#This Row],[Sales]]</f>
        <v>0.11741532599491955</v>
      </c>
      <c r="L676" s="17" t="str">
        <f t="shared" si="70"/>
        <v>Medium</v>
      </c>
      <c r="M676" s="17" t="str">
        <f t="shared" si="71"/>
        <v>Dec</v>
      </c>
      <c r="N676" s="18">
        <f>YEAR(Table13[[#This Row],[Order_Date]])</f>
        <v>2023</v>
      </c>
      <c r="O676" s="18">
        <f>Table13[[#This Row],[Price]]*0.7</f>
        <v>3306.7999999999997</v>
      </c>
      <c r="P676" s="18">
        <f t="shared" si="72"/>
        <v>5668.8000000000011</v>
      </c>
      <c r="Q676" s="18">
        <f t="shared" si="73"/>
        <v>0.05</v>
      </c>
      <c r="R676" s="18">
        <f t="shared" si="74"/>
        <v>16677.32</v>
      </c>
      <c r="S676" s="18" t="str">
        <f>IF(Table13[[#This Row],[Quantity]]&lt;=3,"Small",IF(Table13[[#This Row],[Quantity]]&lt;=6,"Medium","Bulk"))</f>
        <v>Medium</v>
      </c>
      <c r="T676" s="18" t="str">
        <f t="shared" si="75"/>
        <v>High Demand</v>
      </c>
      <c r="U676" s="18" t="str">
        <f t="shared" si="76"/>
        <v>Medium Value</v>
      </c>
    </row>
    <row r="677" spans="1:21" x14ac:dyDescent="0.3">
      <c r="A677" t="s">
        <v>685</v>
      </c>
      <c r="B677" s="1">
        <v>45097</v>
      </c>
      <c r="C677" t="s">
        <v>1210</v>
      </c>
      <c r="D677" t="s">
        <v>1218</v>
      </c>
      <c r="E677" t="s">
        <v>1219</v>
      </c>
      <c r="F677" t="s">
        <v>1238</v>
      </c>
      <c r="G677" s="6">
        <v>6</v>
      </c>
      <c r="H677">
        <v>4431</v>
      </c>
      <c r="I677">
        <v>26586</v>
      </c>
      <c r="J677" s="2">
        <v>4397.66</v>
      </c>
      <c r="K677" s="16">
        <f>Table13[[#This Row],[Profit]]/Table13[[#This Row],[Sales]]</f>
        <v>0.16541262318513503</v>
      </c>
      <c r="L677" s="17" t="str">
        <f t="shared" si="70"/>
        <v>High</v>
      </c>
      <c r="M677" s="17" t="str">
        <f t="shared" si="71"/>
        <v>Jun</v>
      </c>
      <c r="N677" s="18">
        <f>YEAR(Table13[[#This Row],[Order_Date]])</f>
        <v>2023</v>
      </c>
      <c r="O677" s="18">
        <f>Table13[[#This Row],[Price]]*0.7</f>
        <v>3101.7</v>
      </c>
      <c r="P677" s="18">
        <f t="shared" si="72"/>
        <v>7975.8000000000029</v>
      </c>
      <c r="Q677" s="18">
        <f t="shared" si="73"/>
        <v>0.1</v>
      </c>
      <c r="R677" s="18">
        <f t="shared" si="74"/>
        <v>22188.34</v>
      </c>
      <c r="S677" s="18" t="str">
        <f>IF(Table13[[#This Row],[Quantity]]&lt;=3,"Small",IF(Table13[[#This Row],[Quantity]]&lt;=6,"Medium","Bulk"))</f>
        <v>Medium</v>
      </c>
      <c r="T677" s="18" t="str">
        <f t="shared" si="75"/>
        <v>Normal</v>
      </c>
      <c r="U677" s="18" t="str">
        <f t="shared" si="76"/>
        <v>High Value</v>
      </c>
    </row>
    <row r="678" spans="1:21" x14ac:dyDescent="0.3">
      <c r="A678" t="s">
        <v>686</v>
      </c>
      <c r="B678" s="1">
        <v>45290</v>
      </c>
      <c r="C678" t="s">
        <v>1210</v>
      </c>
      <c r="D678" t="s">
        <v>1217</v>
      </c>
      <c r="E678" t="s">
        <v>1219</v>
      </c>
      <c r="F678" t="s">
        <v>1232</v>
      </c>
      <c r="G678" s="6">
        <v>2</v>
      </c>
      <c r="H678">
        <v>4047</v>
      </c>
      <c r="I678">
        <v>8094</v>
      </c>
      <c r="J678" s="2">
        <v>716.61</v>
      </c>
      <c r="K678" s="16">
        <f>Table13[[#This Row],[Profit]]/Table13[[#This Row],[Sales]]</f>
        <v>8.8535952557449962E-2</v>
      </c>
      <c r="L678" s="17" t="str">
        <f t="shared" si="70"/>
        <v>Low</v>
      </c>
      <c r="M678" s="17" t="str">
        <f t="shared" si="71"/>
        <v>Dec</v>
      </c>
      <c r="N678" s="18">
        <f>YEAR(Table13[[#This Row],[Order_Date]])</f>
        <v>2023</v>
      </c>
      <c r="O678" s="18">
        <f>Table13[[#This Row],[Price]]*0.7</f>
        <v>2832.8999999999996</v>
      </c>
      <c r="P678" s="18">
        <f t="shared" si="72"/>
        <v>2428.2000000000007</v>
      </c>
      <c r="Q678" s="18">
        <f t="shared" si="73"/>
        <v>0.05</v>
      </c>
      <c r="R678" s="18">
        <f t="shared" si="74"/>
        <v>7377.39</v>
      </c>
      <c r="S678" s="18" t="str">
        <f>IF(Table13[[#This Row],[Quantity]]&lt;=3,"Small",IF(Table13[[#This Row],[Quantity]]&lt;=6,"Medium","Bulk"))</f>
        <v>Small</v>
      </c>
      <c r="T678" s="18" t="str">
        <f t="shared" si="75"/>
        <v>Normal</v>
      </c>
      <c r="U678" s="18" t="str">
        <f t="shared" si="76"/>
        <v>low Value</v>
      </c>
    </row>
    <row r="679" spans="1:21" x14ac:dyDescent="0.3">
      <c r="A679" t="s">
        <v>687</v>
      </c>
      <c r="B679" s="1">
        <v>45072</v>
      </c>
      <c r="C679" t="s">
        <v>1211</v>
      </c>
      <c r="D679" t="s">
        <v>1215</v>
      </c>
      <c r="E679" t="s">
        <v>1222</v>
      </c>
      <c r="F679" t="s">
        <v>1239</v>
      </c>
      <c r="G679" s="6">
        <v>3</v>
      </c>
      <c r="H679">
        <v>3045</v>
      </c>
      <c r="I679">
        <v>9135</v>
      </c>
      <c r="J679" s="2">
        <v>1899.24</v>
      </c>
      <c r="K679" s="16">
        <f>Table13[[#This Row],[Profit]]/Table13[[#This Row],[Sales]]</f>
        <v>0.20790804597701149</v>
      </c>
      <c r="L679" s="17" t="str">
        <f t="shared" si="70"/>
        <v>Low</v>
      </c>
      <c r="M679" s="17" t="str">
        <f t="shared" si="71"/>
        <v>May</v>
      </c>
      <c r="N679" s="18">
        <f>YEAR(Table13[[#This Row],[Order_Date]])</f>
        <v>2023</v>
      </c>
      <c r="O679" s="18">
        <f>Table13[[#This Row],[Price]]*0.7</f>
        <v>2131.5</v>
      </c>
      <c r="P679" s="18">
        <f t="shared" si="72"/>
        <v>2740.5</v>
      </c>
      <c r="Q679" s="18">
        <f t="shared" si="73"/>
        <v>0.05</v>
      </c>
      <c r="R679" s="18">
        <f t="shared" si="74"/>
        <v>7235.76</v>
      </c>
      <c r="S679" s="18" t="str">
        <f>IF(Table13[[#This Row],[Quantity]]&lt;=3,"Small",IF(Table13[[#This Row],[Quantity]]&lt;=6,"Medium","Bulk"))</f>
        <v>Small</v>
      </c>
      <c r="T679" s="18" t="str">
        <f t="shared" si="75"/>
        <v>Normal</v>
      </c>
      <c r="U679" s="18" t="str">
        <f t="shared" si="76"/>
        <v>low Value</v>
      </c>
    </row>
    <row r="680" spans="1:21" x14ac:dyDescent="0.3">
      <c r="A680" t="s">
        <v>688</v>
      </c>
      <c r="B680" s="1">
        <v>45099</v>
      </c>
      <c r="C680" t="s">
        <v>1210</v>
      </c>
      <c r="D680" t="s">
        <v>1215</v>
      </c>
      <c r="E680" t="s">
        <v>1222</v>
      </c>
      <c r="F680" t="s">
        <v>1234</v>
      </c>
      <c r="G680" s="6">
        <v>7</v>
      </c>
      <c r="H680">
        <v>3881</v>
      </c>
      <c r="I680">
        <v>27167</v>
      </c>
      <c r="J680" s="2">
        <v>5981.09</v>
      </c>
      <c r="K680" s="16">
        <f>Table13[[#This Row],[Profit]]/Table13[[#This Row],[Sales]]</f>
        <v>0.22016012073471491</v>
      </c>
      <c r="L680" s="17" t="str">
        <f t="shared" si="70"/>
        <v>High</v>
      </c>
      <c r="M680" s="17" t="str">
        <f t="shared" si="71"/>
        <v>Jun</v>
      </c>
      <c r="N680" s="18">
        <f>YEAR(Table13[[#This Row],[Order_Date]])</f>
        <v>2023</v>
      </c>
      <c r="O680" s="18">
        <f>Table13[[#This Row],[Price]]*0.7</f>
        <v>2716.7</v>
      </c>
      <c r="P680" s="18">
        <f t="shared" si="72"/>
        <v>8150.1000000000022</v>
      </c>
      <c r="Q680" s="18">
        <f t="shared" si="73"/>
        <v>0.1</v>
      </c>
      <c r="R680" s="18">
        <f t="shared" si="74"/>
        <v>21185.91</v>
      </c>
      <c r="S680" s="18" t="str">
        <f>IF(Table13[[#This Row],[Quantity]]&lt;=3,"Small",IF(Table13[[#This Row],[Quantity]]&lt;=6,"Medium","Bulk"))</f>
        <v>Bulk</v>
      </c>
      <c r="T680" s="18" t="str">
        <f t="shared" si="75"/>
        <v>Normal</v>
      </c>
      <c r="U680" s="18" t="str">
        <f t="shared" si="76"/>
        <v>High Value</v>
      </c>
    </row>
    <row r="681" spans="1:21" x14ac:dyDescent="0.3">
      <c r="A681" t="s">
        <v>689</v>
      </c>
      <c r="B681" s="1">
        <v>45034</v>
      </c>
      <c r="C681" t="s">
        <v>1213</v>
      </c>
      <c r="D681" t="s">
        <v>1215</v>
      </c>
      <c r="E681" t="s">
        <v>1220</v>
      </c>
      <c r="F681" t="s">
        <v>1225</v>
      </c>
      <c r="G681" s="6">
        <v>8</v>
      </c>
      <c r="H681">
        <v>1857</v>
      </c>
      <c r="I681">
        <v>14856</v>
      </c>
      <c r="J681" s="2">
        <v>1787.39</v>
      </c>
      <c r="K681" s="16">
        <f>Table13[[#This Row],[Profit]]/Table13[[#This Row],[Sales]]</f>
        <v>0.12031435110393107</v>
      </c>
      <c r="L681" s="17" t="str">
        <f t="shared" si="70"/>
        <v>Medium</v>
      </c>
      <c r="M681" s="17" t="str">
        <f t="shared" si="71"/>
        <v>Apr</v>
      </c>
      <c r="N681" s="18">
        <f>YEAR(Table13[[#This Row],[Order_Date]])</f>
        <v>2023</v>
      </c>
      <c r="O681" s="18">
        <f>Table13[[#This Row],[Price]]*0.7</f>
        <v>1299.8999999999999</v>
      </c>
      <c r="P681" s="18">
        <f t="shared" si="72"/>
        <v>4456.8000000000011</v>
      </c>
      <c r="Q681" s="18">
        <f t="shared" si="73"/>
        <v>0.1</v>
      </c>
      <c r="R681" s="18">
        <f t="shared" si="74"/>
        <v>13068.61</v>
      </c>
      <c r="S681" s="18" t="str">
        <f>IF(Table13[[#This Row],[Quantity]]&lt;=3,"Small",IF(Table13[[#This Row],[Quantity]]&lt;=6,"Medium","Bulk"))</f>
        <v>Bulk</v>
      </c>
      <c r="T681" s="18" t="str">
        <f t="shared" si="75"/>
        <v>Normal</v>
      </c>
      <c r="U681" s="18" t="str">
        <f t="shared" si="76"/>
        <v>Medium Value</v>
      </c>
    </row>
    <row r="682" spans="1:21" x14ac:dyDescent="0.3">
      <c r="A682" t="s">
        <v>690</v>
      </c>
      <c r="B682" s="1">
        <v>45022</v>
      </c>
      <c r="C682" t="s">
        <v>1212</v>
      </c>
      <c r="D682" t="s">
        <v>1215</v>
      </c>
      <c r="E682" t="s">
        <v>1219</v>
      </c>
      <c r="F682" t="s">
        <v>1233</v>
      </c>
      <c r="G682" s="6">
        <v>2</v>
      </c>
      <c r="H682">
        <v>4054</v>
      </c>
      <c r="I682">
        <v>8108</v>
      </c>
      <c r="J682" s="2">
        <v>1315.79</v>
      </c>
      <c r="K682" s="16">
        <f>Table13[[#This Row],[Profit]]/Table13[[#This Row],[Sales]]</f>
        <v>0.16228293043907252</v>
      </c>
      <c r="L682" s="17" t="str">
        <f t="shared" si="70"/>
        <v>Low</v>
      </c>
      <c r="M682" s="17" t="str">
        <f t="shared" si="71"/>
        <v>Apr</v>
      </c>
      <c r="N682" s="18">
        <f>YEAR(Table13[[#This Row],[Order_Date]])</f>
        <v>2023</v>
      </c>
      <c r="O682" s="18">
        <f>Table13[[#This Row],[Price]]*0.7</f>
        <v>2837.7999999999997</v>
      </c>
      <c r="P682" s="18">
        <f t="shared" si="72"/>
        <v>2432.4000000000005</v>
      </c>
      <c r="Q682" s="18">
        <f t="shared" si="73"/>
        <v>0.05</v>
      </c>
      <c r="R682" s="18">
        <f t="shared" si="74"/>
        <v>6792.21</v>
      </c>
      <c r="S682" s="18" t="str">
        <f>IF(Table13[[#This Row],[Quantity]]&lt;=3,"Small",IF(Table13[[#This Row],[Quantity]]&lt;=6,"Medium","Bulk"))</f>
        <v>Small</v>
      </c>
      <c r="T682" s="18" t="str">
        <f t="shared" si="75"/>
        <v>High Demand</v>
      </c>
      <c r="U682" s="18" t="str">
        <f t="shared" si="76"/>
        <v>low Value</v>
      </c>
    </row>
    <row r="683" spans="1:21" x14ac:dyDescent="0.3">
      <c r="A683" t="s">
        <v>691</v>
      </c>
      <c r="B683" s="1">
        <v>45249</v>
      </c>
      <c r="C683" t="s">
        <v>1211</v>
      </c>
      <c r="D683" t="s">
        <v>1214</v>
      </c>
      <c r="E683" t="s">
        <v>1220</v>
      </c>
      <c r="F683" t="s">
        <v>1224</v>
      </c>
      <c r="G683" s="6">
        <v>6</v>
      </c>
      <c r="H683">
        <v>2871</v>
      </c>
      <c r="I683">
        <v>17226</v>
      </c>
      <c r="J683" s="2">
        <v>3967.84</v>
      </c>
      <c r="K683" s="16">
        <f>Table13[[#This Row],[Profit]]/Table13[[#This Row],[Sales]]</f>
        <v>0.23034018344363172</v>
      </c>
      <c r="L683" s="17" t="str">
        <f t="shared" si="70"/>
        <v>Medium</v>
      </c>
      <c r="M683" s="17" t="str">
        <f t="shared" si="71"/>
        <v>Nov</v>
      </c>
      <c r="N683" s="18">
        <f>YEAR(Table13[[#This Row],[Order_Date]])</f>
        <v>2023</v>
      </c>
      <c r="O683" s="18">
        <f>Table13[[#This Row],[Price]]*0.7</f>
        <v>2009.6999999999998</v>
      </c>
      <c r="P683" s="18">
        <f t="shared" si="72"/>
        <v>5167.8000000000011</v>
      </c>
      <c r="Q683" s="18">
        <f t="shared" si="73"/>
        <v>0.1</v>
      </c>
      <c r="R683" s="18">
        <f t="shared" si="74"/>
        <v>13258.16</v>
      </c>
      <c r="S683" s="18" t="str">
        <f>IF(Table13[[#This Row],[Quantity]]&lt;=3,"Small",IF(Table13[[#This Row],[Quantity]]&lt;=6,"Medium","Bulk"))</f>
        <v>Medium</v>
      </c>
      <c r="T683" s="18" t="str">
        <f t="shared" si="75"/>
        <v>Normal</v>
      </c>
      <c r="U683" s="18" t="str">
        <f t="shared" si="76"/>
        <v>Medium Value</v>
      </c>
    </row>
    <row r="684" spans="1:21" x14ac:dyDescent="0.3">
      <c r="A684" t="s">
        <v>692</v>
      </c>
      <c r="B684" s="1">
        <v>45140</v>
      </c>
      <c r="C684" t="s">
        <v>1213</v>
      </c>
      <c r="D684" t="s">
        <v>1214</v>
      </c>
      <c r="E684" t="s">
        <v>1219</v>
      </c>
      <c r="F684" t="s">
        <v>1232</v>
      </c>
      <c r="G684" s="6">
        <v>4</v>
      </c>
      <c r="H684">
        <v>1675</v>
      </c>
      <c r="I684">
        <v>6700</v>
      </c>
      <c r="J684" s="2">
        <v>802.41</v>
      </c>
      <c r="K684" s="16">
        <f>Table13[[#This Row],[Profit]]/Table13[[#This Row],[Sales]]</f>
        <v>0.11976268656716417</v>
      </c>
      <c r="L684" s="17" t="str">
        <f t="shared" si="70"/>
        <v>Low</v>
      </c>
      <c r="M684" s="17" t="str">
        <f t="shared" si="71"/>
        <v>Aug</v>
      </c>
      <c r="N684" s="18">
        <f>YEAR(Table13[[#This Row],[Order_Date]])</f>
        <v>2023</v>
      </c>
      <c r="O684" s="18">
        <f>Table13[[#This Row],[Price]]*0.7</f>
        <v>1172.5</v>
      </c>
      <c r="P684" s="18">
        <f t="shared" si="72"/>
        <v>2010</v>
      </c>
      <c r="Q684" s="18">
        <f t="shared" si="73"/>
        <v>0.05</v>
      </c>
      <c r="R684" s="18">
        <f t="shared" si="74"/>
        <v>5897.59</v>
      </c>
      <c r="S684" s="18" t="str">
        <f>IF(Table13[[#This Row],[Quantity]]&lt;=3,"Small",IF(Table13[[#This Row],[Quantity]]&lt;=6,"Medium","Bulk"))</f>
        <v>Medium</v>
      </c>
      <c r="T684" s="18" t="str">
        <f t="shared" si="75"/>
        <v>Normal</v>
      </c>
      <c r="U684" s="18" t="str">
        <f t="shared" si="76"/>
        <v>low Value</v>
      </c>
    </row>
    <row r="685" spans="1:21" x14ac:dyDescent="0.3">
      <c r="A685" t="s">
        <v>693</v>
      </c>
      <c r="B685" s="1">
        <v>45193</v>
      </c>
      <c r="C685" t="s">
        <v>1212</v>
      </c>
      <c r="D685" t="s">
        <v>1214</v>
      </c>
      <c r="E685" t="s">
        <v>1220</v>
      </c>
      <c r="F685" t="s">
        <v>1228</v>
      </c>
      <c r="G685" s="6">
        <v>4</v>
      </c>
      <c r="H685">
        <v>2397</v>
      </c>
      <c r="I685">
        <v>9588</v>
      </c>
      <c r="J685" s="2">
        <v>2043.78</v>
      </c>
      <c r="K685" s="16">
        <f>Table13[[#This Row],[Profit]]/Table13[[#This Row],[Sales]]</f>
        <v>0.21316020025031288</v>
      </c>
      <c r="L685" s="17" t="str">
        <f t="shared" si="70"/>
        <v>Low</v>
      </c>
      <c r="M685" s="17" t="str">
        <f t="shared" si="71"/>
        <v>Sep</v>
      </c>
      <c r="N685" s="18">
        <f>YEAR(Table13[[#This Row],[Order_Date]])</f>
        <v>2023</v>
      </c>
      <c r="O685" s="18">
        <f>Table13[[#This Row],[Price]]*0.7</f>
        <v>1677.8999999999999</v>
      </c>
      <c r="P685" s="18">
        <f t="shared" si="72"/>
        <v>2876.4000000000005</v>
      </c>
      <c r="Q685" s="18">
        <f t="shared" si="73"/>
        <v>0.05</v>
      </c>
      <c r="R685" s="18">
        <f t="shared" si="74"/>
        <v>7544.22</v>
      </c>
      <c r="S685" s="18" t="str">
        <f>IF(Table13[[#This Row],[Quantity]]&lt;=3,"Small",IF(Table13[[#This Row],[Quantity]]&lt;=6,"Medium","Bulk"))</f>
        <v>Medium</v>
      </c>
      <c r="T685" s="18" t="str">
        <f t="shared" si="75"/>
        <v>High Demand</v>
      </c>
      <c r="U685" s="18" t="str">
        <f t="shared" si="76"/>
        <v>low Value</v>
      </c>
    </row>
    <row r="686" spans="1:21" x14ac:dyDescent="0.3">
      <c r="A686" t="s">
        <v>694</v>
      </c>
      <c r="B686" s="1">
        <v>45151</v>
      </c>
      <c r="C686" t="s">
        <v>1211</v>
      </c>
      <c r="D686" t="s">
        <v>1218</v>
      </c>
      <c r="E686" t="s">
        <v>1220</v>
      </c>
      <c r="F686" t="s">
        <v>1237</v>
      </c>
      <c r="G686" s="6">
        <v>9</v>
      </c>
      <c r="H686">
        <v>2323</v>
      </c>
      <c r="I686">
        <v>20907</v>
      </c>
      <c r="J686" s="2">
        <v>4016.57</v>
      </c>
      <c r="K686" s="16">
        <f>Table13[[#This Row],[Profit]]/Table13[[#This Row],[Sales]]</f>
        <v>0.19211603769072561</v>
      </c>
      <c r="L686" s="17" t="str">
        <f t="shared" si="70"/>
        <v>High</v>
      </c>
      <c r="M686" s="17" t="str">
        <f t="shared" si="71"/>
        <v>Aug</v>
      </c>
      <c r="N686" s="18">
        <f>YEAR(Table13[[#This Row],[Order_Date]])</f>
        <v>2023</v>
      </c>
      <c r="O686" s="18">
        <f>Table13[[#This Row],[Price]]*0.7</f>
        <v>1626.1</v>
      </c>
      <c r="P686" s="18">
        <f t="shared" si="72"/>
        <v>6272.1</v>
      </c>
      <c r="Q686" s="18">
        <f t="shared" si="73"/>
        <v>0.1</v>
      </c>
      <c r="R686" s="18">
        <f t="shared" si="74"/>
        <v>16890.43</v>
      </c>
      <c r="S686" s="18" t="str">
        <f>IF(Table13[[#This Row],[Quantity]]&lt;=3,"Small",IF(Table13[[#This Row],[Quantity]]&lt;=6,"Medium","Bulk"))</f>
        <v>Bulk</v>
      </c>
      <c r="T686" s="18" t="str">
        <f t="shared" si="75"/>
        <v>Normal</v>
      </c>
      <c r="U686" s="18" t="str">
        <f t="shared" si="76"/>
        <v>High Value</v>
      </c>
    </row>
    <row r="687" spans="1:21" x14ac:dyDescent="0.3">
      <c r="A687" t="s">
        <v>695</v>
      </c>
      <c r="B687" s="1">
        <v>45051</v>
      </c>
      <c r="C687" t="s">
        <v>1210</v>
      </c>
      <c r="D687" t="s">
        <v>1215</v>
      </c>
      <c r="E687" t="s">
        <v>1219</v>
      </c>
      <c r="F687" t="s">
        <v>1232</v>
      </c>
      <c r="G687" s="6">
        <v>9</v>
      </c>
      <c r="H687">
        <v>2014</v>
      </c>
      <c r="I687">
        <v>18126</v>
      </c>
      <c r="J687" s="2">
        <v>1652.51</v>
      </c>
      <c r="K687" s="16">
        <f>Table13[[#This Row],[Profit]]/Table13[[#This Row],[Sales]]</f>
        <v>9.1167935562175881E-2</v>
      </c>
      <c r="L687" s="17" t="str">
        <f t="shared" si="70"/>
        <v>Medium</v>
      </c>
      <c r="M687" s="17" t="str">
        <f t="shared" si="71"/>
        <v>May</v>
      </c>
      <c r="N687" s="18">
        <f>YEAR(Table13[[#This Row],[Order_Date]])</f>
        <v>2023</v>
      </c>
      <c r="O687" s="18">
        <f>Table13[[#This Row],[Price]]*0.7</f>
        <v>1409.8</v>
      </c>
      <c r="P687" s="18">
        <f t="shared" si="72"/>
        <v>5437.8000000000011</v>
      </c>
      <c r="Q687" s="18">
        <f t="shared" si="73"/>
        <v>0.1</v>
      </c>
      <c r="R687" s="18">
        <f t="shared" si="74"/>
        <v>16473.490000000002</v>
      </c>
      <c r="S687" s="18" t="str">
        <f>IF(Table13[[#This Row],[Quantity]]&lt;=3,"Small",IF(Table13[[#This Row],[Quantity]]&lt;=6,"Medium","Bulk"))</f>
        <v>Bulk</v>
      </c>
      <c r="T687" s="18" t="str">
        <f t="shared" si="75"/>
        <v>Normal</v>
      </c>
      <c r="U687" s="18" t="str">
        <f t="shared" si="76"/>
        <v>Medium Value</v>
      </c>
    </row>
    <row r="688" spans="1:21" x14ac:dyDescent="0.3">
      <c r="A688" t="s">
        <v>696</v>
      </c>
      <c r="B688" s="1">
        <v>45163</v>
      </c>
      <c r="C688" t="s">
        <v>1213</v>
      </c>
      <c r="D688" t="s">
        <v>1218</v>
      </c>
      <c r="E688" t="s">
        <v>1219</v>
      </c>
      <c r="F688" t="s">
        <v>1223</v>
      </c>
      <c r="G688" s="6">
        <v>7</v>
      </c>
      <c r="H688">
        <v>4325</v>
      </c>
      <c r="I688">
        <v>30275</v>
      </c>
      <c r="J688" s="2">
        <v>6417.37</v>
      </c>
      <c r="K688" s="16">
        <f>Table13[[#This Row],[Profit]]/Table13[[#This Row],[Sales]]</f>
        <v>0.21196928158546655</v>
      </c>
      <c r="L688" s="17" t="str">
        <f t="shared" si="70"/>
        <v>High</v>
      </c>
      <c r="M688" s="17" t="str">
        <f t="shared" si="71"/>
        <v>Aug</v>
      </c>
      <c r="N688" s="18">
        <f>YEAR(Table13[[#This Row],[Order_Date]])</f>
        <v>2023</v>
      </c>
      <c r="O688" s="18">
        <f>Table13[[#This Row],[Price]]*0.7</f>
        <v>3027.5</v>
      </c>
      <c r="P688" s="18">
        <f t="shared" si="72"/>
        <v>9082.5</v>
      </c>
      <c r="Q688" s="18">
        <f t="shared" si="73"/>
        <v>0.1</v>
      </c>
      <c r="R688" s="18">
        <f t="shared" si="74"/>
        <v>23857.63</v>
      </c>
      <c r="S688" s="18" t="str">
        <f>IF(Table13[[#This Row],[Quantity]]&lt;=3,"Small",IF(Table13[[#This Row],[Quantity]]&lt;=6,"Medium","Bulk"))</f>
        <v>Bulk</v>
      </c>
      <c r="T688" s="18" t="str">
        <f t="shared" si="75"/>
        <v>Normal</v>
      </c>
      <c r="U688" s="18" t="str">
        <f t="shared" si="76"/>
        <v>High Value</v>
      </c>
    </row>
    <row r="689" spans="1:21" x14ac:dyDescent="0.3">
      <c r="A689" t="s">
        <v>697</v>
      </c>
      <c r="B689" s="1">
        <v>45053</v>
      </c>
      <c r="C689" t="s">
        <v>1212</v>
      </c>
      <c r="D689" t="s">
        <v>1218</v>
      </c>
      <c r="E689" t="s">
        <v>1220</v>
      </c>
      <c r="F689" t="s">
        <v>1239</v>
      </c>
      <c r="G689" s="6">
        <v>9</v>
      </c>
      <c r="H689">
        <v>3765</v>
      </c>
      <c r="I689">
        <v>33885</v>
      </c>
      <c r="J689" s="2">
        <v>4975.26</v>
      </c>
      <c r="K689" s="16">
        <f>Table13[[#This Row],[Profit]]/Table13[[#This Row],[Sales]]</f>
        <v>0.14682779991146525</v>
      </c>
      <c r="L689" s="17" t="str">
        <f t="shared" si="70"/>
        <v>High</v>
      </c>
      <c r="M689" s="17" t="str">
        <f t="shared" si="71"/>
        <v>May</v>
      </c>
      <c r="N689" s="18">
        <f>YEAR(Table13[[#This Row],[Order_Date]])</f>
        <v>2023</v>
      </c>
      <c r="O689" s="18">
        <f>Table13[[#This Row],[Price]]*0.7</f>
        <v>2635.5</v>
      </c>
      <c r="P689" s="18">
        <f t="shared" si="72"/>
        <v>10165.5</v>
      </c>
      <c r="Q689" s="18">
        <f t="shared" si="73"/>
        <v>0.1</v>
      </c>
      <c r="R689" s="18">
        <f t="shared" si="74"/>
        <v>28909.74</v>
      </c>
      <c r="S689" s="18" t="str">
        <f>IF(Table13[[#This Row],[Quantity]]&lt;=3,"Small",IF(Table13[[#This Row],[Quantity]]&lt;=6,"Medium","Bulk"))</f>
        <v>Bulk</v>
      </c>
      <c r="T689" s="18" t="str">
        <f t="shared" si="75"/>
        <v>High Demand</v>
      </c>
      <c r="U689" s="18" t="str">
        <f t="shared" si="76"/>
        <v>High Value</v>
      </c>
    </row>
    <row r="690" spans="1:21" x14ac:dyDescent="0.3">
      <c r="A690" t="s">
        <v>698</v>
      </c>
      <c r="B690" s="1">
        <v>45025</v>
      </c>
      <c r="C690" t="s">
        <v>1210</v>
      </c>
      <c r="D690" t="s">
        <v>1214</v>
      </c>
      <c r="E690" t="s">
        <v>1220</v>
      </c>
      <c r="F690" t="s">
        <v>1237</v>
      </c>
      <c r="G690" s="6">
        <v>4</v>
      </c>
      <c r="H690">
        <v>2295</v>
      </c>
      <c r="I690">
        <v>9180</v>
      </c>
      <c r="J690" s="2">
        <v>988.81</v>
      </c>
      <c r="K690" s="16">
        <f>Table13[[#This Row],[Profit]]/Table13[[#This Row],[Sales]]</f>
        <v>0.10771350762527232</v>
      </c>
      <c r="L690" s="17" t="str">
        <f t="shared" si="70"/>
        <v>Low</v>
      </c>
      <c r="M690" s="17" t="str">
        <f t="shared" si="71"/>
        <v>Apr</v>
      </c>
      <c r="N690" s="18">
        <f>YEAR(Table13[[#This Row],[Order_Date]])</f>
        <v>2023</v>
      </c>
      <c r="O690" s="18">
        <f>Table13[[#This Row],[Price]]*0.7</f>
        <v>1606.5</v>
      </c>
      <c r="P690" s="18">
        <f t="shared" si="72"/>
        <v>2754</v>
      </c>
      <c r="Q690" s="18">
        <f t="shared" si="73"/>
        <v>0.05</v>
      </c>
      <c r="R690" s="18">
        <f t="shared" si="74"/>
        <v>8191.1900000000005</v>
      </c>
      <c r="S690" s="18" t="str">
        <f>IF(Table13[[#This Row],[Quantity]]&lt;=3,"Small",IF(Table13[[#This Row],[Quantity]]&lt;=6,"Medium","Bulk"))</f>
        <v>Medium</v>
      </c>
      <c r="T690" s="18" t="str">
        <f t="shared" si="75"/>
        <v>Normal</v>
      </c>
      <c r="U690" s="18" t="str">
        <f t="shared" si="76"/>
        <v>low Value</v>
      </c>
    </row>
    <row r="691" spans="1:21" x14ac:dyDescent="0.3">
      <c r="A691" t="s">
        <v>699</v>
      </c>
      <c r="B691" s="1">
        <v>45135</v>
      </c>
      <c r="C691" t="s">
        <v>1213</v>
      </c>
      <c r="D691" t="s">
        <v>1217</v>
      </c>
      <c r="E691" t="s">
        <v>1222</v>
      </c>
      <c r="F691" t="s">
        <v>1234</v>
      </c>
      <c r="G691" s="6">
        <v>6</v>
      </c>
      <c r="H691">
        <v>4980</v>
      </c>
      <c r="I691">
        <v>29880</v>
      </c>
      <c r="J691" s="2">
        <v>3937.66</v>
      </c>
      <c r="K691" s="16">
        <f>Table13[[#This Row],[Profit]]/Table13[[#This Row],[Sales]]</f>
        <v>0.13178246318607764</v>
      </c>
      <c r="L691" s="17" t="str">
        <f t="shared" si="70"/>
        <v>High</v>
      </c>
      <c r="M691" s="17" t="str">
        <f t="shared" si="71"/>
        <v>Jul</v>
      </c>
      <c r="N691" s="18">
        <f>YEAR(Table13[[#This Row],[Order_Date]])</f>
        <v>2023</v>
      </c>
      <c r="O691" s="18">
        <f>Table13[[#This Row],[Price]]*0.7</f>
        <v>3486</v>
      </c>
      <c r="P691" s="18">
        <f t="shared" si="72"/>
        <v>8964</v>
      </c>
      <c r="Q691" s="18">
        <f t="shared" si="73"/>
        <v>0.1</v>
      </c>
      <c r="R691" s="18">
        <f t="shared" si="74"/>
        <v>25942.34</v>
      </c>
      <c r="S691" s="18" t="str">
        <f>IF(Table13[[#This Row],[Quantity]]&lt;=3,"Small",IF(Table13[[#This Row],[Quantity]]&lt;=6,"Medium","Bulk"))</f>
        <v>Medium</v>
      </c>
      <c r="T691" s="18" t="str">
        <f t="shared" si="75"/>
        <v>Normal</v>
      </c>
      <c r="U691" s="18" t="str">
        <f t="shared" si="76"/>
        <v>High Value</v>
      </c>
    </row>
    <row r="692" spans="1:21" x14ac:dyDescent="0.3">
      <c r="A692" t="s">
        <v>700</v>
      </c>
      <c r="B692" s="1">
        <v>45167</v>
      </c>
      <c r="C692" t="s">
        <v>1210</v>
      </c>
      <c r="D692" t="s">
        <v>1239</v>
      </c>
      <c r="E692" t="s">
        <v>1221</v>
      </c>
      <c r="F692" t="s">
        <v>1231</v>
      </c>
      <c r="G692" s="6">
        <v>2</v>
      </c>
      <c r="H692">
        <v>3266</v>
      </c>
      <c r="I692">
        <v>6532</v>
      </c>
      <c r="J692" s="2">
        <v>566.29999999999995</v>
      </c>
      <c r="K692" s="16">
        <f>Table13[[#This Row],[Profit]]/Table13[[#This Row],[Sales]]</f>
        <v>8.6696264543784443E-2</v>
      </c>
      <c r="L692" s="17" t="str">
        <f t="shared" si="70"/>
        <v>Low</v>
      </c>
      <c r="M692" s="17" t="str">
        <f t="shared" si="71"/>
        <v>Aug</v>
      </c>
      <c r="N692" s="18">
        <f>YEAR(Table13[[#This Row],[Order_Date]])</f>
        <v>2023</v>
      </c>
      <c r="O692" s="18">
        <f>Table13[[#This Row],[Price]]*0.7</f>
        <v>2286.1999999999998</v>
      </c>
      <c r="P692" s="18">
        <f t="shared" si="72"/>
        <v>1959.6000000000004</v>
      </c>
      <c r="Q692" s="18">
        <f t="shared" si="73"/>
        <v>0.05</v>
      </c>
      <c r="R692" s="18">
        <f t="shared" si="74"/>
        <v>5965.7</v>
      </c>
      <c r="S692" s="18" t="str">
        <f>IF(Table13[[#This Row],[Quantity]]&lt;=3,"Small",IF(Table13[[#This Row],[Quantity]]&lt;=6,"Medium","Bulk"))</f>
        <v>Small</v>
      </c>
      <c r="T692" s="18" t="str">
        <f t="shared" si="75"/>
        <v>Normal</v>
      </c>
      <c r="U692" s="18" t="str">
        <f t="shared" si="76"/>
        <v>low Value</v>
      </c>
    </row>
    <row r="693" spans="1:21" x14ac:dyDescent="0.3">
      <c r="A693" t="s">
        <v>701</v>
      </c>
      <c r="B693" s="1">
        <v>45230</v>
      </c>
      <c r="C693" t="s">
        <v>1211</v>
      </c>
      <c r="D693" t="s">
        <v>1216</v>
      </c>
      <c r="E693" t="s">
        <v>1219</v>
      </c>
      <c r="F693" t="s">
        <v>1239</v>
      </c>
      <c r="G693" s="6">
        <v>6</v>
      </c>
      <c r="H693">
        <v>4786</v>
      </c>
      <c r="I693">
        <v>28716</v>
      </c>
      <c r="J693" s="2">
        <v>3793.2</v>
      </c>
      <c r="K693" s="16">
        <f>Table13[[#This Row],[Profit]]/Table13[[#This Row],[Sales]]</f>
        <v>0.13209360635185957</v>
      </c>
      <c r="L693" s="17" t="str">
        <f t="shared" si="70"/>
        <v>High</v>
      </c>
      <c r="M693" s="17" t="str">
        <f t="shared" si="71"/>
        <v>Oct</v>
      </c>
      <c r="N693" s="18">
        <f>YEAR(Table13[[#This Row],[Order_Date]])</f>
        <v>2023</v>
      </c>
      <c r="O693" s="18">
        <f>Table13[[#This Row],[Price]]*0.7</f>
        <v>3350.2</v>
      </c>
      <c r="P693" s="18">
        <f t="shared" si="72"/>
        <v>8614.8000000000029</v>
      </c>
      <c r="Q693" s="18">
        <f t="shared" si="73"/>
        <v>0.1</v>
      </c>
      <c r="R693" s="18">
        <f t="shared" si="74"/>
        <v>24922.799999999999</v>
      </c>
      <c r="S693" s="18" t="str">
        <f>IF(Table13[[#This Row],[Quantity]]&lt;=3,"Small",IF(Table13[[#This Row],[Quantity]]&lt;=6,"Medium","Bulk"))</f>
        <v>Medium</v>
      </c>
      <c r="T693" s="18" t="str">
        <f t="shared" si="75"/>
        <v>Normal</v>
      </c>
      <c r="U693" s="18" t="str">
        <f t="shared" si="76"/>
        <v>High Value</v>
      </c>
    </row>
    <row r="694" spans="1:21" x14ac:dyDescent="0.3">
      <c r="A694" t="s">
        <v>702</v>
      </c>
      <c r="B694" s="1">
        <v>44998</v>
      </c>
      <c r="C694" t="s">
        <v>1210</v>
      </c>
      <c r="D694" t="s">
        <v>1216</v>
      </c>
      <c r="E694" t="s">
        <v>1221</v>
      </c>
      <c r="F694" t="s">
        <v>1231</v>
      </c>
      <c r="G694" s="6">
        <v>4</v>
      </c>
      <c r="H694">
        <v>2530</v>
      </c>
      <c r="I694">
        <v>10120</v>
      </c>
      <c r="J694" s="2">
        <v>1783.47</v>
      </c>
      <c r="K694" s="16">
        <f>Table13[[#This Row],[Profit]]/Table13[[#This Row],[Sales]]</f>
        <v>0.17623221343873519</v>
      </c>
      <c r="L694" s="17" t="str">
        <f t="shared" si="70"/>
        <v>Medium</v>
      </c>
      <c r="M694" s="17" t="str">
        <f t="shared" si="71"/>
        <v>Mar</v>
      </c>
      <c r="N694" s="18">
        <f>YEAR(Table13[[#This Row],[Order_Date]])</f>
        <v>2023</v>
      </c>
      <c r="O694" s="18">
        <f>Table13[[#This Row],[Price]]*0.7</f>
        <v>1771</v>
      </c>
      <c r="P694" s="18">
        <f t="shared" si="72"/>
        <v>3036</v>
      </c>
      <c r="Q694" s="18">
        <f t="shared" si="73"/>
        <v>0.05</v>
      </c>
      <c r="R694" s="18">
        <f t="shared" si="74"/>
        <v>8336.5300000000007</v>
      </c>
      <c r="S694" s="18" t="str">
        <f>IF(Table13[[#This Row],[Quantity]]&lt;=3,"Small",IF(Table13[[#This Row],[Quantity]]&lt;=6,"Medium","Bulk"))</f>
        <v>Medium</v>
      </c>
      <c r="T694" s="18" t="str">
        <f t="shared" si="75"/>
        <v>Normal</v>
      </c>
      <c r="U694" s="18" t="str">
        <f t="shared" si="76"/>
        <v>Medium Value</v>
      </c>
    </row>
    <row r="695" spans="1:21" x14ac:dyDescent="0.3">
      <c r="A695" t="s">
        <v>703</v>
      </c>
      <c r="B695" s="1">
        <v>45218</v>
      </c>
      <c r="C695" t="s">
        <v>1212</v>
      </c>
      <c r="D695" t="s">
        <v>1215</v>
      </c>
      <c r="E695" t="s">
        <v>1221</v>
      </c>
      <c r="F695" t="s">
        <v>1231</v>
      </c>
      <c r="G695" s="6">
        <v>1</v>
      </c>
      <c r="H695">
        <v>4548</v>
      </c>
      <c r="I695">
        <v>4548</v>
      </c>
      <c r="J695" s="2">
        <v>609.36</v>
      </c>
      <c r="K695" s="16">
        <f>Table13[[#This Row],[Profit]]/Table13[[#This Row],[Sales]]</f>
        <v>0.13398416886543535</v>
      </c>
      <c r="L695" s="17" t="str">
        <f t="shared" si="70"/>
        <v>Low</v>
      </c>
      <c r="M695" s="17" t="str">
        <f t="shared" si="71"/>
        <v>Oct</v>
      </c>
      <c r="N695" s="18">
        <f>YEAR(Table13[[#This Row],[Order_Date]])</f>
        <v>2023</v>
      </c>
      <c r="O695" s="18">
        <f>Table13[[#This Row],[Price]]*0.7</f>
        <v>3183.6</v>
      </c>
      <c r="P695" s="18">
        <f t="shared" si="72"/>
        <v>1364.4</v>
      </c>
      <c r="Q695" s="18">
        <f t="shared" si="73"/>
        <v>0.05</v>
      </c>
      <c r="R695" s="18">
        <f t="shared" si="74"/>
        <v>3938.6400000000003</v>
      </c>
      <c r="S695" s="18" t="str">
        <f>IF(Table13[[#This Row],[Quantity]]&lt;=3,"Small",IF(Table13[[#This Row],[Quantity]]&lt;=6,"Medium","Bulk"))</f>
        <v>Small</v>
      </c>
      <c r="T695" s="18" t="str">
        <f t="shared" si="75"/>
        <v>High Demand</v>
      </c>
      <c r="U695" s="18" t="str">
        <f t="shared" si="76"/>
        <v>low Value</v>
      </c>
    </row>
    <row r="696" spans="1:21" x14ac:dyDescent="0.3">
      <c r="A696" t="s">
        <v>704</v>
      </c>
      <c r="B696" s="1">
        <v>45101</v>
      </c>
      <c r="C696" t="s">
        <v>1213</v>
      </c>
      <c r="D696" t="s">
        <v>1215</v>
      </c>
      <c r="E696" t="s">
        <v>1220</v>
      </c>
      <c r="F696" t="s">
        <v>1224</v>
      </c>
      <c r="G696" s="6">
        <v>4</v>
      </c>
      <c r="H696">
        <v>3043</v>
      </c>
      <c r="I696">
        <v>12172</v>
      </c>
      <c r="J696" s="2">
        <v>1078.3800000000001</v>
      </c>
      <c r="K696" s="16">
        <f>Table13[[#This Row],[Profit]]/Table13[[#This Row],[Sales]]</f>
        <v>8.8595136378573788E-2</v>
      </c>
      <c r="L696" s="17" t="str">
        <f t="shared" si="70"/>
        <v>Medium</v>
      </c>
      <c r="M696" s="17" t="str">
        <f t="shared" si="71"/>
        <v>Jun</v>
      </c>
      <c r="N696" s="18">
        <f>YEAR(Table13[[#This Row],[Order_Date]])</f>
        <v>2023</v>
      </c>
      <c r="O696" s="18">
        <f>Table13[[#This Row],[Price]]*0.7</f>
        <v>2130.1</v>
      </c>
      <c r="P696" s="18">
        <f t="shared" si="72"/>
        <v>3651.6000000000004</v>
      </c>
      <c r="Q696" s="18">
        <f t="shared" si="73"/>
        <v>0.05</v>
      </c>
      <c r="R696" s="18">
        <f t="shared" si="74"/>
        <v>11093.62</v>
      </c>
      <c r="S696" s="18" t="str">
        <f>IF(Table13[[#This Row],[Quantity]]&lt;=3,"Small",IF(Table13[[#This Row],[Quantity]]&lt;=6,"Medium","Bulk"))</f>
        <v>Medium</v>
      </c>
      <c r="T696" s="18" t="str">
        <f t="shared" si="75"/>
        <v>Normal</v>
      </c>
      <c r="U696" s="18" t="str">
        <f t="shared" si="76"/>
        <v>Medium Value</v>
      </c>
    </row>
    <row r="697" spans="1:21" x14ac:dyDescent="0.3">
      <c r="A697" t="s">
        <v>705</v>
      </c>
      <c r="B697" s="1">
        <v>45211</v>
      </c>
      <c r="C697" t="s">
        <v>1210</v>
      </c>
      <c r="D697" t="s">
        <v>1216</v>
      </c>
      <c r="E697" t="s">
        <v>1220</v>
      </c>
      <c r="F697" t="s">
        <v>1237</v>
      </c>
      <c r="G697" s="6">
        <v>7</v>
      </c>
      <c r="H697">
        <v>3395</v>
      </c>
      <c r="I697">
        <v>23765</v>
      </c>
      <c r="J697" s="2">
        <v>4967.95</v>
      </c>
      <c r="K697" s="16">
        <f>Table13[[#This Row],[Profit]]/Table13[[#This Row],[Sales]]</f>
        <v>0.20904481380180936</v>
      </c>
      <c r="L697" s="17" t="str">
        <f t="shared" si="70"/>
        <v>High</v>
      </c>
      <c r="M697" s="17" t="str">
        <f t="shared" si="71"/>
        <v>Oct</v>
      </c>
      <c r="N697" s="18">
        <f>YEAR(Table13[[#This Row],[Order_Date]])</f>
        <v>2023</v>
      </c>
      <c r="O697" s="18">
        <f>Table13[[#This Row],[Price]]*0.7</f>
        <v>2376.5</v>
      </c>
      <c r="P697" s="18">
        <f t="shared" si="72"/>
        <v>7129.5</v>
      </c>
      <c r="Q697" s="18">
        <f t="shared" si="73"/>
        <v>0.1</v>
      </c>
      <c r="R697" s="18">
        <f t="shared" si="74"/>
        <v>18797.05</v>
      </c>
      <c r="S697" s="18" t="str">
        <f>IF(Table13[[#This Row],[Quantity]]&lt;=3,"Small",IF(Table13[[#This Row],[Quantity]]&lt;=6,"Medium","Bulk"))</f>
        <v>Bulk</v>
      </c>
      <c r="T697" s="18" t="str">
        <f t="shared" si="75"/>
        <v>Normal</v>
      </c>
      <c r="U697" s="18" t="str">
        <f t="shared" si="76"/>
        <v>High Value</v>
      </c>
    </row>
    <row r="698" spans="1:21" x14ac:dyDescent="0.3">
      <c r="A698" t="s">
        <v>706</v>
      </c>
      <c r="B698" s="1">
        <v>44990</v>
      </c>
      <c r="C698" t="s">
        <v>1212</v>
      </c>
      <c r="D698" t="s">
        <v>1214</v>
      </c>
      <c r="E698" t="s">
        <v>1219</v>
      </c>
      <c r="F698" t="s">
        <v>1233</v>
      </c>
      <c r="G698" s="6">
        <v>4</v>
      </c>
      <c r="H698">
        <v>4756</v>
      </c>
      <c r="I698">
        <v>19024</v>
      </c>
      <c r="J698" s="2">
        <v>3371.8</v>
      </c>
      <c r="K698" s="16">
        <f>Table13[[#This Row],[Profit]]/Table13[[#This Row],[Sales]]</f>
        <v>0.17723927670311188</v>
      </c>
      <c r="L698" s="17" t="str">
        <f t="shared" si="70"/>
        <v>Medium</v>
      </c>
      <c r="M698" s="17" t="str">
        <f t="shared" si="71"/>
        <v>Mar</v>
      </c>
      <c r="N698" s="18">
        <f>YEAR(Table13[[#This Row],[Order_Date]])</f>
        <v>2023</v>
      </c>
      <c r="O698" s="18">
        <f>Table13[[#This Row],[Price]]*0.7</f>
        <v>3329.2</v>
      </c>
      <c r="P698" s="18">
        <f t="shared" si="72"/>
        <v>5707.2000000000007</v>
      </c>
      <c r="Q698" s="18">
        <f t="shared" si="73"/>
        <v>0.05</v>
      </c>
      <c r="R698" s="18">
        <f t="shared" si="74"/>
        <v>15652.199999999999</v>
      </c>
      <c r="S698" s="18" t="str">
        <f>IF(Table13[[#This Row],[Quantity]]&lt;=3,"Small",IF(Table13[[#This Row],[Quantity]]&lt;=6,"Medium","Bulk"))</f>
        <v>Medium</v>
      </c>
      <c r="T698" s="18" t="str">
        <f t="shared" si="75"/>
        <v>High Demand</v>
      </c>
      <c r="U698" s="18" t="str">
        <f t="shared" si="76"/>
        <v>Medium Value</v>
      </c>
    </row>
    <row r="699" spans="1:21" x14ac:dyDescent="0.3">
      <c r="A699" t="s">
        <v>707</v>
      </c>
      <c r="B699" s="1">
        <v>45150</v>
      </c>
      <c r="C699" t="s">
        <v>1213</v>
      </c>
      <c r="D699" t="s">
        <v>1217</v>
      </c>
      <c r="E699" t="s">
        <v>1219</v>
      </c>
      <c r="F699" t="s">
        <v>1223</v>
      </c>
      <c r="G699" s="6">
        <v>4</v>
      </c>
      <c r="H699">
        <v>1387</v>
      </c>
      <c r="I699">
        <v>5548</v>
      </c>
      <c r="J699" s="2">
        <v>828.38</v>
      </c>
      <c r="K699" s="16">
        <f>Table13[[#This Row],[Profit]]/Table13[[#This Row],[Sales]]</f>
        <v>0.14931146359048306</v>
      </c>
      <c r="L699" s="17" t="str">
        <f t="shared" si="70"/>
        <v>Low</v>
      </c>
      <c r="M699" s="17" t="str">
        <f t="shared" si="71"/>
        <v>Aug</v>
      </c>
      <c r="N699" s="18">
        <f>YEAR(Table13[[#This Row],[Order_Date]])</f>
        <v>2023</v>
      </c>
      <c r="O699" s="18">
        <f>Table13[[#This Row],[Price]]*0.7</f>
        <v>970.9</v>
      </c>
      <c r="P699" s="18">
        <f t="shared" si="72"/>
        <v>1664.4</v>
      </c>
      <c r="Q699" s="18">
        <f t="shared" si="73"/>
        <v>0.05</v>
      </c>
      <c r="R699" s="18">
        <f t="shared" si="74"/>
        <v>4719.62</v>
      </c>
      <c r="S699" s="18" t="str">
        <f>IF(Table13[[#This Row],[Quantity]]&lt;=3,"Small",IF(Table13[[#This Row],[Quantity]]&lt;=6,"Medium","Bulk"))</f>
        <v>Medium</v>
      </c>
      <c r="T699" s="18" t="str">
        <f t="shared" si="75"/>
        <v>Normal</v>
      </c>
      <c r="U699" s="18" t="str">
        <f t="shared" si="76"/>
        <v>low Value</v>
      </c>
    </row>
    <row r="700" spans="1:21" x14ac:dyDescent="0.3">
      <c r="A700" t="s">
        <v>708</v>
      </c>
      <c r="B700" s="1">
        <v>44960</v>
      </c>
      <c r="C700" t="s">
        <v>1212</v>
      </c>
      <c r="D700" t="s">
        <v>1214</v>
      </c>
      <c r="E700" t="s">
        <v>1222</v>
      </c>
      <c r="F700" t="s">
        <v>1230</v>
      </c>
      <c r="G700" s="6">
        <v>4</v>
      </c>
      <c r="H700">
        <v>244</v>
      </c>
      <c r="I700">
        <v>976</v>
      </c>
      <c r="J700" s="2">
        <v>134.08000000000001</v>
      </c>
      <c r="K700" s="16">
        <f>Table13[[#This Row],[Profit]]/Table13[[#This Row],[Sales]]</f>
        <v>0.13737704918032789</v>
      </c>
      <c r="L700" s="17" t="str">
        <f t="shared" si="70"/>
        <v>Low</v>
      </c>
      <c r="M700" s="17" t="str">
        <f t="shared" si="71"/>
        <v>Feb</v>
      </c>
      <c r="N700" s="18">
        <f>YEAR(Table13[[#This Row],[Order_Date]])</f>
        <v>2023</v>
      </c>
      <c r="O700" s="18">
        <f>Table13[[#This Row],[Price]]*0.7</f>
        <v>170.79999999999998</v>
      </c>
      <c r="P700" s="18">
        <f t="shared" si="72"/>
        <v>292.80000000000007</v>
      </c>
      <c r="Q700" s="18">
        <f t="shared" si="73"/>
        <v>0.05</v>
      </c>
      <c r="R700" s="18">
        <f t="shared" si="74"/>
        <v>841.92</v>
      </c>
      <c r="S700" s="18" t="str">
        <f>IF(Table13[[#This Row],[Quantity]]&lt;=3,"Small",IF(Table13[[#This Row],[Quantity]]&lt;=6,"Medium","Bulk"))</f>
        <v>Medium</v>
      </c>
      <c r="T700" s="18" t="str">
        <f t="shared" si="75"/>
        <v>High Demand</v>
      </c>
      <c r="U700" s="18" t="str">
        <f t="shared" si="76"/>
        <v>low Value</v>
      </c>
    </row>
    <row r="701" spans="1:21" x14ac:dyDescent="0.3">
      <c r="A701" t="s">
        <v>709</v>
      </c>
      <c r="B701" s="1">
        <v>45255</v>
      </c>
      <c r="C701" t="s">
        <v>1210</v>
      </c>
      <c r="D701" t="s">
        <v>1214</v>
      </c>
      <c r="E701" t="s">
        <v>1220</v>
      </c>
      <c r="F701" t="s">
        <v>1225</v>
      </c>
      <c r="G701" s="6">
        <v>4</v>
      </c>
      <c r="H701">
        <v>2781</v>
      </c>
      <c r="I701">
        <v>11124</v>
      </c>
      <c r="J701" s="2">
        <v>1527.8</v>
      </c>
      <c r="K701" s="16">
        <f>Table13[[#This Row],[Profit]]/Table13[[#This Row],[Sales]]</f>
        <v>0.13734268248831355</v>
      </c>
      <c r="L701" s="17" t="str">
        <f t="shared" si="70"/>
        <v>Medium</v>
      </c>
      <c r="M701" s="17" t="str">
        <f t="shared" si="71"/>
        <v>Nov</v>
      </c>
      <c r="N701" s="18">
        <f>YEAR(Table13[[#This Row],[Order_Date]])</f>
        <v>2023</v>
      </c>
      <c r="O701" s="18">
        <f>Table13[[#This Row],[Price]]*0.7</f>
        <v>1946.6999999999998</v>
      </c>
      <c r="P701" s="18">
        <f t="shared" si="72"/>
        <v>3337.2000000000007</v>
      </c>
      <c r="Q701" s="18">
        <f t="shared" si="73"/>
        <v>0.05</v>
      </c>
      <c r="R701" s="18">
        <f t="shared" si="74"/>
        <v>9596.2000000000007</v>
      </c>
      <c r="S701" s="18" t="str">
        <f>IF(Table13[[#This Row],[Quantity]]&lt;=3,"Small",IF(Table13[[#This Row],[Quantity]]&lt;=6,"Medium","Bulk"))</f>
        <v>Medium</v>
      </c>
      <c r="T701" s="18" t="str">
        <f t="shared" si="75"/>
        <v>Normal</v>
      </c>
      <c r="U701" s="18" t="str">
        <f t="shared" si="76"/>
        <v>Medium Value</v>
      </c>
    </row>
    <row r="702" spans="1:21" x14ac:dyDescent="0.3">
      <c r="A702" t="s">
        <v>710</v>
      </c>
      <c r="B702" s="1">
        <v>44935</v>
      </c>
      <c r="C702" t="s">
        <v>1213</v>
      </c>
      <c r="D702" t="s">
        <v>1216</v>
      </c>
      <c r="E702" t="s">
        <v>1219</v>
      </c>
      <c r="F702" t="s">
        <v>1233</v>
      </c>
      <c r="G702" s="6">
        <v>6</v>
      </c>
      <c r="H702">
        <v>3606</v>
      </c>
      <c r="I702">
        <v>21636</v>
      </c>
      <c r="J702" s="2">
        <v>4769.25</v>
      </c>
      <c r="K702" s="16">
        <f>Table13[[#This Row],[Profit]]/Table13[[#This Row],[Sales]]</f>
        <v>0.2204312257348863</v>
      </c>
      <c r="L702" s="17" t="str">
        <f t="shared" si="70"/>
        <v>High</v>
      </c>
      <c r="M702" s="17" t="str">
        <f t="shared" si="71"/>
        <v>Jan</v>
      </c>
      <c r="N702" s="18">
        <f>YEAR(Table13[[#This Row],[Order_Date]])</f>
        <v>2023</v>
      </c>
      <c r="O702" s="18">
        <f>Table13[[#This Row],[Price]]*0.7</f>
        <v>2524.1999999999998</v>
      </c>
      <c r="P702" s="18">
        <f t="shared" si="72"/>
        <v>6490.8000000000011</v>
      </c>
      <c r="Q702" s="18">
        <f t="shared" si="73"/>
        <v>0.1</v>
      </c>
      <c r="R702" s="18">
        <f t="shared" si="74"/>
        <v>16866.75</v>
      </c>
      <c r="S702" s="18" t="str">
        <f>IF(Table13[[#This Row],[Quantity]]&lt;=3,"Small",IF(Table13[[#This Row],[Quantity]]&lt;=6,"Medium","Bulk"))</f>
        <v>Medium</v>
      </c>
      <c r="T702" s="18" t="str">
        <f t="shared" si="75"/>
        <v>Normal</v>
      </c>
      <c r="U702" s="18" t="str">
        <f t="shared" si="76"/>
        <v>High Value</v>
      </c>
    </row>
    <row r="703" spans="1:21" x14ac:dyDescent="0.3">
      <c r="A703" t="s">
        <v>711</v>
      </c>
      <c r="B703" s="1">
        <v>45001</v>
      </c>
      <c r="C703" t="s">
        <v>1212</v>
      </c>
      <c r="D703" t="s">
        <v>1217</v>
      </c>
      <c r="E703" t="s">
        <v>1220</v>
      </c>
      <c r="F703" t="s">
        <v>1225</v>
      </c>
      <c r="G703" s="6">
        <v>5</v>
      </c>
      <c r="H703">
        <v>1115</v>
      </c>
      <c r="I703">
        <v>5575</v>
      </c>
      <c r="J703" s="2">
        <v>1068.0899999999999</v>
      </c>
      <c r="K703" s="16">
        <f>Table13[[#This Row],[Profit]]/Table13[[#This Row],[Sales]]</f>
        <v>0.19158565022421523</v>
      </c>
      <c r="L703" s="17" t="str">
        <f t="shared" si="70"/>
        <v>Low</v>
      </c>
      <c r="M703" s="17" t="str">
        <f t="shared" si="71"/>
        <v>Mar</v>
      </c>
      <c r="N703" s="18">
        <f>YEAR(Table13[[#This Row],[Order_Date]])</f>
        <v>2023</v>
      </c>
      <c r="O703" s="18">
        <f>Table13[[#This Row],[Price]]*0.7</f>
        <v>780.5</v>
      </c>
      <c r="P703" s="18">
        <f t="shared" si="72"/>
        <v>1672.5</v>
      </c>
      <c r="Q703" s="18">
        <f t="shared" si="73"/>
        <v>0.05</v>
      </c>
      <c r="R703" s="18">
        <f t="shared" si="74"/>
        <v>4506.91</v>
      </c>
      <c r="S703" s="18" t="str">
        <f>IF(Table13[[#This Row],[Quantity]]&lt;=3,"Small",IF(Table13[[#This Row],[Quantity]]&lt;=6,"Medium","Bulk"))</f>
        <v>Medium</v>
      </c>
      <c r="T703" s="18" t="str">
        <f t="shared" si="75"/>
        <v>High Demand</v>
      </c>
      <c r="U703" s="18" t="str">
        <f t="shared" si="76"/>
        <v>low Value</v>
      </c>
    </row>
    <row r="704" spans="1:21" x14ac:dyDescent="0.3">
      <c r="A704" t="s">
        <v>712</v>
      </c>
      <c r="B704" s="1">
        <v>44994</v>
      </c>
      <c r="C704" t="s">
        <v>1210</v>
      </c>
      <c r="D704" t="s">
        <v>1217</v>
      </c>
      <c r="E704" t="s">
        <v>1221</v>
      </c>
      <c r="F704" t="s">
        <v>1231</v>
      </c>
      <c r="G704" s="6">
        <v>2</v>
      </c>
      <c r="H704">
        <v>4913</v>
      </c>
      <c r="I704">
        <v>9826</v>
      </c>
      <c r="J704" s="2">
        <v>1629.01</v>
      </c>
      <c r="K704" s="16">
        <f>Table13[[#This Row],[Profit]]/Table13[[#This Row],[Sales]]</f>
        <v>0.16578567066965194</v>
      </c>
      <c r="L704" s="17" t="str">
        <f t="shared" si="70"/>
        <v>Low</v>
      </c>
      <c r="M704" s="17" t="str">
        <f t="shared" si="71"/>
        <v>Mar</v>
      </c>
      <c r="N704" s="18">
        <f>YEAR(Table13[[#This Row],[Order_Date]])</f>
        <v>2023</v>
      </c>
      <c r="O704" s="18">
        <f>Table13[[#This Row],[Price]]*0.7</f>
        <v>3439.1</v>
      </c>
      <c r="P704" s="18">
        <f t="shared" si="72"/>
        <v>2947.8</v>
      </c>
      <c r="Q704" s="18">
        <f t="shared" si="73"/>
        <v>0.05</v>
      </c>
      <c r="R704" s="18">
        <f t="shared" si="74"/>
        <v>8196.99</v>
      </c>
      <c r="S704" s="18" t="str">
        <f>IF(Table13[[#This Row],[Quantity]]&lt;=3,"Small",IF(Table13[[#This Row],[Quantity]]&lt;=6,"Medium","Bulk"))</f>
        <v>Small</v>
      </c>
      <c r="T704" s="18" t="str">
        <f t="shared" si="75"/>
        <v>Normal</v>
      </c>
      <c r="U704" s="18" t="str">
        <f t="shared" si="76"/>
        <v>low Value</v>
      </c>
    </row>
    <row r="705" spans="1:21" x14ac:dyDescent="0.3">
      <c r="A705" t="s">
        <v>713</v>
      </c>
      <c r="B705" s="1">
        <v>45265</v>
      </c>
      <c r="C705" t="s">
        <v>1210</v>
      </c>
      <c r="D705" t="s">
        <v>1215</v>
      </c>
      <c r="E705" t="s">
        <v>1220</v>
      </c>
      <c r="F705" t="s">
        <v>1237</v>
      </c>
      <c r="G705" s="6">
        <v>3</v>
      </c>
      <c r="H705">
        <v>2688</v>
      </c>
      <c r="I705">
        <v>8064</v>
      </c>
      <c r="J705" s="2">
        <v>1340.27</v>
      </c>
      <c r="K705" s="16">
        <f>Table13[[#This Row],[Profit]]/Table13[[#This Row],[Sales]]</f>
        <v>0.16620411706349206</v>
      </c>
      <c r="L705" s="17" t="str">
        <f t="shared" si="70"/>
        <v>Low</v>
      </c>
      <c r="M705" s="17" t="str">
        <f t="shared" si="71"/>
        <v>Dec</v>
      </c>
      <c r="N705" s="18">
        <f>YEAR(Table13[[#This Row],[Order_Date]])</f>
        <v>2023</v>
      </c>
      <c r="O705" s="18">
        <f>Table13[[#This Row],[Price]]*0.7</f>
        <v>1881.6</v>
      </c>
      <c r="P705" s="18">
        <f t="shared" si="72"/>
        <v>2419.2000000000007</v>
      </c>
      <c r="Q705" s="18">
        <f t="shared" si="73"/>
        <v>0.05</v>
      </c>
      <c r="R705" s="18">
        <f t="shared" si="74"/>
        <v>6723.7300000000005</v>
      </c>
      <c r="S705" s="18" t="str">
        <f>IF(Table13[[#This Row],[Quantity]]&lt;=3,"Small",IF(Table13[[#This Row],[Quantity]]&lt;=6,"Medium","Bulk"))</f>
        <v>Small</v>
      </c>
      <c r="T705" s="18" t="str">
        <f t="shared" si="75"/>
        <v>Normal</v>
      </c>
      <c r="U705" s="18" t="str">
        <f t="shared" si="76"/>
        <v>low Value</v>
      </c>
    </row>
    <row r="706" spans="1:21" x14ac:dyDescent="0.3">
      <c r="A706" t="s">
        <v>714</v>
      </c>
      <c r="B706" s="1">
        <v>45242</v>
      </c>
      <c r="C706" t="s">
        <v>1213</v>
      </c>
      <c r="D706" t="s">
        <v>1218</v>
      </c>
      <c r="E706" t="s">
        <v>1221</v>
      </c>
      <c r="F706" t="s">
        <v>1229</v>
      </c>
      <c r="G706" s="6">
        <v>4</v>
      </c>
      <c r="H706">
        <v>1361</v>
      </c>
      <c r="I706">
        <v>5444</v>
      </c>
      <c r="J706" s="2">
        <v>831.15</v>
      </c>
      <c r="K706" s="16">
        <f>Table13[[#This Row],[Profit]]/Table13[[#This Row],[Sales]]</f>
        <v>0.15267266715650257</v>
      </c>
      <c r="L706" s="17" t="str">
        <f t="shared" ref="L706:L769" si="77">IF(I706&gt;20000,"High",IF(I706&gt;10000,"Medium","Low"))</f>
        <v>Low</v>
      </c>
      <c r="M706" s="17" t="str">
        <f t="shared" ref="M706:M769" si="78">TEXT(B706,"mmm")</f>
        <v>Nov</v>
      </c>
      <c r="N706" s="18">
        <f>YEAR(Table13[[#This Row],[Order_Date]])</f>
        <v>2023</v>
      </c>
      <c r="O706" s="18">
        <f>Table13[[#This Row],[Price]]*0.7</f>
        <v>952.69999999999993</v>
      </c>
      <c r="P706" s="18">
        <f t="shared" ref="P706:P769" si="79">I706 - (G706 *O706)</f>
        <v>1633.2000000000003</v>
      </c>
      <c r="Q706" s="18">
        <f t="shared" ref="Q706:Q769" si="80">IF(G706&gt;5,0.1,0.05)</f>
        <v>0.05</v>
      </c>
      <c r="R706" s="18">
        <f t="shared" ref="R706:R769" si="81">I706*(1-K706)</f>
        <v>4612.8499999999995</v>
      </c>
      <c r="S706" s="18" t="str">
        <f>IF(Table13[[#This Row],[Quantity]]&lt;=3,"Small",IF(Table13[[#This Row],[Quantity]]&lt;=6,"Medium","Bulk"))</f>
        <v>Medium</v>
      </c>
      <c r="T706" s="18" t="str">
        <f t="shared" ref="T706:T769" si="82">IF(C706="North","High Demand","Normal")</f>
        <v>Normal</v>
      </c>
      <c r="U706" s="18" t="str">
        <f t="shared" ref="U706:U769" si="83">IF(I706&gt;20000,"High Value",IF(I706&gt;10000,"Medium Value","low Value"))</f>
        <v>low Value</v>
      </c>
    </row>
    <row r="707" spans="1:21" x14ac:dyDescent="0.3">
      <c r="A707" t="s">
        <v>715</v>
      </c>
      <c r="B707" s="1">
        <v>45014</v>
      </c>
      <c r="C707" t="s">
        <v>1212</v>
      </c>
      <c r="D707" t="s">
        <v>1214</v>
      </c>
      <c r="E707" t="s">
        <v>1221</v>
      </c>
      <c r="F707" t="s">
        <v>1226</v>
      </c>
      <c r="G707" s="6">
        <v>7</v>
      </c>
      <c r="H707">
        <v>444</v>
      </c>
      <c r="I707">
        <v>3108</v>
      </c>
      <c r="J707" s="2">
        <v>475.64</v>
      </c>
      <c r="K707" s="16">
        <f>Table13[[#This Row],[Profit]]/Table13[[#This Row],[Sales]]</f>
        <v>0.15303732303732304</v>
      </c>
      <c r="L707" s="17" t="str">
        <f t="shared" si="77"/>
        <v>Low</v>
      </c>
      <c r="M707" s="17" t="str">
        <f t="shared" si="78"/>
        <v>Mar</v>
      </c>
      <c r="N707" s="18">
        <f>YEAR(Table13[[#This Row],[Order_Date]])</f>
        <v>2023</v>
      </c>
      <c r="O707" s="18">
        <f>Table13[[#This Row],[Price]]*0.7</f>
        <v>310.79999999999995</v>
      </c>
      <c r="P707" s="18">
        <f t="shared" si="79"/>
        <v>932.40000000000055</v>
      </c>
      <c r="Q707" s="18">
        <f t="shared" si="80"/>
        <v>0.1</v>
      </c>
      <c r="R707" s="18">
        <f t="shared" si="81"/>
        <v>2632.36</v>
      </c>
      <c r="S707" s="18" t="str">
        <f>IF(Table13[[#This Row],[Quantity]]&lt;=3,"Small",IF(Table13[[#This Row],[Quantity]]&lt;=6,"Medium","Bulk"))</f>
        <v>Bulk</v>
      </c>
      <c r="T707" s="18" t="str">
        <f t="shared" si="82"/>
        <v>High Demand</v>
      </c>
      <c r="U707" s="18" t="str">
        <f t="shared" si="83"/>
        <v>low Value</v>
      </c>
    </row>
    <row r="708" spans="1:21" x14ac:dyDescent="0.3">
      <c r="A708" t="s">
        <v>716</v>
      </c>
      <c r="B708" s="1">
        <v>45232</v>
      </c>
      <c r="C708" t="s">
        <v>1213</v>
      </c>
      <c r="D708" t="s">
        <v>1218</v>
      </c>
      <c r="E708" t="s">
        <v>1219</v>
      </c>
      <c r="F708" t="s">
        <v>1232</v>
      </c>
      <c r="G708" s="6">
        <v>4</v>
      </c>
      <c r="H708">
        <v>3598</v>
      </c>
      <c r="I708">
        <v>14392</v>
      </c>
      <c r="J708" s="2">
        <v>1191</v>
      </c>
      <c r="K708" s="16">
        <f>Table13[[#This Row],[Profit]]/Table13[[#This Row],[Sales]]</f>
        <v>8.2754307948860475E-2</v>
      </c>
      <c r="L708" s="17" t="str">
        <f t="shared" si="77"/>
        <v>Medium</v>
      </c>
      <c r="M708" s="17" t="str">
        <f t="shared" si="78"/>
        <v>Nov</v>
      </c>
      <c r="N708" s="18">
        <f>YEAR(Table13[[#This Row],[Order_Date]])</f>
        <v>2023</v>
      </c>
      <c r="O708" s="18">
        <f>Table13[[#This Row],[Price]]*0.7</f>
        <v>2518.6</v>
      </c>
      <c r="P708" s="18">
        <f t="shared" si="79"/>
        <v>4317.6000000000004</v>
      </c>
      <c r="Q708" s="18">
        <f t="shared" si="80"/>
        <v>0.05</v>
      </c>
      <c r="R708" s="18">
        <f t="shared" si="81"/>
        <v>13201</v>
      </c>
      <c r="S708" s="18" t="str">
        <f>IF(Table13[[#This Row],[Quantity]]&lt;=3,"Small",IF(Table13[[#This Row],[Quantity]]&lt;=6,"Medium","Bulk"))</f>
        <v>Medium</v>
      </c>
      <c r="T708" s="18" t="str">
        <f t="shared" si="82"/>
        <v>Normal</v>
      </c>
      <c r="U708" s="18" t="str">
        <f t="shared" si="83"/>
        <v>Medium Value</v>
      </c>
    </row>
    <row r="709" spans="1:21" x14ac:dyDescent="0.3">
      <c r="A709" t="s">
        <v>717</v>
      </c>
      <c r="B709" s="1">
        <v>45032</v>
      </c>
      <c r="C709" t="s">
        <v>1210</v>
      </c>
      <c r="D709" t="s">
        <v>1217</v>
      </c>
      <c r="E709" t="s">
        <v>1222</v>
      </c>
      <c r="F709" t="s">
        <v>1227</v>
      </c>
      <c r="G709" s="6">
        <v>1</v>
      </c>
      <c r="H709">
        <v>4854</v>
      </c>
      <c r="I709">
        <v>4854</v>
      </c>
      <c r="J709" s="2">
        <v>561.87</v>
      </c>
      <c r="K709" s="16">
        <f>Table13[[#This Row],[Profit]]/Table13[[#This Row],[Sales]]</f>
        <v>0.1157540173053152</v>
      </c>
      <c r="L709" s="17" t="str">
        <f t="shared" si="77"/>
        <v>Low</v>
      </c>
      <c r="M709" s="17" t="str">
        <f t="shared" si="78"/>
        <v>Apr</v>
      </c>
      <c r="N709" s="18">
        <f>YEAR(Table13[[#This Row],[Order_Date]])</f>
        <v>2023</v>
      </c>
      <c r="O709" s="18">
        <f>Table13[[#This Row],[Price]]*0.7</f>
        <v>3397.7999999999997</v>
      </c>
      <c r="P709" s="18">
        <f t="shared" si="79"/>
        <v>1456.2000000000003</v>
      </c>
      <c r="Q709" s="18">
        <f t="shared" si="80"/>
        <v>0.05</v>
      </c>
      <c r="R709" s="18">
        <f t="shared" si="81"/>
        <v>4292.13</v>
      </c>
      <c r="S709" s="18" t="str">
        <f>IF(Table13[[#This Row],[Quantity]]&lt;=3,"Small",IF(Table13[[#This Row],[Quantity]]&lt;=6,"Medium","Bulk"))</f>
        <v>Small</v>
      </c>
      <c r="T709" s="18" t="str">
        <f t="shared" si="82"/>
        <v>Normal</v>
      </c>
      <c r="U709" s="18" t="str">
        <f t="shared" si="83"/>
        <v>low Value</v>
      </c>
    </row>
    <row r="710" spans="1:21" x14ac:dyDescent="0.3">
      <c r="A710" t="s">
        <v>718</v>
      </c>
      <c r="B710" s="1">
        <v>45222</v>
      </c>
      <c r="C710" t="s">
        <v>1211</v>
      </c>
      <c r="D710" t="s">
        <v>1214</v>
      </c>
      <c r="E710" t="s">
        <v>1220</v>
      </c>
      <c r="F710" t="s">
        <v>1224</v>
      </c>
      <c r="G710" s="6">
        <v>4</v>
      </c>
      <c r="H710">
        <v>1331</v>
      </c>
      <c r="I710">
        <v>5324</v>
      </c>
      <c r="J710" s="2">
        <v>481.14</v>
      </c>
      <c r="K710" s="16">
        <f>Table13[[#This Row],[Profit]]/Table13[[#This Row],[Sales]]</f>
        <v>9.0371900826446278E-2</v>
      </c>
      <c r="L710" s="17" t="str">
        <f t="shared" si="77"/>
        <v>Low</v>
      </c>
      <c r="M710" s="17" t="str">
        <f t="shared" si="78"/>
        <v>Oct</v>
      </c>
      <c r="N710" s="18">
        <f>YEAR(Table13[[#This Row],[Order_Date]])</f>
        <v>2023</v>
      </c>
      <c r="O710" s="18">
        <f>Table13[[#This Row],[Price]]*0.7</f>
        <v>931.69999999999993</v>
      </c>
      <c r="P710" s="18">
        <f t="shared" si="79"/>
        <v>1597.2000000000003</v>
      </c>
      <c r="Q710" s="18">
        <f t="shared" si="80"/>
        <v>0.05</v>
      </c>
      <c r="R710" s="18">
        <f t="shared" si="81"/>
        <v>4842.8599999999997</v>
      </c>
      <c r="S710" s="18" t="str">
        <f>IF(Table13[[#This Row],[Quantity]]&lt;=3,"Small",IF(Table13[[#This Row],[Quantity]]&lt;=6,"Medium","Bulk"))</f>
        <v>Medium</v>
      </c>
      <c r="T710" s="18" t="str">
        <f t="shared" si="82"/>
        <v>Normal</v>
      </c>
      <c r="U710" s="18" t="str">
        <f t="shared" si="83"/>
        <v>low Value</v>
      </c>
    </row>
    <row r="711" spans="1:21" x14ac:dyDescent="0.3">
      <c r="A711" t="s">
        <v>719</v>
      </c>
      <c r="B711" s="1">
        <v>45209</v>
      </c>
      <c r="C711" t="s">
        <v>1212</v>
      </c>
      <c r="D711" t="s">
        <v>1217</v>
      </c>
      <c r="E711" t="s">
        <v>1219</v>
      </c>
      <c r="F711" t="s">
        <v>1232</v>
      </c>
      <c r="G711" s="6">
        <v>3</v>
      </c>
      <c r="H711">
        <v>211</v>
      </c>
      <c r="I711">
        <v>633</v>
      </c>
      <c r="J711" s="2">
        <v>66.97</v>
      </c>
      <c r="K711" s="16">
        <f>Table13[[#This Row],[Profit]]/Table13[[#This Row],[Sales]]</f>
        <v>0.10579778830963665</v>
      </c>
      <c r="L711" s="17" t="str">
        <f t="shared" si="77"/>
        <v>Low</v>
      </c>
      <c r="M711" s="17" t="str">
        <f t="shared" si="78"/>
        <v>Oct</v>
      </c>
      <c r="N711" s="18">
        <f>YEAR(Table13[[#This Row],[Order_Date]])</f>
        <v>2023</v>
      </c>
      <c r="O711" s="18">
        <f>Table13[[#This Row],[Price]]*0.7</f>
        <v>147.69999999999999</v>
      </c>
      <c r="P711" s="18">
        <f t="shared" si="79"/>
        <v>189.90000000000003</v>
      </c>
      <c r="Q711" s="18">
        <f t="shared" si="80"/>
        <v>0.05</v>
      </c>
      <c r="R711" s="18">
        <f t="shared" si="81"/>
        <v>566.03000000000009</v>
      </c>
      <c r="S711" s="18" t="str">
        <f>IF(Table13[[#This Row],[Quantity]]&lt;=3,"Small",IF(Table13[[#This Row],[Quantity]]&lt;=6,"Medium","Bulk"))</f>
        <v>Small</v>
      </c>
      <c r="T711" s="18" t="str">
        <f t="shared" si="82"/>
        <v>High Demand</v>
      </c>
      <c r="U711" s="18" t="str">
        <f t="shared" si="83"/>
        <v>low Value</v>
      </c>
    </row>
    <row r="712" spans="1:21" x14ac:dyDescent="0.3">
      <c r="A712" t="s">
        <v>720</v>
      </c>
      <c r="B712" s="1">
        <v>45210</v>
      </c>
      <c r="C712" t="s">
        <v>1212</v>
      </c>
      <c r="D712" t="s">
        <v>1215</v>
      </c>
      <c r="E712" t="s">
        <v>1222</v>
      </c>
      <c r="F712" t="s">
        <v>1236</v>
      </c>
      <c r="G712" s="6">
        <v>2</v>
      </c>
      <c r="H712">
        <v>2277</v>
      </c>
      <c r="I712">
        <v>4554</v>
      </c>
      <c r="J712" s="2">
        <v>657.04</v>
      </c>
      <c r="K712" s="16">
        <f>Table13[[#This Row],[Profit]]/Table13[[#This Row],[Sales]]</f>
        <v>0.14427755819060167</v>
      </c>
      <c r="L712" s="17" t="str">
        <f t="shared" si="77"/>
        <v>Low</v>
      </c>
      <c r="M712" s="17" t="str">
        <f t="shared" si="78"/>
        <v>Oct</v>
      </c>
      <c r="N712" s="18">
        <f>YEAR(Table13[[#This Row],[Order_Date]])</f>
        <v>2023</v>
      </c>
      <c r="O712" s="18">
        <f>Table13[[#This Row],[Price]]*0.7</f>
        <v>1593.8999999999999</v>
      </c>
      <c r="P712" s="18">
        <f t="shared" si="79"/>
        <v>1366.2000000000003</v>
      </c>
      <c r="Q712" s="18">
        <f t="shared" si="80"/>
        <v>0.05</v>
      </c>
      <c r="R712" s="18">
        <f t="shared" si="81"/>
        <v>3896.9599999999996</v>
      </c>
      <c r="S712" s="18" t="str">
        <f>IF(Table13[[#This Row],[Quantity]]&lt;=3,"Small",IF(Table13[[#This Row],[Quantity]]&lt;=6,"Medium","Bulk"))</f>
        <v>Small</v>
      </c>
      <c r="T712" s="18" t="str">
        <f t="shared" si="82"/>
        <v>High Demand</v>
      </c>
      <c r="U712" s="18" t="str">
        <f t="shared" si="83"/>
        <v>low Value</v>
      </c>
    </row>
    <row r="713" spans="1:21" x14ac:dyDescent="0.3">
      <c r="A713" t="s">
        <v>721</v>
      </c>
      <c r="B713" s="1">
        <v>44968</v>
      </c>
      <c r="C713" t="s">
        <v>1210</v>
      </c>
      <c r="D713" t="s">
        <v>1215</v>
      </c>
      <c r="E713" t="s">
        <v>1220</v>
      </c>
      <c r="F713" t="s">
        <v>1224</v>
      </c>
      <c r="G713" s="6">
        <v>8</v>
      </c>
      <c r="H713">
        <v>1044</v>
      </c>
      <c r="I713">
        <v>8352</v>
      </c>
      <c r="J713" s="2">
        <v>1606.87</v>
      </c>
      <c r="K713" s="16">
        <f>Table13[[#This Row],[Profit]]/Table13[[#This Row],[Sales]]</f>
        <v>0.19239343869731798</v>
      </c>
      <c r="L713" s="17" t="str">
        <f t="shared" si="77"/>
        <v>Low</v>
      </c>
      <c r="M713" s="17" t="str">
        <f t="shared" si="78"/>
        <v>Feb</v>
      </c>
      <c r="N713" s="18">
        <f>YEAR(Table13[[#This Row],[Order_Date]])</f>
        <v>2023</v>
      </c>
      <c r="O713" s="18">
        <f>Table13[[#This Row],[Price]]*0.7</f>
        <v>730.8</v>
      </c>
      <c r="P713" s="18">
        <f t="shared" si="79"/>
        <v>2505.6000000000004</v>
      </c>
      <c r="Q713" s="18">
        <f t="shared" si="80"/>
        <v>0.1</v>
      </c>
      <c r="R713" s="18">
        <f t="shared" si="81"/>
        <v>6745.13</v>
      </c>
      <c r="S713" s="18" t="str">
        <f>IF(Table13[[#This Row],[Quantity]]&lt;=3,"Small",IF(Table13[[#This Row],[Quantity]]&lt;=6,"Medium","Bulk"))</f>
        <v>Bulk</v>
      </c>
      <c r="T713" s="18" t="str">
        <f t="shared" si="82"/>
        <v>Normal</v>
      </c>
      <c r="U713" s="18" t="str">
        <f t="shared" si="83"/>
        <v>low Value</v>
      </c>
    </row>
    <row r="714" spans="1:21" x14ac:dyDescent="0.3">
      <c r="A714" t="s">
        <v>722</v>
      </c>
      <c r="B714" s="1">
        <v>45289</v>
      </c>
      <c r="C714" t="s">
        <v>1210</v>
      </c>
      <c r="D714" t="s">
        <v>1218</v>
      </c>
      <c r="E714" t="s">
        <v>1220</v>
      </c>
      <c r="F714" t="s">
        <v>1224</v>
      </c>
      <c r="G714" s="6">
        <v>6</v>
      </c>
      <c r="H714">
        <v>384</v>
      </c>
      <c r="I714">
        <v>2304</v>
      </c>
      <c r="J714" s="2">
        <v>517.03</v>
      </c>
      <c r="K714" s="16">
        <f>Table13[[#This Row],[Profit]]/Table13[[#This Row],[Sales]]</f>
        <v>0.22440538194444443</v>
      </c>
      <c r="L714" s="17" t="str">
        <f t="shared" si="77"/>
        <v>Low</v>
      </c>
      <c r="M714" s="17" t="str">
        <f t="shared" si="78"/>
        <v>Dec</v>
      </c>
      <c r="N714" s="18">
        <f>YEAR(Table13[[#This Row],[Order_Date]])</f>
        <v>2023</v>
      </c>
      <c r="O714" s="18">
        <f>Table13[[#This Row],[Price]]*0.7</f>
        <v>268.79999999999995</v>
      </c>
      <c r="P714" s="18">
        <f t="shared" si="79"/>
        <v>691.20000000000027</v>
      </c>
      <c r="Q714" s="18">
        <f t="shared" si="80"/>
        <v>0.1</v>
      </c>
      <c r="R714" s="18">
        <f t="shared" si="81"/>
        <v>1786.9699999999998</v>
      </c>
      <c r="S714" s="18" t="str">
        <f>IF(Table13[[#This Row],[Quantity]]&lt;=3,"Small",IF(Table13[[#This Row],[Quantity]]&lt;=6,"Medium","Bulk"))</f>
        <v>Medium</v>
      </c>
      <c r="T714" s="18" t="str">
        <f t="shared" si="82"/>
        <v>Normal</v>
      </c>
      <c r="U714" s="18" t="str">
        <f t="shared" si="83"/>
        <v>low Value</v>
      </c>
    </row>
    <row r="715" spans="1:21" x14ac:dyDescent="0.3">
      <c r="A715" t="s">
        <v>723</v>
      </c>
      <c r="B715" s="1">
        <v>44936</v>
      </c>
      <c r="C715" t="s">
        <v>1213</v>
      </c>
      <c r="D715" t="s">
        <v>1218</v>
      </c>
      <c r="E715" t="s">
        <v>1221</v>
      </c>
      <c r="F715" t="s">
        <v>1229</v>
      </c>
      <c r="G715" s="6">
        <v>9</v>
      </c>
      <c r="H715">
        <v>4883</v>
      </c>
      <c r="I715">
        <v>43947</v>
      </c>
      <c r="J715" s="2">
        <v>3723.78</v>
      </c>
      <c r="K715" s="16">
        <f>Table13[[#This Row],[Profit]]/Table13[[#This Row],[Sales]]</f>
        <v>8.4733428902996802E-2</v>
      </c>
      <c r="L715" s="17" t="str">
        <f t="shared" si="77"/>
        <v>High</v>
      </c>
      <c r="M715" s="17" t="str">
        <f t="shared" si="78"/>
        <v>Jan</v>
      </c>
      <c r="N715" s="18">
        <f>YEAR(Table13[[#This Row],[Order_Date]])</f>
        <v>2023</v>
      </c>
      <c r="O715" s="18">
        <f>Table13[[#This Row],[Price]]*0.7</f>
        <v>3418.1</v>
      </c>
      <c r="P715" s="18">
        <f t="shared" si="79"/>
        <v>13184.100000000002</v>
      </c>
      <c r="Q715" s="18">
        <f t="shared" si="80"/>
        <v>0.1</v>
      </c>
      <c r="R715" s="18">
        <f t="shared" si="81"/>
        <v>40223.22</v>
      </c>
      <c r="S715" s="18" t="str">
        <f>IF(Table13[[#This Row],[Quantity]]&lt;=3,"Small",IF(Table13[[#This Row],[Quantity]]&lt;=6,"Medium","Bulk"))</f>
        <v>Bulk</v>
      </c>
      <c r="T715" s="18" t="str">
        <f t="shared" si="82"/>
        <v>Normal</v>
      </c>
      <c r="U715" s="18" t="str">
        <f t="shared" si="83"/>
        <v>High Value</v>
      </c>
    </row>
    <row r="716" spans="1:21" x14ac:dyDescent="0.3">
      <c r="A716" t="s">
        <v>724</v>
      </c>
      <c r="B716" s="1">
        <v>45050</v>
      </c>
      <c r="C716" t="s">
        <v>1213</v>
      </c>
      <c r="D716" t="s">
        <v>1214</v>
      </c>
      <c r="E716" t="s">
        <v>1220</v>
      </c>
      <c r="F716" t="s">
        <v>1224</v>
      </c>
      <c r="G716" s="6">
        <v>4</v>
      </c>
      <c r="H716">
        <v>4355</v>
      </c>
      <c r="I716">
        <v>17420</v>
      </c>
      <c r="J716" s="2">
        <v>3695.96</v>
      </c>
      <c r="K716" s="16">
        <f>Table13[[#This Row],[Profit]]/Table13[[#This Row],[Sales]]</f>
        <v>0.21216762342135476</v>
      </c>
      <c r="L716" s="17" t="str">
        <f t="shared" si="77"/>
        <v>Medium</v>
      </c>
      <c r="M716" s="17" t="str">
        <f t="shared" si="78"/>
        <v>May</v>
      </c>
      <c r="N716" s="18">
        <f>YEAR(Table13[[#This Row],[Order_Date]])</f>
        <v>2023</v>
      </c>
      <c r="O716" s="18">
        <f>Table13[[#This Row],[Price]]*0.7</f>
        <v>3048.5</v>
      </c>
      <c r="P716" s="18">
        <f t="shared" si="79"/>
        <v>5226</v>
      </c>
      <c r="Q716" s="18">
        <f t="shared" si="80"/>
        <v>0.05</v>
      </c>
      <c r="R716" s="18">
        <f t="shared" si="81"/>
        <v>13724.04</v>
      </c>
      <c r="S716" s="18" t="str">
        <f>IF(Table13[[#This Row],[Quantity]]&lt;=3,"Small",IF(Table13[[#This Row],[Quantity]]&lt;=6,"Medium","Bulk"))</f>
        <v>Medium</v>
      </c>
      <c r="T716" s="18" t="str">
        <f t="shared" si="82"/>
        <v>Normal</v>
      </c>
      <c r="U716" s="18" t="str">
        <f t="shared" si="83"/>
        <v>Medium Value</v>
      </c>
    </row>
    <row r="717" spans="1:21" x14ac:dyDescent="0.3">
      <c r="A717" t="s">
        <v>725</v>
      </c>
      <c r="B717" s="1">
        <v>45082</v>
      </c>
      <c r="C717" t="s">
        <v>1213</v>
      </c>
      <c r="D717" t="s">
        <v>1215</v>
      </c>
      <c r="E717" t="s">
        <v>1220</v>
      </c>
      <c r="F717" t="s">
        <v>1237</v>
      </c>
      <c r="G717" s="6">
        <v>9</v>
      </c>
      <c r="H717">
        <v>726</v>
      </c>
      <c r="I717">
        <v>6534</v>
      </c>
      <c r="J717" s="2">
        <v>1511.74</v>
      </c>
      <c r="K717" s="16">
        <f>Table13[[#This Row],[Profit]]/Table13[[#This Row],[Sales]]</f>
        <v>0.23136516681971228</v>
      </c>
      <c r="L717" s="17" t="str">
        <f t="shared" si="77"/>
        <v>Low</v>
      </c>
      <c r="M717" s="17" t="str">
        <f t="shared" si="78"/>
        <v>Jun</v>
      </c>
      <c r="N717" s="18">
        <f>YEAR(Table13[[#This Row],[Order_Date]])</f>
        <v>2023</v>
      </c>
      <c r="O717" s="18">
        <f>Table13[[#This Row],[Price]]*0.7</f>
        <v>508.2</v>
      </c>
      <c r="P717" s="18">
        <f t="shared" si="79"/>
        <v>1960.1999999999998</v>
      </c>
      <c r="Q717" s="18">
        <f t="shared" si="80"/>
        <v>0.1</v>
      </c>
      <c r="R717" s="18">
        <f t="shared" si="81"/>
        <v>5022.26</v>
      </c>
      <c r="S717" s="18" t="str">
        <f>IF(Table13[[#This Row],[Quantity]]&lt;=3,"Small",IF(Table13[[#This Row],[Quantity]]&lt;=6,"Medium","Bulk"))</f>
        <v>Bulk</v>
      </c>
      <c r="T717" s="18" t="str">
        <f t="shared" si="82"/>
        <v>Normal</v>
      </c>
      <c r="U717" s="18" t="str">
        <f t="shared" si="83"/>
        <v>low Value</v>
      </c>
    </row>
    <row r="718" spans="1:21" x14ac:dyDescent="0.3">
      <c r="A718" t="s">
        <v>726</v>
      </c>
      <c r="B718" s="1">
        <v>45283</v>
      </c>
      <c r="C718" t="s">
        <v>1211</v>
      </c>
      <c r="D718" t="s">
        <v>1217</v>
      </c>
      <c r="E718" t="s">
        <v>1219</v>
      </c>
      <c r="F718" t="s">
        <v>1223</v>
      </c>
      <c r="G718" s="6">
        <v>5</v>
      </c>
      <c r="H718">
        <v>4177</v>
      </c>
      <c r="I718">
        <v>20885</v>
      </c>
      <c r="J718" s="2">
        <v>3611.82</v>
      </c>
      <c r="K718" s="16">
        <f>Table13[[#This Row],[Profit]]/Table13[[#This Row],[Sales]]</f>
        <v>0.17293847258798181</v>
      </c>
      <c r="L718" s="17" t="str">
        <f t="shared" si="77"/>
        <v>High</v>
      </c>
      <c r="M718" s="17" t="str">
        <f t="shared" si="78"/>
        <v>Dec</v>
      </c>
      <c r="N718" s="18">
        <f>YEAR(Table13[[#This Row],[Order_Date]])</f>
        <v>2023</v>
      </c>
      <c r="O718" s="18">
        <f>Table13[[#This Row],[Price]]*0.7</f>
        <v>2923.8999999999996</v>
      </c>
      <c r="P718" s="18">
        <f t="shared" si="79"/>
        <v>6265.5000000000018</v>
      </c>
      <c r="Q718" s="18">
        <f t="shared" si="80"/>
        <v>0.05</v>
      </c>
      <c r="R718" s="18">
        <f t="shared" si="81"/>
        <v>17273.18</v>
      </c>
      <c r="S718" s="18" t="str">
        <f>IF(Table13[[#This Row],[Quantity]]&lt;=3,"Small",IF(Table13[[#This Row],[Quantity]]&lt;=6,"Medium","Bulk"))</f>
        <v>Medium</v>
      </c>
      <c r="T718" s="18" t="str">
        <f t="shared" si="82"/>
        <v>Normal</v>
      </c>
      <c r="U718" s="18" t="str">
        <f t="shared" si="83"/>
        <v>High Value</v>
      </c>
    </row>
    <row r="719" spans="1:21" x14ac:dyDescent="0.3">
      <c r="A719" t="s">
        <v>727</v>
      </c>
      <c r="B719" s="1">
        <v>44948</v>
      </c>
      <c r="C719" t="s">
        <v>1211</v>
      </c>
      <c r="D719" t="s">
        <v>1215</v>
      </c>
      <c r="E719" t="s">
        <v>1221</v>
      </c>
      <c r="F719" t="s">
        <v>1229</v>
      </c>
      <c r="G719" s="6">
        <v>6</v>
      </c>
      <c r="H719">
        <v>4331</v>
      </c>
      <c r="I719">
        <v>25986</v>
      </c>
      <c r="J719" s="2">
        <v>6458.75</v>
      </c>
      <c r="K719" s="16">
        <f>Table13[[#This Row],[Profit]]/Table13[[#This Row],[Sales]]</f>
        <v>0.24854729469714462</v>
      </c>
      <c r="L719" s="17" t="str">
        <f t="shared" si="77"/>
        <v>High</v>
      </c>
      <c r="M719" s="17" t="str">
        <f t="shared" si="78"/>
        <v>Jan</v>
      </c>
      <c r="N719" s="18">
        <f>YEAR(Table13[[#This Row],[Order_Date]])</f>
        <v>2023</v>
      </c>
      <c r="O719" s="18">
        <f>Table13[[#This Row],[Price]]*0.7</f>
        <v>3031.7</v>
      </c>
      <c r="P719" s="18">
        <f t="shared" si="79"/>
        <v>7795.8000000000029</v>
      </c>
      <c r="Q719" s="18">
        <f t="shared" si="80"/>
        <v>0.1</v>
      </c>
      <c r="R719" s="18">
        <f t="shared" si="81"/>
        <v>19527.25</v>
      </c>
      <c r="S719" s="18" t="str">
        <f>IF(Table13[[#This Row],[Quantity]]&lt;=3,"Small",IF(Table13[[#This Row],[Quantity]]&lt;=6,"Medium","Bulk"))</f>
        <v>Medium</v>
      </c>
      <c r="T719" s="18" t="str">
        <f t="shared" si="82"/>
        <v>Normal</v>
      </c>
      <c r="U719" s="18" t="str">
        <f t="shared" si="83"/>
        <v>High Value</v>
      </c>
    </row>
    <row r="720" spans="1:21" x14ac:dyDescent="0.3">
      <c r="A720" t="s">
        <v>728</v>
      </c>
      <c r="B720" s="1">
        <v>45090</v>
      </c>
      <c r="C720" t="s">
        <v>1213</v>
      </c>
      <c r="D720" t="s">
        <v>1217</v>
      </c>
      <c r="E720" t="s">
        <v>1221</v>
      </c>
      <c r="F720" t="s">
        <v>1226</v>
      </c>
      <c r="G720" s="6">
        <v>9</v>
      </c>
      <c r="H720">
        <v>1319</v>
      </c>
      <c r="I720">
        <v>11871</v>
      </c>
      <c r="J720" s="2">
        <v>2314.62</v>
      </c>
      <c r="K720" s="16">
        <f>Table13[[#This Row],[Profit]]/Table13[[#This Row],[Sales]]</f>
        <v>0.19498104624715693</v>
      </c>
      <c r="L720" s="17" t="str">
        <f t="shared" si="77"/>
        <v>Medium</v>
      </c>
      <c r="M720" s="17" t="str">
        <f t="shared" si="78"/>
        <v>Jun</v>
      </c>
      <c r="N720" s="18">
        <f>YEAR(Table13[[#This Row],[Order_Date]])</f>
        <v>2023</v>
      </c>
      <c r="O720" s="18">
        <f>Table13[[#This Row],[Price]]*0.7</f>
        <v>923.3</v>
      </c>
      <c r="P720" s="18">
        <f t="shared" si="79"/>
        <v>3561.3000000000011</v>
      </c>
      <c r="Q720" s="18">
        <f t="shared" si="80"/>
        <v>0.1</v>
      </c>
      <c r="R720" s="18">
        <f t="shared" si="81"/>
        <v>9556.3799999999992</v>
      </c>
      <c r="S720" s="18" t="str">
        <f>IF(Table13[[#This Row],[Quantity]]&lt;=3,"Small",IF(Table13[[#This Row],[Quantity]]&lt;=6,"Medium","Bulk"))</f>
        <v>Bulk</v>
      </c>
      <c r="T720" s="18" t="str">
        <f t="shared" si="82"/>
        <v>Normal</v>
      </c>
      <c r="U720" s="18" t="str">
        <f t="shared" si="83"/>
        <v>Medium Value</v>
      </c>
    </row>
    <row r="721" spans="1:21" x14ac:dyDescent="0.3">
      <c r="A721" t="s">
        <v>729</v>
      </c>
      <c r="B721" s="1">
        <v>45113</v>
      </c>
      <c r="C721" t="s">
        <v>1212</v>
      </c>
      <c r="D721" t="s">
        <v>1216</v>
      </c>
      <c r="E721" t="s">
        <v>1220</v>
      </c>
      <c r="F721" t="s">
        <v>1237</v>
      </c>
      <c r="G721" s="6">
        <v>7</v>
      </c>
      <c r="H721">
        <v>679</v>
      </c>
      <c r="I721">
        <v>4753</v>
      </c>
      <c r="J721" s="2">
        <v>991.37</v>
      </c>
      <c r="K721" s="16">
        <f>Table13[[#This Row],[Profit]]/Table13[[#This Row],[Sales]]</f>
        <v>0.2085777403745003</v>
      </c>
      <c r="L721" s="17" t="str">
        <f t="shared" si="77"/>
        <v>Low</v>
      </c>
      <c r="M721" s="17" t="str">
        <f t="shared" si="78"/>
        <v>Jul</v>
      </c>
      <c r="N721" s="18">
        <f>YEAR(Table13[[#This Row],[Order_Date]])</f>
        <v>2023</v>
      </c>
      <c r="O721" s="18">
        <f>Table13[[#This Row],[Price]]*0.7</f>
        <v>475.29999999999995</v>
      </c>
      <c r="P721" s="18">
        <f t="shared" si="79"/>
        <v>1425.9000000000005</v>
      </c>
      <c r="Q721" s="18">
        <f t="shared" si="80"/>
        <v>0.1</v>
      </c>
      <c r="R721" s="18">
        <f t="shared" si="81"/>
        <v>3761.63</v>
      </c>
      <c r="S721" s="18" t="str">
        <f>IF(Table13[[#This Row],[Quantity]]&lt;=3,"Small",IF(Table13[[#This Row],[Quantity]]&lt;=6,"Medium","Bulk"))</f>
        <v>Bulk</v>
      </c>
      <c r="T721" s="18" t="str">
        <f t="shared" si="82"/>
        <v>High Demand</v>
      </c>
      <c r="U721" s="18" t="str">
        <f t="shared" si="83"/>
        <v>low Value</v>
      </c>
    </row>
    <row r="722" spans="1:21" x14ac:dyDescent="0.3">
      <c r="A722" t="s">
        <v>730</v>
      </c>
      <c r="B722" s="1">
        <v>45124</v>
      </c>
      <c r="C722" t="s">
        <v>1213</v>
      </c>
      <c r="D722" t="s">
        <v>1218</v>
      </c>
      <c r="E722" t="s">
        <v>1222</v>
      </c>
      <c r="F722" t="s">
        <v>1236</v>
      </c>
      <c r="G722" s="6">
        <v>3</v>
      </c>
      <c r="H722">
        <v>4014</v>
      </c>
      <c r="I722">
        <v>12042</v>
      </c>
      <c r="J722" s="2">
        <v>996.61</v>
      </c>
      <c r="K722" s="16">
        <f>Table13[[#This Row],[Profit]]/Table13[[#This Row],[Sales]]</f>
        <v>8.2761169240989876E-2</v>
      </c>
      <c r="L722" s="17" t="str">
        <f t="shared" si="77"/>
        <v>Medium</v>
      </c>
      <c r="M722" s="17" t="str">
        <f t="shared" si="78"/>
        <v>Jul</v>
      </c>
      <c r="N722" s="18">
        <f>YEAR(Table13[[#This Row],[Order_Date]])</f>
        <v>2023</v>
      </c>
      <c r="O722" s="18">
        <f>Table13[[#This Row],[Price]]*0.7</f>
        <v>2809.7999999999997</v>
      </c>
      <c r="P722" s="18">
        <f t="shared" si="79"/>
        <v>3612.6000000000004</v>
      </c>
      <c r="Q722" s="18">
        <f t="shared" si="80"/>
        <v>0.05</v>
      </c>
      <c r="R722" s="18">
        <f t="shared" si="81"/>
        <v>11045.39</v>
      </c>
      <c r="S722" s="18" t="str">
        <f>IF(Table13[[#This Row],[Quantity]]&lt;=3,"Small",IF(Table13[[#This Row],[Quantity]]&lt;=6,"Medium","Bulk"))</f>
        <v>Small</v>
      </c>
      <c r="T722" s="18" t="str">
        <f t="shared" si="82"/>
        <v>Normal</v>
      </c>
      <c r="U722" s="18" t="str">
        <f t="shared" si="83"/>
        <v>Medium Value</v>
      </c>
    </row>
    <row r="723" spans="1:21" x14ac:dyDescent="0.3">
      <c r="A723" t="s">
        <v>731</v>
      </c>
      <c r="B723" s="1">
        <v>44970</v>
      </c>
      <c r="C723" t="s">
        <v>1212</v>
      </c>
      <c r="D723" t="s">
        <v>1218</v>
      </c>
      <c r="E723" t="s">
        <v>1222</v>
      </c>
      <c r="F723" t="s">
        <v>1227</v>
      </c>
      <c r="G723" s="6">
        <v>7</v>
      </c>
      <c r="H723">
        <v>3829</v>
      </c>
      <c r="I723">
        <v>26803</v>
      </c>
      <c r="J723" s="2">
        <v>2757.44</v>
      </c>
      <c r="K723" s="16">
        <f>Table13[[#This Row],[Profit]]/Table13[[#This Row],[Sales]]</f>
        <v>0.10287803604074171</v>
      </c>
      <c r="L723" s="17" t="str">
        <f t="shared" si="77"/>
        <v>High</v>
      </c>
      <c r="M723" s="17" t="str">
        <f t="shared" si="78"/>
        <v>Feb</v>
      </c>
      <c r="N723" s="18">
        <f>YEAR(Table13[[#This Row],[Order_Date]])</f>
        <v>2023</v>
      </c>
      <c r="O723" s="18">
        <f>Table13[[#This Row],[Price]]*0.7</f>
        <v>2680.2999999999997</v>
      </c>
      <c r="P723" s="18">
        <f t="shared" si="79"/>
        <v>8040.9000000000015</v>
      </c>
      <c r="Q723" s="18">
        <f t="shared" si="80"/>
        <v>0.1</v>
      </c>
      <c r="R723" s="18">
        <f t="shared" si="81"/>
        <v>24045.559999999998</v>
      </c>
      <c r="S723" s="18" t="str">
        <f>IF(Table13[[#This Row],[Quantity]]&lt;=3,"Small",IF(Table13[[#This Row],[Quantity]]&lt;=6,"Medium","Bulk"))</f>
        <v>Bulk</v>
      </c>
      <c r="T723" s="18" t="str">
        <f t="shared" si="82"/>
        <v>High Demand</v>
      </c>
      <c r="U723" s="18" t="str">
        <f t="shared" si="83"/>
        <v>High Value</v>
      </c>
    </row>
    <row r="724" spans="1:21" x14ac:dyDescent="0.3">
      <c r="A724" t="s">
        <v>732</v>
      </c>
      <c r="B724" s="1">
        <v>45269</v>
      </c>
      <c r="C724" t="s">
        <v>1213</v>
      </c>
      <c r="D724" t="s">
        <v>1214</v>
      </c>
      <c r="E724" t="s">
        <v>1220</v>
      </c>
      <c r="F724" t="s">
        <v>1237</v>
      </c>
      <c r="G724" s="6">
        <v>2</v>
      </c>
      <c r="H724">
        <v>2356</v>
      </c>
      <c r="I724">
        <v>4712</v>
      </c>
      <c r="J724" s="2">
        <v>1093.3</v>
      </c>
      <c r="K724" s="16">
        <f>Table13[[#This Row],[Profit]]/Table13[[#This Row],[Sales]]</f>
        <v>0.2320246179966044</v>
      </c>
      <c r="L724" s="17" t="str">
        <f t="shared" si="77"/>
        <v>Low</v>
      </c>
      <c r="M724" s="17" t="str">
        <f t="shared" si="78"/>
        <v>Dec</v>
      </c>
      <c r="N724" s="18">
        <f>YEAR(Table13[[#This Row],[Order_Date]])</f>
        <v>2023</v>
      </c>
      <c r="O724" s="18">
        <f>Table13[[#This Row],[Price]]*0.7</f>
        <v>1649.1999999999998</v>
      </c>
      <c r="P724" s="18">
        <f t="shared" si="79"/>
        <v>1413.6000000000004</v>
      </c>
      <c r="Q724" s="18">
        <f t="shared" si="80"/>
        <v>0.05</v>
      </c>
      <c r="R724" s="18">
        <f t="shared" si="81"/>
        <v>3618.7000000000003</v>
      </c>
      <c r="S724" s="18" t="str">
        <f>IF(Table13[[#This Row],[Quantity]]&lt;=3,"Small",IF(Table13[[#This Row],[Quantity]]&lt;=6,"Medium","Bulk"))</f>
        <v>Small</v>
      </c>
      <c r="T724" s="18" t="str">
        <f t="shared" si="82"/>
        <v>Normal</v>
      </c>
      <c r="U724" s="18" t="str">
        <f t="shared" si="83"/>
        <v>low Value</v>
      </c>
    </row>
    <row r="725" spans="1:21" x14ac:dyDescent="0.3">
      <c r="A725" t="s">
        <v>733</v>
      </c>
      <c r="B725" s="1">
        <v>45199</v>
      </c>
      <c r="C725" t="s">
        <v>1213</v>
      </c>
      <c r="D725" t="s">
        <v>1214</v>
      </c>
      <c r="E725" t="s">
        <v>1220</v>
      </c>
      <c r="F725" t="s">
        <v>1237</v>
      </c>
      <c r="G725" s="6">
        <v>1</v>
      </c>
      <c r="H725">
        <v>1468</v>
      </c>
      <c r="I725">
        <v>1468</v>
      </c>
      <c r="J725" s="2">
        <v>295.16000000000003</v>
      </c>
      <c r="K725" s="16">
        <f>Table13[[#This Row],[Profit]]/Table13[[#This Row],[Sales]]</f>
        <v>0.20106267029972755</v>
      </c>
      <c r="L725" s="17" t="str">
        <f t="shared" si="77"/>
        <v>Low</v>
      </c>
      <c r="M725" s="17" t="str">
        <f t="shared" si="78"/>
        <v>Sep</v>
      </c>
      <c r="N725" s="18">
        <f>YEAR(Table13[[#This Row],[Order_Date]])</f>
        <v>2023</v>
      </c>
      <c r="O725" s="18">
        <f>Table13[[#This Row],[Price]]*0.7</f>
        <v>1027.5999999999999</v>
      </c>
      <c r="P725" s="18">
        <f t="shared" si="79"/>
        <v>440.40000000000009</v>
      </c>
      <c r="Q725" s="18">
        <f t="shared" si="80"/>
        <v>0.05</v>
      </c>
      <c r="R725" s="18">
        <f t="shared" si="81"/>
        <v>1172.8399999999999</v>
      </c>
      <c r="S725" s="18" t="str">
        <f>IF(Table13[[#This Row],[Quantity]]&lt;=3,"Small",IF(Table13[[#This Row],[Quantity]]&lt;=6,"Medium","Bulk"))</f>
        <v>Small</v>
      </c>
      <c r="T725" s="18" t="str">
        <f t="shared" si="82"/>
        <v>Normal</v>
      </c>
      <c r="U725" s="18" t="str">
        <f t="shared" si="83"/>
        <v>low Value</v>
      </c>
    </row>
    <row r="726" spans="1:21" x14ac:dyDescent="0.3">
      <c r="A726" t="s">
        <v>734</v>
      </c>
      <c r="B726" s="1">
        <v>45138</v>
      </c>
      <c r="C726" t="s">
        <v>1210</v>
      </c>
      <c r="D726" t="s">
        <v>1215</v>
      </c>
      <c r="E726" t="s">
        <v>1220</v>
      </c>
      <c r="F726" t="s">
        <v>1225</v>
      </c>
      <c r="G726" s="6">
        <v>7</v>
      </c>
      <c r="H726">
        <v>1135</v>
      </c>
      <c r="I726">
        <v>7945</v>
      </c>
      <c r="J726" s="2">
        <v>1843.63</v>
      </c>
      <c r="K726" s="16">
        <f>Table13[[#This Row],[Profit]]/Table13[[#This Row],[Sales]]</f>
        <v>0.23204908747640027</v>
      </c>
      <c r="L726" s="17" t="str">
        <f t="shared" si="77"/>
        <v>Low</v>
      </c>
      <c r="M726" s="17" t="str">
        <f t="shared" si="78"/>
        <v>Jul</v>
      </c>
      <c r="N726" s="18">
        <f>YEAR(Table13[[#This Row],[Order_Date]])</f>
        <v>2023</v>
      </c>
      <c r="O726" s="18">
        <f>Table13[[#This Row],[Price]]*0.7</f>
        <v>794.5</v>
      </c>
      <c r="P726" s="18">
        <f t="shared" si="79"/>
        <v>2383.5</v>
      </c>
      <c r="Q726" s="18">
        <f t="shared" si="80"/>
        <v>0.1</v>
      </c>
      <c r="R726" s="18">
        <f t="shared" si="81"/>
        <v>6101.37</v>
      </c>
      <c r="S726" s="18" t="str">
        <f>IF(Table13[[#This Row],[Quantity]]&lt;=3,"Small",IF(Table13[[#This Row],[Quantity]]&lt;=6,"Medium","Bulk"))</f>
        <v>Bulk</v>
      </c>
      <c r="T726" s="18" t="str">
        <f t="shared" si="82"/>
        <v>Normal</v>
      </c>
      <c r="U726" s="18" t="str">
        <f t="shared" si="83"/>
        <v>low Value</v>
      </c>
    </row>
    <row r="727" spans="1:21" x14ac:dyDescent="0.3">
      <c r="A727" t="s">
        <v>735</v>
      </c>
      <c r="B727" s="1">
        <v>45204</v>
      </c>
      <c r="C727" t="s">
        <v>1211</v>
      </c>
      <c r="D727" t="s">
        <v>1215</v>
      </c>
      <c r="E727" t="s">
        <v>1222</v>
      </c>
      <c r="F727" t="s">
        <v>1239</v>
      </c>
      <c r="G727" s="6">
        <v>6</v>
      </c>
      <c r="H727">
        <v>1734</v>
      </c>
      <c r="I727">
        <v>10404</v>
      </c>
      <c r="J727" s="2">
        <v>1803.1</v>
      </c>
      <c r="K727" s="16">
        <f>Table13[[#This Row],[Profit]]/Table13[[#This Row],[Sales]]</f>
        <v>0.17330834294502115</v>
      </c>
      <c r="L727" s="17" t="str">
        <f t="shared" si="77"/>
        <v>Medium</v>
      </c>
      <c r="M727" s="17" t="str">
        <f t="shared" si="78"/>
        <v>Oct</v>
      </c>
      <c r="N727" s="18">
        <f>YEAR(Table13[[#This Row],[Order_Date]])</f>
        <v>2023</v>
      </c>
      <c r="O727" s="18">
        <f>Table13[[#This Row],[Price]]*0.7</f>
        <v>1213.8</v>
      </c>
      <c r="P727" s="18">
        <f t="shared" si="79"/>
        <v>3121.2000000000007</v>
      </c>
      <c r="Q727" s="18">
        <f t="shared" si="80"/>
        <v>0.1</v>
      </c>
      <c r="R727" s="18">
        <f t="shared" si="81"/>
        <v>8600.9</v>
      </c>
      <c r="S727" s="18" t="str">
        <f>IF(Table13[[#This Row],[Quantity]]&lt;=3,"Small",IF(Table13[[#This Row],[Quantity]]&lt;=6,"Medium","Bulk"))</f>
        <v>Medium</v>
      </c>
      <c r="T727" s="18" t="str">
        <f t="shared" si="82"/>
        <v>Normal</v>
      </c>
      <c r="U727" s="18" t="str">
        <f t="shared" si="83"/>
        <v>Medium Value</v>
      </c>
    </row>
    <row r="728" spans="1:21" x14ac:dyDescent="0.3">
      <c r="A728" t="s">
        <v>736</v>
      </c>
      <c r="B728" s="1">
        <v>45269</v>
      </c>
      <c r="C728" t="s">
        <v>1213</v>
      </c>
      <c r="D728" t="s">
        <v>1214</v>
      </c>
      <c r="E728" t="s">
        <v>1222</v>
      </c>
      <c r="F728" t="s">
        <v>1236</v>
      </c>
      <c r="G728" s="6">
        <v>9</v>
      </c>
      <c r="H728">
        <v>1470</v>
      </c>
      <c r="I728">
        <v>13230</v>
      </c>
      <c r="J728" s="2">
        <v>2138.0700000000002</v>
      </c>
      <c r="K728" s="16">
        <f>Table13[[#This Row],[Profit]]/Table13[[#This Row],[Sales]]</f>
        <v>0.1616077097505669</v>
      </c>
      <c r="L728" s="17" t="str">
        <f t="shared" si="77"/>
        <v>Medium</v>
      </c>
      <c r="M728" s="17" t="str">
        <f t="shared" si="78"/>
        <v>Dec</v>
      </c>
      <c r="N728" s="18">
        <f>YEAR(Table13[[#This Row],[Order_Date]])</f>
        <v>2023</v>
      </c>
      <c r="O728" s="18">
        <f>Table13[[#This Row],[Price]]*0.7</f>
        <v>1029</v>
      </c>
      <c r="P728" s="18">
        <f t="shared" si="79"/>
        <v>3969</v>
      </c>
      <c r="Q728" s="18">
        <f t="shared" si="80"/>
        <v>0.1</v>
      </c>
      <c r="R728" s="18">
        <f t="shared" si="81"/>
        <v>11091.93</v>
      </c>
      <c r="S728" s="18" t="str">
        <f>IF(Table13[[#This Row],[Quantity]]&lt;=3,"Small",IF(Table13[[#This Row],[Quantity]]&lt;=6,"Medium","Bulk"))</f>
        <v>Bulk</v>
      </c>
      <c r="T728" s="18" t="str">
        <f t="shared" si="82"/>
        <v>Normal</v>
      </c>
      <c r="U728" s="18" t="str">
        <f t="shared" si="83"/>
        <v>Medium Value</v>
      </c>
    </row>
    <row r="729" spans="1:21" x14ac:dyDescent="0.3">
      <c r="A729" t="s">
        <v>737</v>
      </c>
      <c r="B729" s="1">
        <v>44980</v>
      </c>
      <c r="C729" t="s">
        <v>1211</v>
      </c>
      <c r="D729" t="s">
        <v>1214</v>
      </c>
      <c r="E729" t="s">
        <v>1219</v>
      </c>
      <c r="F729" t="s">
        <v>1238</v>
      </c>
      <c r="G729" s="6">
        <v>6</v>
      </c>
      <c r="H729">
        <v>1567</v>
      </c>
      <c r="I729">
        <v>9402</v>
      </c>
      <c r="J729" s="2">
        <v>1399.05</v>
      </c>
      <c r="K729" s="16">
        <f>Table13[[#This Row],[Profit]]/Table13[[#This Row],[Sales]]</f>
        <v>0.14880344607530313</v>
      </c>
      <c r="L729" s="17" t="str">
        <f t="shared" si="77"/>
        <v>Low</v>
      </c>
      <c r="M729" s="17" t="str">
        <f t="shared" si="78"/>
        <v>Feb</v>
      </c>
      <c r="N729" s="18">
        <f>YEAR(Table13[[#This Row],[Order_Date]])</f>
        <v>2023</v>
      </c>
      <c r="O729" s="18">
        <f>Table13[[#This Row],[Price]]*0.7</f>
        <v>1096.8999999999999</v>
      </c>
      <c r="P729" s="18">
        <f t="shared" si="79"/>
        <v>2820.6000000000004</v>
      </c>
      <c r="Q729" s="18">
        <f t="shared" si="80"/>
        <v>0.1</v>
      </c>
      <c r="R729" s="18">
        <f t="shared" si="81"/>
        <v>8002.95</v>
      </c>
      <c r="S729" s="18" t="str">
        <f>IF(Table13[[#This Row],[Quantity]]&lt;=3,"Small",IF(Table13[[#This Row],[Quantity]]&lt;=6,"Medium","Bulk"))</f>
        <v>Medium</v>
      </c>
      <c r="T729" s="18" t="str">
        <f t="shared" si="82"/>
        <v>Normal</v>
      </c>
      <c r="U729" s="18" t="str">
        <f t="shared" si="83"/>
        <v>low Value</v>
      </c>
    </row>
    <row r="730" spans="1:21" x14ac:dyDescent="0.3">
      <c r="A730" t="s">
        <v>738</v>
      </c>
      <c r="B730" s="1">
        <v>45037</v>
      </c>
      <c r="C730" t="s">
        <v>1212</v>
      </c>
      <c r="D730" t="s">
        <v>1218</v>
      </c>
      <c r="E730" t="s">
        <v>1221</v>
      </c>
      <c r="F730" t="s">
        <v>1229</v>
      </c>
      <c r="G730" s="6">
        <v>3</v>
      </c>
      <c r="H730">
        <v>2440</v>
      </c>
      <c r="I730">
        <v>7320</v>
      </c>
      <c r="J730" s="2">
        <v>983.84</v>
      </c>
      <c r="K730" s="16">
        <f>Table13[[#This Row],[Profit]]/Table13[[#This Row],[Sales]]</f>
        <v>0.13440437158469945</v>
      </c>
      <c r="L730" s="17" t="str">
        <f t="shared" si="77"/>
        <v>Low</v>
      </c>
      <c r="M730" s="17" t="str">
        <f t="shared" si="78"/>
        <v>Apr</v>
      </c>
      <c r="N730" s="18">
        <f>YEAR(Table13[[#This Row],[Order_Date]])</f>
        <v>2023</v>
      </c>
      <c r="O730" s="18">
        <f>Table13[[#This Row],[Price]]*0.7</f>
        <v>1708</v>
      </c>
      <c r="P730" s="18">
        <f t="shared" si="79"/>
        <v>2196</v>
      </c>
      <c r="Q730" s="18">
        <f t="shared" si="80"/>
        <v>0.05</v>
      </c>
      <c r="R730" s="18">
        <f t="shared" si="81"/>
        <v>6336.16</v>
      </c>
      <c r="S730" s="18" t="str">
        <f>IF(Table13[[#This Row],[Quantity]]&lt;=3,"Small",IF(Table13[[#This Row],[Quantity]]&lt;=6,"Medium","Bulk"))</f>
        <v>Small</v>
      </c>
      <c r="T730" s="18" t="str">
        <f t="shared" si="82"/>
        <v>High Demand</v>
      </c>
      <c r="U730" s="18" t="str">
        <f t="shared" si="83"/>
        <v>low Value</v>
      </c>
    </row>
    <row r="731" spans="1:21" x14ac:dyDescent="0.3">
      <c r="A731" t="s">
        <v>739</v>
      </c>
      <c r="B731" s="1">
        <v>45087</v>
      </c>
      <c r="C731" t="s">
        <v>1210</v>
      </c>
      <c r="D731" t="s">
        <v>1216</v>
      </c>
      <c r="E731" t="s">
        <v>1220</v>
      </c>
      <c r="F731" t="s">
        <v>1228</v>
      </c>
      <c r="G731" s="6">
        <v>4</v>
      </c>
      <c r="H731">
        <v>4303</v>
      </c>
      <c r="I731">
        <v>17212</v>
      </c>
      <c r="J731" s="2">
        <v>2299.36</v>
      </c>
      <c r="K731" s="16">
        <f>Table13[[#This Row],[Profit]]/Table13[[#This Row],[Sales]]</f>
        <v>0.13359051824308624</v>
      </c>
      <c r="L731" s="17" t="str">
        <f t="shared" si="77"/>
        <v>Medium</v>
      </c>
      <c r="M731" s="17" t="str">
        <f t="shared" si="78"/>
        <v>Jun</v>
      </c>
      <c r="N731" s="18">
        <f>YEAR(Table13[[#This Row],[Order_Date]])</f>
        <v>2023</v>
      </c>
      <c r="O731" s="18">
        <f>Table13[[#This Row],[Price]]*0.7</f>
        <v>3012.1</v>
      </c>
      <c r="P731" s="18">
        <f t="shared" si="79"/>
        <v>5163.6000000000004</v>
      </c>
      <c r="Q731" s="18">
        <f t="shared" si="80"/>
        <v>0.05</v>
      </c>
      <c r="R731" s="18">
        <f t="shared" si="81"/>
        <v>14912.64</v>
      </c>
      <c r="S731" s="18" t="str">
        <f>IF(Table13[[#This Row],[Quantity]]&lt;=3,"Small",IF(Table13[[#This Row],[Quantity]]&lt;=6,"Medium","Bulk"))</f>
        <v>Medium</v>
      </c>
      <c r="T731" s="18" t="str">
        <f t="shared" si="82"/>
        <v>Normal</v>
      </c>
      <c r="U731" s="18" t="str">
        <f t="shared" si="83"/>
        <v>Medium Value</v>
      </c>
    </row>
    <row r="732" spans="1:21" x14ac:dyDescent="0.3">
      <c r="A732" t="s">
        <v>740</v>
      </c>
      <c r="B732" s="1">
        <v>45093</v>
      </c>
      <c r="C732" t="s">
        <v>1213</v>
      </c>
      <c r="D732" t="s">
        <v>1214</v>
      </c>
      <c r="E732" t="s">
        <v>1219</v>
      </c>
      <c r="F732" t="s">
        <v>1232</v>
      </c>
      <c r="G732" s="6">
        <v>4</v>
      </c>
      <c r="H732">
        <v>1844</v>
      </c>
      <c r="I732">
        <v>7376</v>
      </c>
      <c r="J732" s="2">
        <v>912.02</v>
      </c>
      <c r="K732" s="16">
        <f>Table13[[#This Row],[Profit]]/Table13[[#This Row],[Sales]]</f>
        <v>0.12364696312364425</v>
      </c>
      <c r="L732" s="17" t="str">
        <f t="shared" si="77"/>
        <v>Low</v>
      </c>
      <c r="M732" s="17" t="str">
        <f t="shared" si="78"/>
        <v>Jun</v>
      </c>
      <c r="N732" s="18">
        <f>YEAR(Table13[[#This Row],[Order_Date]])</f>
        <v>2023</v>
      </c>
      <c r="O732" s="18">
        <f>Table13[[#This Row],[Price]]*0.7</f>
        <v>1290.8</v>
      </c>
      <c r="P732" s="18">
        <f t="shared" si="79"/>
        <v>2212.8000000000002</v>
      </c>
      <c r="Q732" s="18">
        <f t="shared" si="80"/>
        <v>0.05</v>
      </c>
      <c r="R732" s="18">
        <f t="shared" si="81"/>
        <v>6463.9800000000005</v>
      </c>
      <c r="S732" s="18" t="str">
        <f>IF(Table13[[#This Row],[Quantity]]&lt;=3,"Small",IF(Table13[[#This Row],[Quantity]]&lt;=6,"Medium","Bulk"))</f>
        <v>Medium</v>
      </c>
      <c r="T732" s="18" t="str">
        <f t="shared" si="82"/>
        <v>Normal</v>
      </c>
      <c r="U732" s="18" t="str">
        <f t="shared" si="83"/>
        <v>low Value</v>
      </c>
    </row>
    <row r="733" spans="1:21" x14ac:dyDescent="0.3">
      <c r="A733" t="s">
        <v>741</v>
      </c>
      <c r="B733" s="1">
        <v>45114</v>
      </c>
      <c r="C733" t="s">
        <v>1212</v>
      </c>
      <c r="D733" t="s">
        <v>1216</v>
      </c>
      <c r="E733" t="s">
        <v>1220</v>
      </c>
      <c r="F733" t="s">
        <v>1237</v>
      </c>
      <c r="G733" s="6">
        <v>6</v>
      </c>
      <c r="H733">
        <v>370</v>
      </c>
      <c r="I733">
        <v>2220</v>
      </c>
      <c r="J733" s="2">
        <v>248.04</v>
      </c>
      <c r="K733" s="16">
        <f>Table13[[#This Row],[Profit]]/Table13[[#This Row],[Sales]]</f>
        <v>0.11172972972972972</v>
      </c>
      <c r="L733" s="17" t="str">
        <f t="shared" si="77"/>
        <v>Low</v>
      </c>
      <c r="M733" s="17" t="str">
        <f t="shared" si="78"/>
        <v>Jul</v>
      </c>
      <c r="N733" s="18">
        <f>YEAR(Table13[[#This Row],[Order_Date]])</f>
        <v>2023</v>
      </c>
      <c r="O733" s="18">
        <f>Table13[[#This Row],[Price]]*0.7</f>
        <v>259</v>
      </c>
      <c r="P733" s="18">
        <f t="shared" si="79"/>
        <v>666</v>
      </c>
      <c r="Q733" s="18">
        <f t="shared" si="80"/>
        <v>0.1</v>
      </c>
      <c r="R733" s="18">
        <f t="shared" si="81"/>
        <v>1971.96</v>
      </c>
      <c r="S733" s="18" t="str">
        <f>IF(Table13[[#This Row],[Quantity]]&lt;=3,"Small",IF(Table13[[#This Row],[Quantity]]&lt;=6,"Medium","Bulk"))</f>
        <v>Medium</v>
      </c>
      <c r="T733" s="18" t="str">
        <f t="shared" si="82"/>
        <v>High Demand</v>
      </c>
      <c r="U733" s="18" t="str">
        <f t="shared" si="83"/>
        <v>low Value</v>
      </c>
    </row>
    <row r="734" spans="1:21" x14ac:dyDescent="0.3">
      <c r="A734" t="s">
        <v>742</v>
      </c>
      <c r="B734" s="1">
        <v>45126</v>
      </c>
      <c r="C734" t="s">
        <v>1211</v>
      </c>
      <c r="D734" t="s">
        <v>1217</v>
      </c>
      <c r="E734" t="s">
        <v>1221</v>
      </c>
      <c r="F734" t="s">
        <v>1235</v>
      </c>
      <c r="G734" s="6">
        <v>5</v>
      </c>
      <c r="H734">
        <v>4125</v>
      </c>
      <c r="I734">
        <v>20625</v>
      </c>
      <c r="J734" s="2">
        <v>2465.35</v>
      </c>
      <c r="K734" s="16">
        <f>Table13[[#This Row],[Profit]]/Table13[[#This Row],[Sales]]</f>
        <v>0.11953212121212121</v>
      </c>
      <c r="L734" s="17" t="str">
        <f t="shared" si="77"/>
        <v>High</v>
      </c>
      <c r="M734" s="17" t="str">
        <f t="shared" si="78"/>
        <v>Jul</v>
      </c>
      <c r="N734" s="18">
        <f>YEAR(Table13[[#This Row],[Order_Date]])</f>
        <v>2023</v>
      </c>
      <c r="O734" s="18">
        <f>Table13[[#This Row],[Price]]*0.7</f>
        <v>2887.5</v>
      </c>
      <c r="P734" s="18">
        <f t="shared" si="79"/>
        <v>6187.5</v>
      </c>
      <c r="Q734" s="18">
        <f t="shared" si="80"/>
        <v>0.05</v>
      </c>
      <c r="R734" s="18">
        <f t="shared" si="81"/>
        <v>18159.650000000001</v>
      </c>
      <c r="S734" s="18" t="str">
        <f>IF(Table13[[#This Row],[Quantity]]&lt;=3,"Small",IF(Table13[[#This Row],[Quantity]]&lt;=6,"Medium","Bulk"))</f>
        <v>Medium</v>
      </c>
      <c r="T734" s="18" t="str">
        <f t="shared" si="82"/>
        <v>Normal</v>
      </c>
      <c r="U734" s="18" t="str">
        <f t="shared" si="83"/>
        <v>High Value</v>
      </c>
    </row>
    <row r="735" spans="1:21" x14ac:dyDescent="0.3">
      <c r="A735" t="s">
        <v>743</v>
      </c>
      <c r="B735" s="1">
        <v>45063</v>
      </c>
      <c r="C735" t="s">
        <v>1213</v>
      </c>
      <c r="D735" t="s">
        <v>1214</v>
      </c>
      <c r="E735" t="s">
        <v>1221</v>
      </c>
      <c r="F735" t="s">
        <v>1235</v>
      </c>
      <c r="G735" s="6">
        <v>7</v>
      </c>
      <c r="H735">
        <v>498</v>
      </c>
      <c r="I735">
        <v>3486</v>
      </c>
      <c r="J735" s="2">
        <v>443.54</v>
      </c>
      <c r="K735" s="16">
        <f>Table13[[#This Row],[Profit]]/Table13[[#This Row],[Sales]]</f>
        <v>0.12723465289730351</v>
      </c>
      <c r="L735" s="17" t="str">
        <f t="shared" si="77"/>
        <v>Low</v>
      </c>
      <c r="M735" s="17" t="str">
        <f t="shared" si="78"/>
        <v>May</v>
      </c>
      <c r="N735" s="18">
        <f>YEAR(Table13[[#This Row],[Order_Date]])</f>
        <v>2023</v>
      </c>
      <c r="O735" s="18">
        <f>Table13[[#This Row],[Price]]*0.7</f>
        <v>348.59999999999997</v>
      </c>
      <c r="P735" s="18">
        <f t="shared" si="79"/>
        <v>1045.8000000000002</v>
      </c>
      <c r="Q735" s="18">
        <f t="shared" si="80"/>
        <v>0.1</v>
      </c>
      <c r="R735" s="18">
        <f t="shared" si="81"/>
        <v>3042.46</v>
      </c>
      <c r="S735" s="18" t="str">
        <f>IF(Table13[[#This Row],[Quantity]]&lt;=3,"Small",IF(Table13[[#This Row],[Quantity]]&lt;=6,"Medium","Bulk"))</f>
        <v>Bulk</v>
      </c>
      <c r="T735" s="18" t="str">
        <f t="shared" si="82"/>
        <v>Normal</v>
      </c>
      <c r="U735" s="18" t="str">
        <f t="shared" si="83"/>
        <v>low Value</v>
      </c>
    </row>
    <row r="736" spans="1:21" x14ac:dyDescent="0.3">
      <c r="A736" t="s">
        <v>744</v>
      </c>
      <c r="B736" s="1">
        <v>45193</v>
      </c>
      <c r="C736" t="s">
        <v>1211</v>
      </c>
      <c r="D736" t="s">
        <v>1217</v>
      </c>
      <c r="E736" t="s">
        <v>1221</v>
      </c>
      <c r="F736" t="s">
        <v>1235</v>
      </c>
      <c r="G736" s="6">
        <v>3</v>
      </c>
      <c r="H736">
        <v>4262</v>
      </c>
      <c r="I736">
        <v>12786</v>
      </c>
      <c r="J736" s="2">
        <v>1167.8499999999999</v>
      </c>
      <c r="K736" s="16">
        <f>Table13[[#This Row],[Profit]]/Table13[[#This Row],[Sales]]</f>
        <v>9.1338182386985753E-2</v>
      </c>
      <c r="L736" s="17" t="str">
        <f t="shared" si="77"/>
        <v>Medium</v>
      </c>
      <c r="M736" s="17" t="str">
        <f t="shared" si="78"/>
        <v>Sep</v>
      </c>
      <c r="N736" s="18">
        <f>YEAR(Table13[[#This Row],[Order_Date]])</f>
        <v>2023</v>
      </c>
      <c r="O736" s="18">
        <f>Table13[[#This Row],[Price]]*0.7</f>
        <v>2983.3999999999996</v>
      </c>
      <c r="P736" s="18">
        <f t="shared" si="79"/>
        <v>3835.8000000000011</v>
      </c>
      <c r="Q736" s="18">
        <f t="shared" si="80"/>
        <v>0.05</v>
      </c>
      <c r="R736" s="18">
        <f t="shared" si="81"/>
        <v>11618.15</v>
      </c>
      <c r="S736" s="18" t="str">
        <f>IF(Table13[[#This Row],[Quantity]]&lt;=3,"Small",IF(Table13[[#This Row],[Quantity]]&lt;=6,"Medium","Bulk"))</f>
        <v>Small</v>
      </c>
      <c r="T736" s="18" t="str">
        <f t="shared" si="82"/>
        <v>Normal</v>
      </c>
      <c r="U736" s="18" t="str">
        <f t="shared" si="83"/>
        <v>Medium Value</v>
      </c>
    </row>
    <row r="737" spans="1:21" x14ac:dyDescent="0.3">
      <c r="A737" t="s">
        <v>745</v>
      </c>
      <c r="B737" s="1">
        <v>45156</v>
      </c>
      <c r="C737" t="s">
        <v>1212</v>
      </c>
      <c r="D737" t="s">
        <v>1217</v>
      </c>
      <c r="E737" t="s">
        <v>1219</v>
      </c>
      <c r="F737" t="s">
        <v>1238</v>
      </c>
      <c r="G737" s="6">
        <v>6</v>
      </c>
      <c r="H737">
        <v>2857</v>
      </c>
      <c r="I737">
        <v>17142</v>
      </c>
      <c r="J737" s="2">
        <v>2822.98</v>
      </c>
      <c r="K737" s="16">
        <f>Table13[[#This Row],[Profit]]/Table13[[#This Row],[Sales]]</f>
        <v>0.16468206743670516</v>
      </c>
      <c r="L737" s="17" t="str">
        <f t="shared" si="77"/>
        <v>Medium</v>
      </c>
      <c r="M737" s="17" t="str">
        <f t="shared" si="78"/>
        <v>Aug</v>
      </c>
      <c r="N737" s="18">
        <f>YEAR(Table13[[#This Row],[Order_Date]])</f>
        <v>2023</v>
      </c>
      <c r="O737" s="18">
        <f>Table13[[#This Row],[Price]]*0.7</f>
        <v>1999.8999999999999</v>
      </c>
      <c r="P737" s="18">
        <f t="shared" si="79"/>
        <v>5142.6000000000004</v>
      </c>
      <c r="Q737" s="18">
        <f t="shared" si="80"/>
        <v>0.1</v>
      </c>
      <c r="R737" s="18">
        <f t="shared" si="81"/>
        <v>14319.02</v>
      </c>
      <c r="S737" s="18" t="str">
        <f>IF(Table13[[#This Row],[Quantity]]&lt;=3,"Small",IF(Table13[[#This Row],[Quantity]]&lt;=6,"Medium","Bulk"))</f>
        <v>Medium</v>
      </c>
      <c r="T737" s="18" t="str">
        <f t="shared" si="82"/>
        <v>High Demand</v>
      </c>
      <c r="U737" s="18" t="str">
        <f t="shared" si="83"/>
        <v>Medium Value</v>
      </c>
    </row>
    <row r="738" spans="1:21" x14ac:dyDescent="0.3">
      <c r="A738" t="s">
        <v>746</v>
      </c>
      <c r="B738" s="1">
        <v>45189</v>
      </c>
      <c r="C738" t="s">
        <v>1210</v>
      </c>
      <c r="D738" t="s">
        <v>1215</v>
      </c>
      <c r="E738" t="s">
        <v>1221</v>
      </c>
      <c r="F738" t="s">
        <v>1231</v>
      </c>
      <c r="G738" s="6">
        <v>3</v>
      </c>
      <c r="H738">
        <v>4623</v>
      </c>
      <c r="I738">
        <v>13869</v>
      </c>
      <c r="J738" s="2">
        <v>2484.38</v>
      </c>
      <c r="K738" s="16">
        <f>Table13[[#This Row],[Profit]]/Table13[[#This Row],[Sales]]</f>
        <v>0.17913187684764584</v>
      </c>
      <c r="L738" s="17" t="str">
        <f t="shared" si="77"/>
        <v>Medium</v>
      </c>
      <c r="M738" s="17" t="str">
        <f t="shared" si="78"/>
        <v>Sep</v>
      </c>
      <c r="N738" s="18">
        <f>YEAR(Table13[[#This Row],[Order_Date]])</f>
        <v>2023</v>
      </c>
      <c r="O738" s="18">
        <f>Table13[[#This Row],[Price]]*0.7</f>
        <v>3236.1</v>
      </c>
      <c r="P738" s="18">
        <f t="shared" si="79"/>
        <v>4160.7000000000007</v>
      </c>
      <c r="Q738" s="18">
        <f t="shared" si="80"/>
        <v>0.05</v>
      </c>
      <c r="R738" s="18">
        <f t="shared" si="81"/>
        <v>11384.619999999999</v>
      </c>
      <c r="S738" s="18" t="str">
        <f>IF(Table13[[#This Row],[Quantity]]&lt;=3,"Small",IF(Table13[[#This Row],[Quantity]]&lt;=6,"Medium","Bulk"))</f>
        <v>Small</v>
      </c>
      <c r="T738" s="18" t="str">
        <f t="shared" si="82"/>
        <v>Normal</v>
      </c>
      <c r="U738" s="18" t="str">
        <f t="shared" si="83"/>
        <v>Medium Value</v>
      </c>
    </row>
    <row r="739" spans="1:21" x14ac:dyDescent="0.3">
      <c r="A739" t="s">
        <v>747</v>
      </c>
      <c r="B739" s="1">
        <v>44972</v>
      </c>
      <c r="C739" t="s">
        <v>1212</v>
      </c>
      <c r="D739" t="s">
        <v>1218</v>
      </c>
      <c r="E739" t="s">
        <v>1221</v>
      </c>
      <c r="F739" t="s">
        <v>1231</v>
      </c>
      <c r="G739" s="6">
        <v>6</v>
      </c>
      <c r="H739">
        <v>3834</v>
      </c>
      <c r="I739">
        <v>23004</v>
      </c>
      <c r="J739" s="2">
        <v>5404.28</v>
      </c>
      <c r="K739" s="16">
        <f>Table13[[#This Row],[Profit]]/Table13[[#This Row],[Sales]]</f>
        <v>0.23492783863675881</v>
      </c>
      <c r="L739" s="17" t="str">
        <f t="shared" si="77"/>
        <v>High</v>
      </c>
      <c r="M739" s="17" t="str">
        <f t="shared" si="78"/>
        <v>Feb</v>
      </c>
      <c r="N739" s="18">
        <f>YEAR(Table13[[#This Row],[Order_Date]])</f>
        <v>2023</v>
      </c>
      <c r="O739" s="18">
        <f>Table13[[#This Row],[Price]]*0.7</f>
        <v>2683.7999999999997</v>
      </c>
      <c r="P739" s="18">
        <f t="shared" si="79"/>
        <v>6901.2000000000007</v>
      </c>
      <c r="Q739" s="18">
        <f t="shared" si="80"/>
        <v>0.1</v>
      </c>
      <c r="R739" s="18">
        <f t="shared" si="81"/>
        <v>17599.72</v>
      </c>
      <c r="S739" s="18" t="str">
        <f>IF(Table13[[#This Row],[Quantity]]&lt;=3,"Small",IF(Table13[[#This Row],[Quantity]]&lt;=6,"Medium","Bulk"))</f>
        <v>Medium</v>
      </c>
      <c r="T739" s="18" t="str">
        <f t="shared" si="82"/>
        <v>High Demand</v>
      </c>
      <c r="U739" s="18" t="str">
        <f t="shared" si="83"/>
        <v>High Value</v>
      </c>
    </row>
    <row r="740" spans="1:21" x14ac:dyDescent="0.3">
      <c r="A740" t="s">
        <v>748</v>
      </c>
      <c r="B740" s="1">
        <v>45044</v>
      </c>
      <c r="C740" t="s">
        <v>1213</v>
      </c>
      <c r="D740" t="s">
        <v>1214</v>
      </c>
      <c r="E740" t="s">
        <v>1222</v>
      </c>
      <c r="F740" t="s">
        <v>1234</v>
      </c>
      <c r="G740" s="6">
        <v>6</v>
      </c>
      <c r="H740">
        <v>3837</v>
      </c>
      <c r="I740">
        <v>23022</v>
      </c>
      <c r="J740" s="2">
        <v>3138.59</v>
      </c>
      <c r="K740" s="16">
        <f>Table13[[#This Row],[Profit]]/Table13[[#This Row],[Sales]]</f>
        <v>0.13633003214316741</v>
      </c>
      <c r="L740" s="17" t="str">
        <f t="shared" si="77"/>
        <v>High</v>
      </c>
      <c r="M740" s="17" t="str">
        <f t="shared" si="78"/>
        <v>Apr</v>
      </c>
      <c r="N740" s="18">
        <f>YEAR(Table13[[#This Row],[Order_Date]])</f>
        <v>2023</v>
      </c>
      <c r="O740" s="18">
        <f>Table13[[#This Row],[Price]]*0.7</f>
        <v>2685.8999999999996</v>
      </c>
      <c r="P740" s="18">
        <f t="shared" si="79"/>
        <v>6906.6000000000022</v>
      </c>
      <c r="Q740" s="18">
        <f t="shared" si="80"/>
        <v>0.1</v>
      </c>
      <c r="R740" s="18">
        <f t="shared" si="81"/>
        <v>19883.41</v>
      </c>
      <c r="S740" s="18" t="str">
        <f>IF(Table13[[#This Row],[Quantity]]&lt;=3,"Small",IF(Table13[[#This Row],[Quantity]]&lt;=6,"Medium","Bulk"))</f>
        <v>Medium</v>
      </c>
      <c r="T740" s="18" t="str">
        <f t="shared" si="82"/>
        <v>Normal</v>
      </c>
      <c r="U740" s="18" t="str">
        <f t="shared" si="83"/>
        <v>High Value</v>
      </c>
    </row>
    <row r="741" spans="1:21" x14ac:dyDescent="0.3">
      <c r="A741" t="s">
        <v>749</v>
      </c>
      <c r="B741" s="1">
        <v>45274</v>
      </c>
      <c r="C741" t="s">
        <v>1211</v>
      </c>
      <c r="D741" t="s">
        <v>1218</v>
      </c>
      <c r="E741" t="s">
        <v>1221</v>
      </c>
      <c r="F741" t="s">
        <v>1231</v>
      </c>
      <c r="G741" s="6">
        <v>7</v>
      </c>
      <c r="H741">
        <v>565</v>
      </c>
      <c r="I741">
        <v>3955</v>
      </c>
      <c r="J741" s="2">
        <v>522.97</v>
      </c>
      <c r="K741" s="16">
        <f>Table13[[#This Row],[Profit]]/Table13[[#This Row],[Sales]]</f>
        <v>0.13223008849557522</v>
      </c>
      <c r="L741" s="17" t="str">
        <f t="shared" si="77"/>
        <v>Low</v>
      </c>
      <c r="M741" s="17" t="str">
        <f t="shared" si="78"/>
        <v>Dec</v>
      </c>
      <c r="N741" s="18">
        <f>YEAR(Table13[[#This Row],[Order_Date]])</f>
        <v>2023</v>
      </c>
      <c r="O741" s="18">
        <f>Table13[[#This Row],[Price]]*0.7</f>
        <v>395.5</v>
      </c>
      <c r="P741" s="18">
        <f t="shared" si="79"/>
        <v>1186.5</v>
      </c>
      <c r="Q741" s="18">
        <f t="shared" si="80"/>
        <v>0.1</v>
      </c>
      <c r="R741" s="18">
        <f t="shared" si="81"/>
        <v>3432.03</v>
      </c>
      <c r="S741" s="18" t="str">
        <f>IF(Table13[[#This Row],[Quantity]]&lt;=3,"Small",IF(Table13[[#This Row],[Quantity]]&lt;=6,"Medium","Bulk"))</f>
        <v>Bulk</v>
      </c>
      <c r="T741" s="18" t="str">
        <f t="shared" si="82"/>
        <v>Normal</v>
      </c>
      <c r="U741" s="18" t="str">
        <f t="shared" si="83"/>
        <v>low Value</v>
      </c>
    </row>
    <row r="742" spans="1:21" x14ac:dyDescent="0.3">
      <c r="A742" t="s">
        <v>750</v>
      </c>
      <c r="B742" s="1">
        <v>45239</v>
      </c>
      <c r="C742" t="s">
        <v>1211</v>
      </c>
      <c r="D742" t="s">
        <v>1218</v>
      </c>
      <c r="E742" t="s">
        <v>1219</v>
      </c>
      <c r="F742" t="s">
        <v>1232</v>
      </c>
      <c r="G742" s="6">
        <v>7</v>
      </c>
      <c r="H742">
        <v>3769</v>
      </c>
      <c r="I742">
        <v>26383</v>
      </c>
      <c r="J742" s="2">
        <v>4732.38</v>
      </c>
      <c r="K742" s="16">
        <f>Table13[[#This Row],[Profit]]/Table13[[#This Row],[Sales]]</f>
        <v>0.17937232308683623</v>
      </c>
      <c r="L742" s="17" t="str">
        <f t="shared" si="77"/>
        <v>High</v>
      </c>
      <c r="M742" s="17" t="str">
        <f t="shared" si="78"/>
        <v>Nov</v>
      </c>
      <c r="N742" s="18">
        <f>YEAR(Table13[[#This Row],[Order_Date]])</f>
        <v>2023</v>
      </c>
      <c r="O742" s="18">
        <f>Table13[[#This Row],[Price]]*0.7</f>
        <v>2638.2999999999997</v>
      </c>
      <c r="P742" s="18">
        <f t="shared" si="79"/>
        <v>7914.9000000000015</v>
      </c>
      <c r="Q742" s="18">
        <f t="shared" si="80"/>
        <v>0.1</v>
      </c>
      <c r="R742" s="18">
        <f t="shared" si="81"/>
        <v>21650.62</v>
      </c>
      <c r="S742" s="18" t="str">
        <f>IF(Table13[[#This Row],[Quantity]]&lt;=3,"Small",IF(Table13[[#This Row],[Quantity]]&lt;=6,"Medium","Bulk"))</f>
        <v>Bulk</v>
      </c>
      <c r="T742" s="18" t="str">
        <f t="shared" si="82"/>
        <v>Normal</v>
      </c>
      <c r="U742" s="18" t="str">
        <f t="shared" si="83"/>
        <v>High Value</v>
      </c>
    </row>
    <row r="743" spans="1:21" x14ac:dyDescent="0.3">
      <c r="A743" t="s">
        <v>751</v>
      </c>
      <c r="B743" s="1">
        <v>45212</v>
      </c>
      <c r="C743" t="s">
        <v>1213</v>
      </c>
      <c r="D743" t="s">
        <v>1218</v>
      </c>
      <c r="E743" t="s">
        <v>1220</v>
      </c>
      <c r="F743" t="s">
        <v>1228</v>
      </c>
      <c r="G743" s="6">
        <v>3</v>
      </c>
      <c r="H743">
        <v>3029</v>
      </c>
      <c r="I743">
        <v>9087</v>
      </c>
      <c r="J743" s="2">
        <v>977.1</v>
      </c>
      <c r="K743" s="16">
        <f>Table13[[#This Row],[Profit]]/Table13[[#This Row],[Sales]]</f>
        <v>0.10752723671178607</v>
      </c>
      <c r="L743" s="17" t="str">
        <f t="shared" si="77"/>
        <v>Low</v>
      </c>
      <c r="M743" s="17" t="str">
        <f t="shared" si="78"/>
        <v>Oct</v>
      </c>
      <c r="N743" s="18">
        <f>YEAR(Table13[[#This Row],[Order_Date]])</f>
        <v>2023</v>
      </c>
      <c r="O743" s="18">
        <f>Table13[[#This Row],[Price]]*0.7</f>
        <v>2120.2999999999997</v>
      </c>
      <c r="P743" s="18">
        <f t="shared" si="79"/>
        <v>2726.1000000000004</v>
      </c>
      <c r="Q743" s="18">
        <f t="shared" si="80"/>
        <v>0.05</v>
      </c>
      <c r="R743" s="18">
        <f t="shared" si="81"/>
        <v>8109.9</v>
      </c>
      <c r="S743" s="18" t="str">
        <f>IF(Table13[[#This Row],[Quantity]]&lt;=3,"Small",IF(Table13[[#This Row],[Quantity]]&lt;=6,"Medium","Bulk"))</f>
        <v>Small</v>
      </c>
      <c r="T743" s="18" t="str">
        <f t="shared" si="82"/>
        <v>Normal</v>
      </c>
      <c r="U743" s="18" t="str">
        <f t="shared" si="83"/>
        <v>low Value</v>
      </c>
    </row>
    <row r="744" spans="1:21" x14ac:dyDescent="0.3">
      <c r="A744" t="s">
        <v>752</v>
      </c>
      <c r="B744" s="1">
        <v>45036</v>
      </c>
      <c r="C744" t="s">
        <v>1213</v>
      </c>
      <c r="D744" t="s">
        <v>1218</v>
      </c>
      <c r="E744" t="s">
        <v>1219</v>
      </c>
      <c r="F744" t="s">
        <v>1223</v>
      </c>
      <c r="G744" s="6">
        <v>4</v>
      </c>
      <c r="H744">
        <v>3364</v>
      </c>
      <c r="I744">
        <v>13456</v>
      </c>
      <c r="J744" s="2">
        <v>3072.7</v>
      </c>
      <c r="K744" s="16">
        <f>Table13[[#This Row],[Profit]]/Table13[[#This Row],[Sales]]</f>
        <v>0.22835166468489893</v>
      </c>
      <c r="L744" s="17" t="str">
        <f t="shared" si="77"/>
        <v>Medium</v>
      </c>
      <c r="M744" s="17" t="str">
        <f t="shared" si="78"/>
        <v>Apr</v>
      </c>
      <c r="N744" s="18">
        <f>YEAR(Table13[[#This Row],[Order_Date]])</f>
        <v>2023</v>
      </c>
      <c r="O744" s="18">
        <f>Table13[[#This Row],[Price]]*0.7</f>
        <v>2354.7999999999997</v>
      </c>
      <c r="P744" s="18">
        <f t="shared" si="79"/>
        <v>4036.8000000000011</v>
      </c>
      <c r="Q744" s="18">
        <f t="shared" si="80"/>
        <v>0.05</v>
      </c>
      <c r="R744" s="18">
        <f t="shared" si="81"/>
        <v>10383.300000000001</v>
      </c>
      <c r="S744" s="18" t="str">
        <f>IF(Table13[[#This Row],[Quantity]]&lt;=3,"Small",IF(Table13[[#This Row],[Quantity]]&lt;=6,"Medium","Bulk"))</f>
        <v>Medium</v>
      </c>
      <c r="T744" s="18" t="str">
        <f t="shared" si="82"/>
        <v>Normal</v>
      </c>
      <c r="U744" s="18" t="str">
        <f t="shared" si="83"/>
        <v>Medium Value</v>
      </c>
    </row>
    <row r="745" spans="1:21" x14ac:dyDescent="0.3">
      <c r="A745" t="s">
        <v>753</v>
      </c>
      <c r="B745" s="1">
        <v>45246</v>
      </c>
      <c r="C745" t="s">
        <v>1210</v>
      </c>
      <c r="D745" t="s">
        <v>1218</v>
      </c>
      <c r="E745" t="s">
        <v>1219</v>
      </c>
      <c r="F745" t="s">
        <v>1233</v>
      </c>
      <c r="G745" s="6">
        <v>5</v>
      </c>
      <c r="H745">
        <v>443</v>
      </c>
      <c r="I745">
        <v>2215</v>
      </c>
      <c r="J745" s="2">
        <v>326.67</v>
      </c>
      <c r="K745" s="16">
        <f>Table13[[#This Row],[Profit]]/Table13[[#This Row],[Sales]]</f>
        <v>0.14748081264108354</v>
      </c>
      <c r="L745" s="17" t="str">
        <f t="shared" si="77"/>
        <v>Low</v>
      </c>
      <c r="M745" s="17" t="str">
        <f t="shared" si="78"/>
        <v>Nov</v>
      </c>
      <c r="N745" s="18">
        <f>YEAR(Table13[[#This Row],[Order_Date]])</f>
        <v>2023</v>
      </c>
      <c r="O745" s="18">
        <f>Table13[[#This Row],[Price]]*0.7</f>
        <v>310.09999999999997</v>
      </c>
      <c r="P745" s="18">
        <f t="shared" si="79"/>
        <v>664.50000000000023</v>
      </c>
      <c r="Q745" s="18">
        <f t="shared" si="80"/>
        <v>0.05</v>
      </c>
      <c r="R745" s="18">
        <f t="shared" si="81"/>
        <v>1888.33</v>
      </c>
      <c r="S745" s="18" t="str">
        <f>IF(Table13[[#This Row],[Quantity]]&lt;=3,"Small",IF(Table13[[#This Row],[Quantity]]&lt;=6,"Medium","Bulk"))</f>
        <v>Medium</v>
      </c>
      <c r="T745" s="18" t="str">
        <f t="shared" si="82"/>
        <v>Normal</v>
      </c>
      <c r="U745" s="18" t="str">
        <f t="shared" si="83"/>
        <v>low Value</v>
      </c>
    </row>
    <row r="746" spans="1:21" x14ac:dyDescent="0.3">
      <c r="A746" t="s">
        <v>754</v>
      </c>
      <c r="B746" s="1">
        <v>45095</v>
      </c>
      <c r="C746" t="s">
        <v>1211</v>
      </c>
      <c r="D746" t="s">
        <v>1217</v>
      </c>
      <c r="E746" t="s">
        <v>1220</v>
      </c>
      <c r="F746" t="s">
        <v>1237</v>
      </c>
      <c r="G746" s="6">
        <v>6</v>
      </c>
      <c r="H746">
        <v>2072</v>
      </c>
      <c r="I746">
        <v>12432</v>
      </c>
      <c r="J746" s="2">
        <v>3011.98</v>
      </c>
      <c r="K746" s="16">
        <f>Table13[[#This Row],[Profit]]/Table13[[#This Row],[Sales]]</f>
        <v>0.24227638352638353</v>
      </c>
      <c r="L746" s="17" t="str">
        <f t="shared" si="77"/>
        <v>Medium</v>
      </c>
      <c r="M746" s="17" t="str">
        <f t="shared" si="78"/>
        <v>Jun</v>
      </c>
      <c r="N746" s="18">
        <f>YEAR(Table13[[#This Row],[Order_Date]])</f>
        <v>2023</v>
      </c>
      <c r="O746" s="18">
        <f>Table13[[#This Row],[Price]]*0.7</f>
        <v>1450.3999999999999</v>
      </c>
      <c r="P746" s="18">
        <f t="shared" si="79"/>
        <v>3729.6000000000004</v>
      </c>
      <c r="Q746" s="18">
        <f t="shared" si="80"/>
        <v>0.1</v>
      </c>
      <c r="R746" s="18">
        <f t="shared" si="81"/>
        <v>9420.02</v>
      </c>
      <c r="S746" s="18" t="str">
        <f>IF(Table13[[#This Row],[Quantity]]&lt;=3,"Small",IF(Table13[[#This Row],[Quantity]]&lt;=6,"Medium","Bulk"))</f>
        <v>Medium</v>
      </c>
      <c r="T746" s="18" t="str">
        <f t="shared" si="82"/>
        <v>Normal</v>
      </c>
      <c r="U746" s="18" t="str">
        <f t="shared" si="83"/>
        <v>Medium Value</v>
      </c>
    </row>
    <row r="747" spans="1:21" x14ac:dyDescent="0.3">
      <c r="A747" t="s">
        <v>755</v>
      </c>
      <c r="B747" s="1">
        <v>45114</v>
      </c>
      <c r="C747" t="s">
        <v>1211</v>
      </c>
      <c r="D747" t="s">
        <v>1216</v>
      </c>
      <c r="E747" t="s">
        <v>1222</v>
      </c>
      <c r="F747" t="s">
        <v>1227</v>
      </c>
      <c r="G747" s="6">
        <v>2</v>
      </c>
      <c r="H747">
        <v>872</v>
      </c>
      <c r="I747">
        <v>1744</v>
      </c>
      <c r="J747" s="2">
        <v>177.12</v>
      </c>
      <c r="K747" s="16">
        <f>Table13[[#This Row],[Profit]]/Table13[[#This Row],[Sales]]</f>
        <v>0.10155963302752294</v>
      </c>
      <c r="L747" s="17" t="str">
        <f t="shared" si="77"/>
        <v>Low</v>
      </c>
      <c r="M747" s="17" t="str">
        <f t="shared" si="78"/>
        <v>Jul</v>
      </c>
      <c r="N747" s="18">
        <f>YEAR(Table13[[#This Row],[Order_Date]])</f>
        <v>2023</v>
      </c>
      <c r="O747" s="18">
        <f>Table13[[#This Row],[Price]]*0.7</f>
        <v>610.4</v>
      </c>
      <c r="P747" s="18">
        <f t="shared" si="79"/>
        <v>523.20000000000005</v>
      </c>
      <c r="Q747" s="18">
        <f t="shared" si="80"/>
        <v>0.05</v>
      </c>
      <c r="R747" s="18">
        <f t="shared" si="81"/>
        <v>1566.88</v>
      </c>
      <c r="S747" s="18" t="str">
        <f>IF(Table13[[#This Row],[Quantity]]&lt;=3,"Small",IF(Table13[[#This Row],[Quantity]]&lt;=6,"Medium","Bulk"))</f>
        <v>Small</v>
      </c>
      <c r="T747" s="18" t="str">
        <f t="shared" si="82"/>
        <v>Normal</v>
      </c>
      <c r="U747" s="18" t="str">
        <f t="shared" si="83"/>
        <v>low Value</v>
      </c>
    </row>
    <row r="748" spans="1:21" x14ac:dyDescent="0.3">
      <c r="A748" t="s">
        <v>756</v>
      </c>
      <c r="B748" s="1">
        <v>44997</v>
      </c>
      <c r="C748" t="s">
        <v>1211</v>
      </c>
      <c r="D748" t="s">
        <v>1217</v>
      </c>
      <c r="E748" t="s">
        <v>1222</v>
      </c>
      <c r="F748" t="s">
        <v>1236</v>
      </c>
      <c r="G748" s="6">
        <v>6</v>
      </c>
      <c r="H748">
        <v>929</v>
      </c>
      <c r="I748">
        <v>5574</v>
      </c>
      <c r="J748" s="2">
        <v>649.57000000000005</v>
      </c>
      <c r="K748" s="16">
        <f>Table13[[#This Row],[Profit]]/Table13[[#This Row],[Sales]]</f>
        <v>0.1165357014711159</v>
      </c>
      <c r="L748" s="17" t="str">
        <f t="shared" si="77"/>
        <v>Low</v>
      </c>
      <c r="M748" s="17" t="str">
        <f t="shared" si="78"/>
        <v>Mar</v>
      </c>
      <c r="N748" s="18">
        <f>YEAR(Table13[[#This Row],[Order_Date]])</f>
        <v>2023</v>
      </c>
      <c r="O748" s="18">
        <f>Table13[[#This Row],[Price]]*0.7</f>
        <v>650.29999999999995</v>
      </c>
      <c r="P748" s="18">
        <f t="shared" si="79"/>
        <v>1672.2000000000003</v>
      </c>
      <c r="Q748" s="18">
        <f t="shared" si="80"/>
        <v>0.1</v>
      </c>
      <c r="R748" s="18">
        <f t="shared" si="81"/>
        <v>4924.43</v>
      </c>
      <c r="S748" s="18" t="str">
        <f>IF(Table13[[#This Row],[Quantity]]&lt;=3,"Small",IF(Table13[[#This Row],[Quantity]]&lt;=6,"Medium","Bulk"))</f>
        <v>Medium</v>
      </c>
      <c r="T748" s="18" t="str">
        <f t="shared" si="82"/>
        <v>Normal</v>
      </c>
      <c r="U748" s="18" t="str">
        <f t="shared" si="83"/>
        <v>low Value</v>
      </c>
    </row>
    <row r="749" spans="1:21" x14ac:dyDescent="0.3">
      <c r="A749" t="s">
        <v>757</v>
      </c>
      <c r="B749" s="1">
        <v>45218</v>
      </c>
      <c r="C749" t="s">
        <v>1211</v>
      </c>
      <c r="D749" t="s">
        <v>1216</v>
      </c>
      <c r="E749" t="s">
        <v>1222</v>
      </c>
      <c r="F749" t="s">
        <v>1234</v>
      </c>
      <c r="G749" s="6">
        <v>3</v>
      </c>
      <c r="H749">
        <v>4036</v>
      </c>
      <c r="I749">
        <v>12108</v>
      </c>
      <c r="J749" s="2">
        <v>1492</v>
      </c>
      <c r="K749" s="16">
        <f>Table13[[#This Row],[Profit]]/Table13[[#This Row],[Sales]]</f>
        <v>0.12322431450280806</v>
      </c>
      <c r="L749" s="17" t="str">
        <f t="shared" si="77"/>
        <v>Medium</v>
      </c>
      <c r="M749" s="17" t="str">
        <f t="shared" si="78"/>
        <v>Oct</v>
      </c>
      <c r="N749" s="18">
        <f>YEAR(Table13[[#This Row],[Order_Date]])</f>
        <v>2023</v>
      </c>
      <c r="O749" s="18">
        <f>Table13[[#This Row],[Price]]*0.7</f>
        <v>2825.2</v>
      </c>
      <c r="P749" s="18">
        <f t="shared" si="79"/>
        <v>3632.4000000000015</v>
      </c>
      <c r="Q749" s="18">
        <f t="shared" si="80"/>
        <v>0.05</v>
      </c>
      <c r="R749" s="18">
        <f t="shared" si="81"/>
        <v>10616</v>
      </c>
      <c r="S749" s="18" t="str">
        <f>IF(Table13[[#This Row],[Quantity]]&lt;=3,"Small",IF(Table13[[#This Row],[Quantity]]&lt;=6,"Medium","Bulk"))</f>
        <v>Small</v>
      </c>
      <c r="T749" s="18" t="str">
        <f t="shared" si="82"/>
        <v>Normal</v>
      </c>
      <c r="U749" s="18" t="str">
        <f t="shared" si="83"/>
        <v>Medium Value</v>
      </c>
    </row>
    <row r="750" spans="1:21" x14ac:dyDescent="0.3">
      <c r="A750" t="s">
        <v>758</v>
      </c>
      <c r="B750" s="1">
        <v>45281</v>
      </c>
      <c r="C750" t="s">
        <v>1210</v>
      </c>
      <c r="D750" t="s">
        <v>1214</v>
      </c>
      <c r="E750" t="s">
        <v>1219</v>
      </c>
      <c r="F750" t="s">
        <v>1238</v>
      </c>
      <c r="G750" s="6">
        <v>9</v>
      </c>
      <c r="H750">
        <v>707</v>
      </c>
      <c r="I750">
        <v>6363</v>
      </c>
      <c r="J750" s="2">
        <v>1459.61</v>
      </c>
      <c r="K750" s="16">
        <f>Table13[[#This Row],[Profit]]/Table13[[#This Row],[Sales]]</f>
        <v>0.22939022473675938</v>
      </c>
      <c r="L750" s="17" t="str">
        <f t="shared" si="77"/>
        <v>Low</v>
      </c>
      <c r="M750" s="17" t="str">
        <f t="shared" si="78"/>
        <v>Dec</v>
      </c>
      <c r="N750" s="18">
        <f>YEAR(Table13[[#This Row],[Order_Date]])</f>
        <v>2023</v>
      </c>
      <c r="O750" s="18">
        <f>Table13[[#This Row],[Price]]*0.7</f>
        <v>494.9</v>
      </c>
      <c r="P750" s="18">
        <f t="shared" si="79"/>
        <v>1908.9000000000005</v>
      </c>
      <c r="Q750" s="18">
        <f t="shared" si="80"/>
        <v>0.1</v>
      </c>
      <c r="R750" s="18">
        <f t="shared" si="81"/>
        <v>4903.3900000000003</v>
      </c>
      <c r="S750" s="18" t="str">
        <f>IF(Table13[[#This Row],[Quantity]]&lt;=3,"Small",IF(Table13[[#This Row],[Quantity]]&lt;=6,"Medium","Bulk"))</f>
        <v>Bulk</v>
      </c>
      <c r="T750" s="18" t="str">
        <f t="shared" si="82"/>
        <v>Normal</v>
      </c>
      <c r="U750" s="18" t="str">
        <f t="shared" si="83"/>
        <v>low Value</v>
      </c>
    </row>
    <row r="751" spans="1:21" x14ac:dyDescent="0.3">
      <c r="A751" t="s">
        <v>759</v>
      </c>
      <c r="B751" s="1">
        <v>45230</v>
      </c>
      <c r="C751" t="s">
        <v>1211</v>
      </c>
      <c r="D751" t="s">
        <v>1217</v>
      </c>
      <c r="E751" t="s">
        <v>1219</v>
      </c>
      <c r="F751" t="s">
        <v>1238</v>
      </c>
      <c r="G751" s="6">
        <v>4</v>
      </c>
      <c r="H751">
        <v>4716</v>
      </c>
      <c r="I751">
        <v>18864</v>
      </c>
      <c r="J751" s="2">
        <v>1767.64</v>
      </c>
      <c r="K751" s="16">
        <f>Table13[[#This Row],[Profit]]/Table13[[#This Row],[Sales]]</f>
        <v>9.3704410517387621E-2</v>
      </c>
      <c r="L751" s="17" t="str">
        <f t="shared" si="77"/>
        <v>Medium</v>
      </c>
      <c r="M751" s="17" t="str">
        <f t="shared" si="78"/>
        <v>Oct</v>
      </c>
      <c r="N751" s="18">
        <f>YEAR(Table13[[#This Row],[Order_Date]])</f>
        <v>2023</v>
      </c>
      <c r="O751" s="18">
        <f>Table13[[#This Row],[Price]]*0.7</f>
        <v>3301.2</v>
      </c>
      <c r="P751" s="18">
        <f t="shared" si="79"/>
        <v>5659.2000000000007</v>
      </c>
      <c r="Q751" s="18">
        <f t="shared" si="80"/>
        <v>0.05</v>
      </c>
      <c r="R751" s="18">
        <f t="shared" si="81"/>
        <v>17096.36</v>
      </c>
      <c r="S751" s="18" t="str">
        <f>IF(Table13[[#This Row],[Quantity]]&lt;=3,"Small",IF(Table13[[#This Row],[Quantity]]&lt;=6,"Medium","Bulk"))</f>
        <v>Medium</v>
      </c>
      <c r="T751" s="18" t="str">
        <f t="shared" si="82"/>
        <v>Normal</v>
      </c>
      <c r="U751" s="18" t="str">
        <f t="shared" si="83"/>
        <v>Medium Value</v>
      </c>
    </row>
    <row r="752" spans="1:21" x14ac:dyDescent="0.3">
      <c r="A752" t="s">
        <v>760</v>
      </c>
      <c r="B752" s="1">
        <v>45204</v>
      </c>
      <c r="C752" t="s">
        <v>1210</v>
      </c>
      <c r="D752" t="s">
        <v>1217</v>
      </c>
      <c r="E752" t="s">
        <v>1221</v>
      </c>
      <c r="F752" t="s">
        <v>1235</v>
      </c>
      <c r="G752" s="6">
        <v>9</v>
      </c>
      <c r="H752">
        <v>3915</v>
      </c>
      <c r="I752">
        <v>35235</v>
      </c>
      <c r="J752" s="2">
        <v>4021.41</v>
      </c>
      <c r="K752" s="16">
        <f>Table13[[#This Row],[Profit]]/Table13[[#This Row],[Sales]]</f>
        <v>0.11413111962537249</v>
      </c>
      <c r="L752" s="17" t="str">
        <f t="shared" si="77"/>
        <v>High</v>
      </c>
      <c r="M752" s="17" t="str">
        <f t="shared" si="78"/>
        <v>Oct</v>
      </c>
      <c r="N752" s="18">
        <f>YEAR(Table13[[#This Row],[Order_Date]])</f>
        <v>2023</v>
      </c>
      <c r="O752" s="18">
        <f>Table13[[#This Row],[Price]]*0.7</f>
        <v>2740.5</v>
      </c>
      <c r="P752" s="18">
        <f t="shared" si="79"/>
        <v>10570.5</v>
      </c>
      <c r="Q752" s="18">
        <f t="shared" si="80"/>
        <v>0.1</v>
      </c>
      <c r="R752" s="18">
        <f t="shared" si="81"/>
        <v>31213.59</v>
      </c>
      <c r="S752" s="18" t="str">
        <f>IF(Table13[[#This Row],[Quantity]]&lt;=3,"Small",IF(Table13[[#This Row],[Quantity]]&lt;=6,"Medium","Bulk"))</f>
        <v>Bulk</v>
      </c>
      <c r="T752" s="18" t="str">
        <f t="shared" si="82"/>
        <v>Normal</v>
      </c>
      <c r="U752" s="18" t="str">
        <f t="shared" si="83"/>
        <v>High Value</v>
      </c>
    </row>
    <row r="753" spans="1:21" x14ac:dyDescent="0.3">
      <c r="A753" t="s">
        <v>761</v>
      </c>
      <c r="B753" s="1">
        <v>45179</v>
      </c>
      <c r="C753" t="s">
        <v>1212</v>
      </c>
      <c r="D753" t="s">
        <v>1217</v>
      </c>
      <c r="E753" t="s">
        <v>1221</v>
      </c>
      <c r="F753" t="s">
        <v>1226</v>
      </c>
      <c r="G753" s="6">
        <v>4</v>
      </c>
      <c r="H753">
        <v>892</v>
      </c>
      <c r="I753">
        <v>3568</v>
      </c>
      <c r="J753" s="2">
        <v>403.84</v>
      </c>
      <c r="K753" s="16">
        <f>Table13[[#This Row],[Profit]]/Table13[[#This Row],[Sales]]</f>
        <v>0.11318385650224215</v>
      </c>
      <c r="L753" s="17" t="str">
        <f t="shared" si="77"/>
        <v>Low</v>
      </c>
      <c r="M753" s="17" t="str">
        <f t="shared" si="78"/>
        <v>Sep</v>
      </c>
      <c r="N753" s="18">
        <f>YEAR(Table13[[#This Row],[Order_Date]])</f>
        <v>2023</v>
      </c>
      <c r="O753" s="18">
        <f>Table13[[#This Row],[Price]]*0.7</f>
        <v>624.4</v>
      </c>
      <c r="P753" s="18">
        <f t="shared" si="79"/>
        <v>1070.4000000000001</v>
      </c>
      <c r="Q753" s="18">
        <f t="shared" si="80"/>
        <v>0.05</v>
      </c>
      <c r="R753" s="18">
        <f t="shared" si="81"/>
        <v>3164.16</v>
      </c>
      <c r="S753" s="18" t="str">
        <f>IF(Table13[[#This Row],[Quantity]]&lt;=3,"Small",IF(Table13[[#This Row],[Quantity]]&lt;=6,"Medium","Bulk"))</f>
        <v>Medium</v>
      </c>
      <c r="T753" s="18" t="str">
        <f t="shared" si="82"/>
        <v>High Demand</v>
      </c>
      <c r="U753" s="18" t="str">
        <f t="shared" si="83"/>
        <v>low Value</v>
      </c>
    </row>
    <row r="754" spans="1:21" x14ac:dyDescent="0.3">
      <c r="A754" t="s">
        <v>762</v>
      </c>
      <c r="B754" s="1">
        <v>45078</v>
      </c>
      <c r="C754" t="s">
        <v>1211</v>
      </c>
      <c r="D754" t="s">
        <v>1214</v>
      </c>
      <c r="E754" t="s">
        <v>1220</v>
      </c>
      <c r="F754" t="s">
        <v>1237</v>
      </c>
      <c r="G754" s="6">
        <v>6</v>
      </c>
      <c r="H754">
        <v>4877</v>
      </c>
      <c r="I754">
        <v>29262</v>
      </c>
      <c r="J754" s="2">
        <v>5342.27</v>
      </c>
      <c r="K754" s="16">
        <f>Table13[[#This Row],[Profit]]/Table13[[#This Row],[Sales]]</f>
        <v>0.18256681019752583</v>
      </c>
      <c r="L754" s="17" t="str">
        <f t="shared" si="77"/>
        <v>High</v>
      </c>
      <c r="M754" s="17" t="str">
        <f t="shared" si="78"/>
        <v>Jun</v>
      </c>
      <c r="N754" s="18">
        <f>YEAR(Table13[[#This Row],[Order_Date]])</f>
        <v>2023</v>
      </c>
      <c r="O754" s="18">
        <f>Table13[[#This Row],[Price]]*0.7</f>
        <v>3413.8999999999996</v>
      </c>
      <c r="P754" s="18">
        <f t="shared" si="79"/>
        <v>8778.6000000000022</v>
      </c>
      <c r="Q754" s="18">
        <f t="shared" si="80"/>
        <v>0.1</v>
      </c>
      <c r="R754" s="18">
        <f t="shared" si="81"/>
        <v>23919.73</v>
      </c>
      <c r="S754" s="18" t="str">
        <f>IF(Table13[[#This Row],[Quantity]]&lt;=3,"Small",IF(Table13[[#This Row],[Quantity]]&lt;=6,"Medium","Bulk"))</f>
        <v>Medium</v>
      </c>
      <c r="T754" s="18" t="str">
        <f t="shared" si="82"/>
        <v>Normal</v>
      </c>
      <c r="U754" s="18" t="str">
        <f t="shared" si="83"/>
        <v>High Value</v>
      </c>
    </row>
    <row r="755" spans="1:21" x14ac:dyDescent="0.3">
      <c r="A755" t="s">
        <v>763</v>
      </c>
      <c r="B755" s="1">
        <v>44938</v>
      </c>
      <c r="C755" t="s">
        <v>1211</v>
      </c>
      <c r="D755" t="s">
        <v>1214</v>
      </c>
      <c r="E755" t="s">
        <v>1222</v>
      </c>
      <c r="F755" t="s">
        <v>1230</v>
      </c>
      <c r="G755" s="6">
        <v>5</v>
      </c>
      <c r="H755">
        <v>2280</v>
      </c>
      <c r="I755">
        <v>11400</v>
      </c>
      <c r="J755" s="2">
        <v>1201.03</v>
      </c>
      <c r="K755" s="16">
        <f>Table13[[#This Row],[Profit]]/Table13[[#This Row],[Sales]]</f>
        <v>0.10535350877192982</v>
      </c>
      <c r="L755" s="17" t="str">
        <f t="shared" si="77"/>
        <v>Medium</v>
      </c>
      <c r="M755" s="17" t="str">
        <f t="shared" si="78"/>
        <v>Jan</v>
      </c>
      <c r="N755" s="18">
        <f>YEAR(Table13[[#This Row],[Order_Date]])</f>
        <v>2023</v>
      </c>
      <c r="O755" s="18">
        <f>Table13[[#This Row],[Price]]*0.7</f>
        <v>1596</v>
      </c>
      <c r="P755" s="18">
        <f t="shared" si="79"/>
        <v>3420</v>
      </c>
      <c r="Q755" s="18">
        <f t="shared" si="80"/>
        <v>0.05</v>
      </c>
      <c r="R755" s="18">
        <f t="shared" si="81"/>
        <v>10198.969999999999</v>
      </c>
      <c r="S755" s="18" t="str">
        <f>IF(Table13[[#This Row],[Quantity]]&lt;=3,"Small",IF(Table13[[#This Row],[Quantity]]&lt;=6,"Medium","Bulk"))</f>
        <v>Medium</v>
      </c>
      <c r="T755" s="18" t="str">
        <f t="shared" si="82"/>
        <v>Normal</v>
      </c>
      <c r="U755" s="18" t="str">
        <f t="shared" si="83"/>
        <v>Medium Value</v>
      </c>
    </row>
    <row r="756" spans="1:21" x14ac:dyDescent="0.3">
      <c r="A756" t="s">
        <v>764</v>
      </c>
      <c r="B756" s="1">
        <v>44955</v>
      </c>
      <c r="C756" t="s">
        <v>1212</v>
      </c>
      <c r="D756" t="s">
        <v>1214</v>
      </c>
      <c r="E756" t="s">
        <v>1219</v>
      </c>
      <c r="F756" t="s">
        <v>1232</v>
      </c>
      <c r="G756" s="6">
        <v>6</v>
      </c>
      <c r="H756">
        <v>604</v>
      </c>
      <c r="I756">
        <v>3624</v>
      </c>
      <c r="J756" s="2">
        <v>297.87</v>
      </c>
      <c r="K756" s="16">
        <f>Table13[[#This Row],[Profit]]/Table13[[#This Row],[Sales]]</f>
        <v>8.2193708609271526E-2</v>
      </c>
      <c r="L756" s="17" t="str">
        <f t="shared" si="77"/>
        <v>Low</v>
      </c>
      <c r="M756" s="17" t="str">
        <f t="shared" si="78"/>
        <v>Jan</v>
      </c>
      <c r="N756" s="18">
        <f>YEAR(Table13[[#This Row],[Order_Date]])</f>
        <v>2023</v>
      </c>
      <c r="O756" s="18">
        <f>Table13[[#This Row],[Price]]*0.7</f>
        <v>422.79999999999995</v>
      </c>
      <c r="P756" s="18">
        <f t="shared" si="79"/>
        <v>1087.2000000000003</v>
      </c>
      <c r="Q756" s="18">
        <f t="shared" si="80"/>
        <v>0.1</v>
      </c>
      <c r="R756" s="18">
        <f t="shared" si="81"/>
        <v>3326.13</v>
      </c>
      <c r="S756" s="18" t="str">
        <f>IF(Table13[[#This Row],[Quantity]]&lt;=3,"Small",IF(Table13[[#This Row],[Quantity]]&lt;=6,"Medium","Bulk"))</f>
        <v>Medium</v>
      </c>
      <c r="T756" s="18" t="str">
        <f t="shared" si="82"/>
        <v>High Demand</v>
      </c>
      <c r="U756" s="18" t="str">
        <f t="shared" si="83"/>
        <v>low Value</v>
      </c>
    </row>
    <row r="757" spans="1:21" x14ac:dyDescent="0.3">
      <c r="A757" t="s">
        <v>765</v>
      </c>
      <c r="B757" s="1">
        <v>45200</v>
      </c>
      <c r="C757" t="s">
        <v>1210</v>
      </c>
      <c r="D757" t="s">
        <v>1214</v>
      </c>
      <c r="E757" t="s">
        <v>1220</v>
      </c>
      <c r="F757" t="s">
        <v>1228</v>
      </c>
      <c r="G757" s="6">
        <v>2</v>
      </c>
      <c r="H757">
        <v>4156</v>
      </c>
      <c r="I757">
        <v>8312</v>
      </c>
      <c r="J757" s="2">
        <v>829.52</v>
      </c>
      <c r="K757" s="16">
        <f>Table13[[#This Row],[Profit]]/Table13[[#This Row],[Sales]]</f>
        <v>9.9797882579403266E-2</v>
      </c>
      <c r="L757" s="17" t="str">
        <f t="shared" si="77"/>
        <v>Low</v>
      </c>
      <c r="M757" s="17" t="str">
        <f t="shared" si="78"/>
        <v>Oct</v>
      </c>
      <c r="N757" s="18">
        <f>YEAR(Table13[[#This Row],[Order_Date]])</f>
        <v>2023</v>
      </c>
      <c r="O757" s="18">
        <f>Table13[[#This Row],[Price]]*0.7</f>
        <v>2909.2</v>
      </c>
      <c r="P757" s="18">
        <f t="shared" si="79"/>
        <v>2493.6000000000004</v>
      </c>
      <c r="Q757" s="18">
        <f t="shared" si="80"/>
        <v>0.05</v>
      </c>
      <c r="R757" s="18">
        <f t="shared" si="81"/>
        <v>7482.4800000000005</v>
      </c>
      <c r="S757" s="18" t="str">
        <f>IF(Table13[[#This Row],[Quantity]]&lt;=3,"Small",IF(Table13[[#This Row],[Quantity]]&lt;=6,"Medium","Bulk"))</f>
        <v>Small</v>
      </c>
      <c r="T757" s="18" t="str">
        <f t="shared" si="82"/>
        <v>Normal</v>
      </c>
      <c r="U757" s="18" t="str">
        <f t="shared" si="83"/>
        <v>low Value</v>
      </c>
    </row>
    <row r="758" spans="1:21" x14ac:dyDescent="0.3">
      <c r="A758" t="s">
        <v>766</v>
      </c>
      <c r="B758" s="1">
        <v>45021</v>
      </c>
      <c r="C758" t="s">
        <v>1211</v>
      </c>
      <c r="D758" t="s">
        <v>1214</v>
      </c>
      <c r="E758" t="s">
        <v>1220</v>
      </c>
      <c r="F758" t="s">
        <v>1224</v>
      </c>
      <c r="G758" s="6">
        <v>6</v>
      </c>
      <c r="H758">
        <v>1409</v>
      </c>
      <c r="I758">
        <v>8454</v>
      </c>
      <c r="J758" s="2">
        <v>1312.38</v>
      </c>
      <c r="K758" s="16">
        <f>Table13[[#This Row],[Profit]]/Table13[[#This Row],[Sales]]</f>
        <v>0.15523775727466291</v>
      </c>
      <c r="L758" s="17" t="str">
        <f t="shared" si="77"/>
        <v>Low</v>
      </c>
      <c r="M758" s="17" t="str">
        <f t="shared" si="78"/>
        <v>Apr</v>
      </c>
      <c r="N758" s="18">
        <f>YEAR(Table13[[#This Row],[Order_Date]])</f>
        <v>2023</v>
      </c>
      <c r="O758" s="18">
        <f>Table13[[#This Row],[Price]]*0.7</f>
        <v>986.3</v>
      </c>
      <c r="P758" s="18">
        <f t="shared" si="79"/>
        <v>2536.2000000000007</v>
      </c>
      <c r="Q758" s="18">
        <f t="shared" si="80"/>
        <v>0.1</v>
      </c>
      <c r="R758" s="18">
        <f t="shared" si="81"/>
        <v>7141.62</v>
      </c>
      <c r="S758" s="18" t="str">
        <f>IF(Table13[[#This Row],[Quantity]]&lt;=3,"Small",IF(Table13[[#This Row],[Quantity]]&lt;=6,"Medium","Bulk"))</f>
        <v>Medium</v>
      </c>
      <c r="T758" s="18" t="str">
        <f t="shared" si="82"/>
        <v>Normal</v>
      </c>
      <c r="U758" s="18" t="str">
        <f t="shared" si="83"/>
        <v>low Value</v>
      </c>
    </row>
    <row r="759" spans="1:21" x14ac:dyDescent="0.3">
      <c r="A759" t="s">
        <v>767</v>
      </c>
      <c r="B759" s="1">
        <v>45019</v>
      </c>
      <c r="C759" t="s">
        <v>1213</v>
      </c>
      <c r="D759" t="s">
        <v>1217</v>
      </c>
      <c r="E759" t="s">
        <v>1221</v>
      </c>
      <c r="F759" t="s">
        <v>1235</v>
      </c>
      <c r="G759" s="6">
        <v>2</v>
      </c>
      <c r="H759">
        <v>3467</v>
      </c>
      <c r="I759">
        <v>6934</v>
      </c>
      <c r="J759" s="2">
        <v>970.95</v>
      </c>
      <c r="K759" s="16">
        <f>Table13[[#This Row],[Profit]]/Table13[[#This Row],[Sales]]</f>
        <v>0.14002740121142199</v>
      </c>
      <c r="L759" s="17" t="str">
        <f t="shared" si="77"/>
        <v>Low</v>
      </c>
      <c r="M759" s="17" t="str">
        <f t="shared" si="78"/>
        <v>Apr</v>
      </c>
      <c r="N759" s="18">
        <f>YEAR(Table13[[#This Row],[Order_Date]])</f>
        <v>2023</v>
      </c>
      <c r="O759" s="18">
        <f>Table13[[#This Row],[Price]]*0.7</f>
        <v>2426.8999999999996</v>
      </c>
      <c r="P759" s="18">
        <f t="shared" si="79"/>
        <v>2080.2000000000007</v>
      </c>
      <c r="Q759" s="18">
        <f t="shared" si="80"/>
        <v>0.05</v>
      </c>
      <c r="R759" s="18">
        <f t="shared" si="81"/>
        <v>5963.05</v>
      </c>
      <c r="S759" s="18" t="str">
        <f>IF(Table13[[#This Row],[Quantity]]&lt;=3,"Small",IF(Table13[[#This Row],[Quantity]]&lt;=6,"Medium","Bulk"))</f>
        <v>Small</v>
      </c>
      <c r="T759" s="18" t="str">
        <f t="shared" si="82"/>
        <v>Normal</v>
      </c>
      <c r="U759" s="18" t="str">
        <f t="shared" si="83"/>
        <v>low Value</v>
      </c>
    </row>
    <row r="760" spans="1:21" x14ac:dyDescent="0.3">
      <c r="A760" t="s">
        <v>768</v>
      </c>
      <c r="B760" s="1">
        <v>45111</v>
      </c>
      <c r="C760" t="s">
        <v>1212</v>
      </c>
      <c r="D760" t="s">
        <v>1214</v>
      </c>
      <c r="E760" t="s">
        <v>1221</v>
      </c>
      <c r="F760" t="s">
        <v>1235</v>
      </c>
      <c r="G760" s="6">
        <v>6</v>
      </c>
      <c r="H760">
        <v>1649</v>
      </c>
      <c r="I760">
        <v>9894</v>
      </c>
      <c r="J760" s="2">
        <v>2110.87</v>
      </c>
      <c r="K760" s="16">
        <f>Table13[[#This Row],[Profit]]/Table13[[#This Row],[Sales]]</f>
        <v>0.21334849403678996</v>
      </c>
      <c r="L760" s="17" t="str">
        <f t="shared" si="77"/>
        <v>Low</v>
      </c>
      <c r="M760" s="17" t="str">
        <f t="shared" si="78"/>
        <v>Jul</v>
      </c>
      <c r="N760" s="18">
        <f>YEAR(Table13[[#This Row],[Order_Date]])</f>
        <v>2023</v>
      </c>
      <c r="O760" s="18">
        <f>Table13[[#This Row],[Price]]*0.7</f>
        <v>1154.3</v>
      </c>
      <c r="P760" s="18">
        <f t="shared" si="79"/>
        <v>2968.2000000000007</v>
      </c>
      <c r="Q760" s="18">
        <f t="shared" si="80"/>
        <v>0.1</v>
      </c>
      <c r="R760" s="18">
        <f t="shared" si="81"/>
        <v>7783.1299999999992</v>
      </c>
      <c r="S760" s="18" t="str">
        <f>IF(Table13[[#This Row],[Quantity]]&lt;=3,"Small",IF(Table13[[#This Row],[Quantity]]&lt;=6,"Medium","Bulk"))</f>
        <v>Medium</v>
      </c>
      <c r="T760" s="18" t="str">
        <f t="shared" si="82"/>
        <v>High Demand</v>
      </c>
      <c r="U760" s="18" t="str">
        <f t="shared" si="83"/>
        <v>low Value</v>
      </c>
    </row>
    <row r="761" spans="1:21" x14ac:dyDescent="0.3">
      <c r="A761" t="s">
        <v>769</v>
      </c>
      <c r="B761" s="1">
        <v>45105</v>
      </c>
      <c r="C761" t="s">
        <v>1210</v>
      </c>
      <c r="D761" t="s">
        <v>1218</v>
      </c>
      <c r="E761" t="s">
        <v>1221</v>
      </c>
      <c r="F761" t="s">
        <v>1235</v>
      </c>
      <c r="G761" s="6">
        <v>7</v>
      </c>
      <c r="H761">
        <v>1635</v>
      </c>
      <c r="I761">
        <v>11445</v>
      </c>
      <c r="J761" s="2">
        <v>1723.29</v>
      </c>
      <c r="K761" s="16">
        <f>Table13[[#This Row],[Profit]]/Table13[[#This Row],[Sales]]</f>
        <v>0.15057142857142858</v>
      </c>
      <c r="L761" s="17" t="str">
        <f t="shared" si="77"/>
        <v>Medium</v>
      </c>
      <c r="M761" s="17" t="str">
        <f t="shared" si="78"/>
        <v>Jun</v>
      </c>
      <c r="N761" s="18">
        <f>YEAR(Table13[[#This Row],[Order_Date]])</f>
        <v>2023</v>
      </c>
      <c r="O761" s="18">
        <f>Table13[[#This Row],[Price]]*0.7</f>
        <v>1144.5</v>
      </c>
      <c r="P761" s="18">
        <f t="shared" si="79"/>
        <v>3433.5</v>
      </c>
      <c r="Q761" s="18">
        <f t="shared" si="80"/>
        <v>0.1</v>
      </c>
      <c r="R761" s="18">
        <f t="shared" si="81"/>
        <v>9721.7099999999991</v>
      </c>
      <c r="S761" s="18" t="str">
        <f>IF(Table13[[#This Row],[Quantity]]&lt;=3,"Small",IF(Table13[[#This Row],[Quantity]]&lt;=6,"Medium","Bulk"))</f>
        <v>Bulk</v>
      </c>
      <c r="T761" s="18" t="str">
        <f t="shared" si="82"/>
        <v>Normal</v>
      </c>
      <c r="U761" s="18" t="str">
        <f t="shared" si="83"/>
        <v>Medium Value</v>
      </c>
    </row>
    <row r="762" spans="1:21" x14ac:dyDescent="0.3">
      <c r="A762" t="s">
        <v>770</v>
      </c>
      <c r="B762" s="1">
        <v>44979</v>
      </c>
      <c r="C762" t="s">
        <v>1213</v>
      </c>
      <c r="D762" t="s">
        <v>1214</v>
      </c>
      <c r="E762" t="s">
        <v>1222</v>
      </c>
      <c r="F762" t="s">
        <v>1230</v>
      </c>
      <c r="G762" s="6">
        <v>6</v>
      </c>
      <c r="H762">
        <v>2974</v>
      </c>
      <c r="I762">
        <v>17844</v>
      </c>
      <c r="J762" s="2">
        <v>3817.12</v>
      </c>
      <c r="K762" s="16">
        <f>Table13[[#This Row],[Profit]]/Table13[[#This Row],[Sales]]</f>
        <v>0.21391616229544944</v>
      </c>
      <c r="L762" s="17" t="str">
        <f t="shared" si="77"/>
        <v>Medium</v>
      </c>
      <c r="M762" s="17" t="str">
        <f t="shared" si="78"/>
        <v>Feb</v>
      </c>
      <c r="N762" s="18">
        <f>YEAR(Table13[[#This Row],[Order_Date]])</f>
        <v>2023</v>
      </c>
      <c r="O762" s="18">
        <f>Table13[[#This Row],[Price]]*0.7</f>
        <v>2081.7999999999997</v>
      </c>
      <c r="P762" s="18">
        <f t="shared" si="79"/>
        <v>5353.2000000000007</v>
      </c>
      <c r="Q762" s="18">
        <f t="shared" si="80"/>
        <v>0.1</v>
      </c>
      <c r="R762" s="18">
        <f t="shared" si="81"/>
        <v>14026.880000000001</v>
      </c>
      <c r="S762" s="18" t="str">
        <f>IF(Table13[[#This Row],[Quantity]]&lt;=3,"Small",IF(Table13[[#This Row],[Quantity]]&lt;=6,"Medium","Bulk"))</f>
        <v>Medium</v>
      </c>
      <c r="T762" s="18" t="str">
        <f t="shared" si="82"/>
        <v>Normal</v>
      </c>
      <c r="U762" s="18" t="str">
        <f t="shared" si="83"/>
        <v>Medium Value</v>
      </c>
    </row>
    <row r="763" spans="1:21" x14ac:dyDescent="0.3">
      <c r="A763" t="s">
        <v>771</v>
      </c>
      <c r="B763" s="1">
        <v>45049</v>
      </c>
      <c r="C763" t="s">
        <v>1210</v>
      </c>
      <c r="D763" t="s">
        <v>1214</v>
      </c>
      <c r="E763" t="s">
        <v>1220</v>
      </c>
      <c r="F763" t="s">
        <v>1237</v>
      </c>
      <c r="G763" s="6">
        <v>7</v>
      </c>
      <c r="H763">
        <v>1089</v>
      </c>
      <c r="I763">
        <v>7623</v>
      </c>
      <c r="J763" s="2">
        <v>713.65</v>
      </c>
      <c r="K763" s="16">
        <f>Table13[[#This Row],[Profit]]/Table13[[#This Row],[Sales]]</f>
        <v>9.3617998163452704E-2</v>
      </c>
      <c r="L763" s="17" t="str">
        <f t="shared" si="77"/>
        <v>Low</v>
      </c>
      <c r="M763" s="17" t="str">
        <f t="shared" si="78"/>
        <v>May</v>
      </c>
      <c r="N763" s="18">
        <f>YEAR(Table13[[#This Row],[Order_Date]])</f>
        <v>2023</v>
      </c>
      <c r="O763" s="18">
        <f>Table13[[#This Row],[Price]]*0.7</f>
        <v>762.3</v>
      </c>
      <c r="P763" s="18">
        <f t="shared" si="79"/>
        <v>2286.9000000000005</v>
      </c>
      <c r="Q763" s="18">
        <f t="shared" si="80"/>
        <v>0.1</v>
      </c>
      <c r="R763" s="18">
        <f t="shared" si="81"/>
        <v>6909.3499999999995</v>
      </c>
      <c r="S763" s="18" t="str">
        <f>IF(Table13[[#This Row],[Quantity]]&lt;=3,"Small",IF(Table13[[#This Row],[Quantity]]&lt;=6,"Medium","Bulk"))</f>
        <v>Bulk</v>
      </c>
      <c r="T763" s="18" t="str">
        <f t="shared" si="82"/>
        <v>Normal</v>
      </c>
      <c r="U763" s="18" t="str">
        <f t="shared" si="83"/>
        <v>low Value</v>
      </c>
    </row>
    <row r="764" spans="1:21" x14ac:dyDescent="0.3">
      <c r="A764" t="s">
        <v>772</v>
      </c>
      <c r="B764" s="1">
        <v>45220</v>
      </c>
      <c r="C764" t="s">
        <v>1212</v>
      </c>
      <c r="D764" t="s">
        <v>1215</v>
      </c>
      <c r="E764" t="s">
        <v>1219</v>
      </c>
      <c r="F764" t="s">
        <v>1233</v>
      </c>
      <c r="G764" s="6">
        <v>3</v>
      </c>
      <c r="H764">
        <v>3789</v>
      </c>
      <c r="I764">
        <v>11367</v>
      </c>
      <c r="J764" s="2">
        <v>1653.53</v>
      </c>
      <c r="K764" s="16">
        <f>Table13[[#This Row],[Profit]]/Table13[[#This Row],[Sales]]</f>
        <v>0.14546758159584763</v>
      </c>
      <c r="L764" s="17" t="str">
        <f t="shared" si="77"/>
        <v>Medium</v>
      </c>
      <c r="M764" s="17" t="str">
        <f t="shared" si="78"/>
        <v>Oct</v>
      </c>
      <c r="N764" s="18">
        <f>YEAR(Table13[[#This Row],[Order_Date]])</f>
        <v>2023</v>
      </c>
      <c r="O764" s="18">
        <f>Table13[[#This Row],[Price]]*0.7</f>
        <v>2652.2999999999997</v>
      </c>
      <c r="P764" s="18">
        <f t="shared" si="79"/>
        <v>3410.1000000000004</v>
      </c>
      <c r="Q764" s="18">
        <f t="shared" si="80"/>
        <v>0.05</v>
      </c>
      <c r="R764" s="18">
        <f t="shared" si="81"/>
        <v>9713.4700000000012</v>
      </c>
      <c r="S764" s="18" t="str">
        <f>IF(Table13[[#This Row],[Quantity]]&lt;=3,"Small",IF(Table13[[#This Row],[Quantity]]&lt;=6,"Medium","Bulk"))</f>
        <v>Small</v>
      </c>
      <c r="T764" s="18" t="str">
        <f t="shared" si="82"/>
        <v>High Demand</v>
      </c>
      <c r="U764" s="18" t="str">
        <f t="shared" si="83"/>
        <v>Medium Value</v>
      </c>
    </row>
    <row r="765" spans="1:21" x14ac:dyDescent="0.3">
      <c r="A765" t="s">
        <v>773</v>
      </c>
      <c r="B765" s="1">
        <v>45101</v>
      </c>
      <c r="C765" t="s">
        <v>1213</v>
      </c>
      <c r="D765" t="s">
        <v>1214</v>
      </c>
      <c r="E765" t="s">
        <v>1219</v>
      </c>
      <c r="F765" t="s">
        <v>1238</v>
      </c>
      <c r="G765" s="6">
        <v>8</v>
      </c>
      <c r="H765">
        <v>4286</v>
      </c>
      <c r="I765">
        <v>34288</v>
      </c>
      <c r="J765" s="2">
        <v>3874.81</v>
      </c>
      <c r="K765" s="16">
        <f>Table13[[#This Row],[Profit]]/Table13[[#This Row],[Sales]]</f>
        <v>0.11300775781614558</v>
      </c>
      <c r="L765" s="17" t="str">
        <f t="shared" si="77"/>
        <v>High</v>
      </c>
      <c r="M765" s="17" t="str">
        <f t="shared" si="78"/>
        <v>Jun</v>
      </c>
      <c r="N765" s="18">
        <f>YEAR(Table13[[#This Row],[Order_Date]])</f>
        <v>2023</v>
      </c>
      <c r="O765" s="18">
        <f>Table13[[#This Row],[Price]]*0.7</f>
        <v>3000.2</v>
      </c>
      <c r="P765" s="18">
        <f t="shared" si="79"/>
        <v>10286.400000000001</v>
      </c>
      <c r="Q765" s="18">
        <f t="shared" si="80"/>
        <v>0.1</v>
      </c>
      <c r="R765" s="18">
        <f t="shared" si="81"/>
        <v>30413.19</v>
      </c>
      <c r="S765" s="18" t="str">
        <f>IF(Table13[[#This Row],[Quantity]]&lt;=3,"Small",IF(Table13[[#This Row],[Quantity]]&lt;=6,"Medium","Bulk"))</f>
        <v>Bulk</v>
      </c>
      <c r="T765" s="18" t="str">
        <f t="shared" si="82"/>
        <v>Normal</v>
      </c>
      <c r="U765" s="18" t="str">
        <f t="shared" si="83"/>
        <v>High Value</v>
      </c>
    </row>
    <row r="766" spans="1:21" x14ac:dyDescent="0.3">
      <c r="A766" t="s">
        <v>774</v>
      </c>
      <c r="B766" s="1">
        <v>44935</v>
      </c>
      <c r="C766" t="s">
        <v>1213</v>
      </c>
      <c r="D766" t="s">
        <v>1215</v>
      </c>
      <c r="E766" t="s">
        <v>1222</v>
      </c>
      <c r="F766" t="s">
        <v>1227</v>
      </c>
      <c r="G766" s="6">
        <v>8</v>
      </c>
      <c r="H766">
        <v>3287</v>
      </c>
      <c r="I766">
        <v>26296</v>
      </c>
      <c r="J766" s="2">
        <v>4633.96</v>
      </c>
      <c r="K766" s="16">
        <f>Table13[[#This Row],[Profit]]/Table13[[#This Row],[Sales]]</f>
        <v>0.17622299969577121</v>
      </c>
      <c r="L766" s="17" t="str">
        <f t="shared" si="77"/>
        <v>High</v>
      </c>
      <c r="M766" s="17" t="str">
        <f t="shared" si="78"/>
        <v>Jan</v>
      </c>
      <c r="N766" s="18">
        <f>YEAR(Table13[[#This Row],[Order_Date]])</f>
        <v>2023</v>
      </c>
      <c r="O766" s="18">
        <f>Table13[[#This Row],[Price]]*0.7</f>
        <v>2300.8999999999996</v>
      </c>
      <c r="P766" s="18">
        <f t="shared" si="79"/>
        <v>7888.8000000000029</v>
      </c>
      <c r="Q766" s="18">
        <f t="shared" si="80"/>
        <v>0.1</v>
      </c>
      <c r="R766" s="18">
        <f t="shared" si="81"/>
        <v>21662.04</v>
      </c>
      <c r="S766" s="18" t="str">
        <f>IF(Table13[[#This Row],[Quantity]]&lt;=3,"Small",IF(Table13[[#This Row],[Quantity]]&lt;=6,"Medium","Bulk"))</f>
        <v>Bulk</v>
      </c>
      <c r="T766" s="18" t="str">
        <f t="shared" si="82"/>
        <v>Normal</v>
      </c>
      <c r="U766" s="18" t="str">
        <f t="shared" si="83"/>
        <v>High Value</v>
      </c>
    </row>
    <row r="767" spans="1:21" x14ac:dyDescent="0.3">
      <c r="A767" t="s">
        <v>775</v>
      </c>
      <c r="B767" s="1">
        <v>45152</v>
      </c>
      <c r="C767" t="s">
        <v>1212</v>
      </c>
      <c r="D767" t="s">
        <v>1218</v>
      </c>
      <c r="E767" t="s">
        <v>1222</v>
      </c>
      <c r="F767" t="s">
        <v>1234</v>
      </c>
      <c r="G767" s="6">
        <v>7</v>
      </c>
      <c r="H767">
        <v>2262</v>
      </c>
      <c r="I767">
        <v>15834</v>
      </c>
      <c r="J767" s="2">
        <v>3360.42</v>
      </c>
      <c r="K767" s="16">
        <f>Table13[[#This Row],[Profit]]/Table13[[#This Row],[Sales]]</f>
        <v>0.21222811671087533</v>
      </c>
      <c r="L767" s="17" t="str">
        <f t="shared" si="77"/>
        <v>Medium</v>
      </c>
      <c r="M767" s="17" t="str">
        <f t="shared" si="78"/>
        <v>Aug</v>
      </c>
      <c r="N767" s="18">
        <f>YEAR(Table13[[#This Row],[Order_Date]])</f>
        <v>2023</v>
      </c>
      <c r="O767" s="18">
        <f>Table13[[#This Row],[Price]]*0.7</f>
        <v>1583.3999999999999</v>
      </c>
      <c r="P767" s="18">
        <f t="shared" si="79"/>
        <v>4750.2000000000007</v>
      </c>
      <c r="Q767" s="18">
        <f t="shared" si="80"/>
        <v>0.1</v>
      </c>
      <c r="R767" s="18">
        <f t="shared" si="81"/>
        <v>12473.580000000002</v>
      </c>
      <c r="S767" s="18" t="str">
        <f>IF(Table13[[#This Row],[Quantity]]&lt;=3,"Small",IF(Table13[[#This Row],[Quantity]]&lt;=6,"Medium","Bulk"))</f>
        <v>Bulk</v>
      </c>
      <c r="T767" s="18" t="str">
        <f t="shared" si="82"/>
        <v>High Demand</v>
      </c>
      <c r="U767" s="18" t="str">
        <f t="shared" si="83"/>
        <v>Medium Value</v>
      </c>
    </row>
    <row r="768" spans="1:21" x14ac:dyDescent="0.3">
      <c r="A768" t="s">
        <v>776</v>
      </c>
      <c r="B768" s="1">
        <v>45036</v>
      </c>
      <c r="C768" t="s">
        <v>1213</v>
      </c>
      <c r="D768" t="s">
        <v>1218</v>
      </c>
      <c r="E768" t="s">
        <v>1222</v>
      </c>
      <c r="F768" t="s">
        <v>1236</v>
      </c>
      <c r="G768" s="6">
        <v>1</v>
      </c>
      <c r="H768">
        <v>2513</v>
      </c>
      <c r="I768">
        <v>2513</v>
      </c>
      <c r="J768" s="2">
        <v>605.16999999999996</v>
      </c>
      <c r="K768" s="16">
        <f>Table13[[#This Row],[Profit]]/Table13[[#This Row],[Sales]]</f>
        <v>0.24081575805809788</v>
      </c>
      <c r="L768" s="17" t="str">
        <f t="shared" si="77"/>
        <v>Low</v>
      </c>
      <c r="M768" s="17" t="str">
        <f t="shared" si="78"/>
        <v>Apr</v>
      </c>
      <c r="N768" s="18">
        <f>YEAR(Table13[[#This Row],[Order_Date]])</f>
        <v>2023</v>
      </c>
      <c r="O768" s="18">
        <f>Table13[[#This Row],[Price]]*0.7</f>
        <v>1759.1</v>
      </c>
      <c r="P768" s="18">
        <f t="shared" si="79"/>
        <v>753.90000000000009</v>
      </c>
      <c r="Q768" s="18">
        <f t="shared" si="80"/>
        <v>0.05</v>
      </c>
      <c r="R768" s="18">
        <f t="shared" si="81"/>
        <v>1907.8300000000002</v>
      </c>
      <c r="S768" s="18" t="str">
        <f>IF(Table13[[#This Row],[Quantity]]&lt;=3,"Small",IF(Table13[[#This Row],[Quantity]]&lt;=6,"Medium","Bulk"))</f>
        <v>Small</v>
      </c>
      <c r="T768" s="18" t="str">
        <f t="shared" si="82"/>
        <v>Normal</v>
      </c>
      <c r="U768" s="18" t="str">
        <f t="shared" si="83"/>
        <v>low Value</v>
      </c>
    </row>
    <row r="769" spans="1:21" x14ac:dyDescent="0.3">
      <c r="A769" t="s">
        <v>777</v>
      </c>
      <c r="B769" s="1">
        <v>45260</v>
      </c>
      <c r="C769" t="s">
        <v>1212</v>
      </c>
      <c r="D769" t="s">
        <v>1216</v>
      </c>
      <c r="E769" t="s">
        <v>1222</v>
      </c>
      <c r="F769" t="s">
        <v>1230</v>
      </c>
      <c r="G769" s="6">
        <v>9</v>
      </c>
      <c r="H769">
        <v>3736</v>
      </c>
      <c r="I769">
        <v>33624</v>
      </c>
      <c r="J769" s="2">
        <v>7242.69</v>
      </c>
      <c r="K769" s="16">
        <f>Table13[[#This Row],[Profit]]/Table13[[#This Row],[Sales]]</f>
        <v>0.21540239114917914</v>
      </c>
      <c r="L769" s="17" t="str">
        <f t="shared" si="77"/>
        <v>High</v>
      </c>
      <c r="M769" s="17" t="str">
        <f t="shared" si="78"/>
        <v>Nov</v>
      </c>
      <c r="N769" s="18">
        <f>YEAR(Table13[[#This Row],[Order_Date]])</f>
        <v>2023</v>
      </c>
      <c r="O769" s="18">
        <f>Table13[[#This Row],[Price]]*0.7</f>
        <v>2615.1999999999998</v>
      </c>
      <c r="P769" s="18">
        <f t="shared" si="79"/>
        <v>10087.200000000001</v>
      </c>
      <c r="Q769" s="18">
        <f t="shared" si="80"/>
        <v>0.1</v>
      </c>
      <c r="R769" s="18">
        <f t="shared" si="81"/>
        <v>26381.31</v>
      </c>
      <c r="S769" s="18" t="str">
        <f>IF(Table13[[#This Row],[Quantity]]&lt;=3,"Small",IF(Table13[[#This Row],[Quantity]]&lt;=6,"Medium","Bulk"))</f>
        <v>Bulk</v>
      </c>
      <c r="T769" s="18" t="str">
        <f t="shared" si="82"/>
        <v>High Demand</v>
      </c>
      <c r="U769" s="18" t="str">
        <f t="shared" si="83"/>
        <v>High Value</v>
      </c>
    </row>
    <row r="770" spans="1:21" x14ac:dyDescent="0.3">
      <c r="A770" t="s">
        <v>778</v>
      </c>
      <c r="B770" s="1">
        <v>45116</v>
      </c>
      <c r="C770" t="s">
        <v>1212</v>
      </c>
      <c r="D770" t="s">
        <v>1214</v>
      </c>
      <c r="E770" t="s">
        <v>1222</v>
      </c>
      <c r="F770" t="s">
        <v>1227</v>
      </c>
      <c r="G770" s="6">
        <v>6</v>
      </c>
      <c r="H770">
        <v>1650</v>
      </c>
      <c r="I770">
        <v>9900</v>
      </c>
      <c r="J770" s="2">
        <v>871.06</v>
      </c>
      <c r="K770" s="16">
        <f>Table13[[#This Row],[Profit]]/Table13[[#This Row],[Sales]]</f>
        <v>8.7985858585858584E-2</v>
      </c>
      <c r="L770" s="17" t="str">
        <f t="shared" ref="L770:L833" si="84">IF(I770&gt;20000,"High",IF(I770&gt;10000,"Medium","Low"))</f>
        <v>Low</v>
      </c>
      <c r="M770" s="17" t="str">
        <f t="shared" ref="M770:M833" si="85">TEXT(B770,"mmm")</f>
        <v>Jul</v>
      </c>
      <c r="N770" s="18">
        <f>YEAR(Table13[[#This Row],[Order_Date]])</f>
        <v>2023</v>
      </c>
      <c r="O770" s="18">
        <f>Table13[[#This Row],[Price]]*0.7</f>
        <v>1155</v>
      </c>
      <c r="P770" s="18">
        <f t="shared" ref="P770:P833" si="86">I770 - (G770 *O770)</f>
        <v>2970</v>
      </c>
      <c r="Q770" s="18">
        <f t="shared" ref="Q770:Q833" si="87">IF(G770&gt;5,0.1,0.05)</f>
        <v>0.1</v>
      </c>
      <c r="R770" s="18">
        <f t="shared" ref="R770:R833" si="88">I770*(1-K770)</f>
        <v>9028.94</v>
      </c>
      <c r="S770" s="18" t="str">
        <f>IF(Table13[[#This Row],[Quantity]]&lt;=3,"Small",IF(Table13[[#This Row],[Quantity]]&lt;=6,"Medium","Bulk"))</f>
        <v>Medium</v>
      </c>
      <c r="T770" s="18" t="str">
        <f t="shared" ref="T770:T833" si="89">IF(C770="North","High Demand","Normal")</f>
        <v>High Demand</v>
      </c>
      <c r="U770" s="18" t="str">
        <f t="shared" ref="U770:U833" si="90">IF(I770&gt;20000,"High Value",IF(I770&gt;10000,"Medium Value","low Value"))</f>
        <v>low Value</v>
      </c>
    </row>
    <row r="771" spans="1:21" x14ac:dyDescent="0.3">
      <c r="A771" t="s">
        <v>779</v>
      </c>
      <c r="B771" s="1">
        <v>45018</v>
      </c>
      <c r="C771" t="s">
        <v>1210</v>
      </c>
      <c r="D771" t="s">
        <v>1214</v>
      </c>
      <c r="E771" t="s">
        <v>1220</v>
      </c>
      <c r="F771" t="s">
        <v>1224</v>
      </c>
      <c r="G771" s="6">
        <v>2</v>
      </c>
      <c r="H771">
        <v>3715</v>
      </c>
      <c r="I771">
        <v>7430</v>
      </c>
      <c r="J771" s="2">
        <v>808.97</v>
      </c>
      <c r="K771" s="16">
        <f>Table13[[#This Row],[Profit]]/Table13[[#This Row],[Sales]]</f>
        <v>0.10887886944818305</v>
      </c>
      <c r="L771" s="17" t="str">
        <f t="shared" si="84"/>
        <v>Low</v>
      </c>
      <c r="M771" s="17" t="str">
        <f t="shared" si="85"/>
        <v>Apr</v>
      </c>
      <c r="N771" s="18">
        <f>YEAR(Table13[[#This Row],[Order_Date]])</f>
        <v>2023</v>
      </c>
      <c r="O771" s="18">
        <f>Table13[[#This Row],[Price]]*0.7</f>
        <v>2600.5</v>
      </c>
      <c r="P771" s="18">
        <f t="shared" si="86"/>
        <v>2229</v>
      </c>
      <c r="Q771" s="18">
        <f t="shared" si="87"/>
        <v>0.05</v>
      </c>
      <c r="R771" s="18">
        <f t="shared" si="88"/>
        <v>6621.03</v>
      </c>
      <c r="S771" s="18" t="str">
        <f>IF(Table13[[#This Row],[Quantity]]&lt;=3,"Small",IF(Table13[[#This Row],[Quantity]]&lt;=6,"Medium","Bulk"))</f>
        <v>Small</v>
      </c>
      <c r="T771" s="18" t="str">
        <f t="shared" si="89"/>
        <v>Normal</v>
      </c>
      <c r="U771" s="18" t="str">
        <f t="shared" si="90"/>
        <v>low Value</v>
      </c>
    </row>
    <row r="772" spans="1:21" x14ac:dyDescent="0.3">
      <c r="A772" t="s">
        <v>780</v>
      </c>
      <c r="B772" s="1">
        <v>44994</v>
      </c>
      <c r="C772" t="s">
        <v>1211</v>
      </c>
      <c r="D772" t="s">
        <v>1218</v>
      </c>
      <c r="E772" t="s">
        <v>1221</v>
      </c>
      <c r="F772" t="s">
        <v>1235</v>
      </c>
      <c r="G772" s="6">
        <v>9</v>
      </c>
      <c r="H772">
        <v>4763</v>
      </c>
      <c r="I772">
        <v>42867</v>
      </c>
      <c r="J772" s="2">
        <v>7653.27</v>
      </c>
      <c r="K772" s="16">
        <f>Table13[[#This Row],[Profit]]/Table13[[#This Row],[Sales]]</f>
        <v>0.17853523689551404</v>
      </c>
      <c r="L772" s="17" t="str">
        <f t="shared" si="84"/>
        <v>High</v>
      </c>
      <c r="M772" s="17" t="str">
        <f t="shared" si="85"/>
        <v>Mar</v>
      </c>
      <c r="N772" s="18">
        <f>YEAR(Table13[[#This Row],[Order_Date]])</f>
        <v>2023</v>
      </c>
      <c r="O772" s="18">
        <f>Table13[[#This Row],[Price]]*0.7</f>
        <v>3334.1</v>
      </c>
      <c r="P772" s="18">
        <f t="shared" si="86"/>
        <v>12860.100000000002</v>
      </c>
      <c r="Q772" s="18">
        <f t="shared" si="87"/>
        <v>0.1</v>
      </c>
      <c r="R772" s="18">
        <f t="shared" si="88"/>
        <v>35213.730000000003</v>
      </c>
      <c r="S772" s="18" t="str">
        <f>IF(Table13[[#This Row],[Quantity]]&lt;=3,"Small",IF(Table13[[#This Row],[Quantity]]&lt;=6,"Medium","Bulk"))</f>
        <v>Bulk</v>
      </c>
      <c r="T772" s="18" t="str">
        <f t="shared" si="89"/>
        <v>Normal</v>
      </c>
      <c r="U772" s="18" t="str">
        <f t="shared" si="90"/>
        <v>High Value</v>
      </c>
    </row>
    <row r="773" spans="1:21" x14ac:dyDescent="0.3">
      <c r="A773" t="s">
        <v>781</v>
      </c>
      <c r="B773" s="1">
        <v>45206</v>
      </c>
      <c r="C773" t="s">
        <v>1213</v>
      </c>
      <c r="D773" t="s">
        <v>1215</v>
      </c>
      <c r="E773" t="s">
        <v>1220</v>
      </c>
      <c r="F773" t="s">
        <v>1224</v>
      </c>
      <c r="G773" s="6">
        <v>3</v>
      </c>
      <c r="H773">
        <v>3169</v>
      </c>
      <c r="I773">
        <v>9507</v>
      </c>
      <c r="J773" s="2">
        <v>1729.24</v>
      </c>
      <c r="K773" s="16">
        <f>Table13[[#This Row],[Profit]]/Table13[[#This Row],[Sales]]</f>
        <v>0.18189123803513202</v>
      </c>
      <c r="L773" s="17" t="str">
        <f t="shared" si="84"/>
        <v>Low</v>
      </c>
      <c r="M773" s="17" t="str">
        <f t="shared" si="85"/>
        <v>Oct</v>
      </c>
      <c r="N773" s="18">
        <f>YEAR(Table13[[#This Row],[Order_Date]])</f>
        <v>2023</v>
      </c>
      <c r="O773" s="18">
        <f>Table13[[#This Row],[Price]]*0.7</f>
        <v>2218.2999999999997</v>
      </c>
      <c r="P773" s="18">
        <f t="shared" si="86"/>
        <v>2852.1000000000004</v>
      </c>
      <c r="Q773" s="18">
        <f t="shared" si="87"/>
        <v>0.05</v>
      </c>
      <c r="R773" s="18">
        <f t="shared" si="88"/>
        <v>7777.7599999999993</v>
      </c>
      <c r="S773" s="18" t="str">
        <f>IF(Table13[[#This Row],[Quantity]]&lt;=3,"Small",IF(Table13[[#This Row],[Quantity]]&lt;=6,"Medium","Bulk"))</f>
        <v>Small</v>
      </c>
      <c r="T773" s="18" t="str">
        <f t="shared" si="89"/>
        <v>Normal</v>
      </c>
      <c r="U773" s="18" t="str">
        <f t="shared" si="90"/>
        <v>low Value</v>
      </c>
    </row>
    <row r="774" spans="1:21" x14ac:dyDescent="0.3">
      <c r="A774" t="s">
        <v>782</v>
      </c>
      <c r="B774" s="1">
        <v>45264</v>
      </c>
      <c r="C774" t="s">
        <v>1211</v>
      </c>
      <c r="D774" t="s">
        <v>1217</v>
      </c>
      <c r="E774" t="s">
        <v>1222</v>
      </c>
      <c r="F774" t="s">
        <v>1234</v>
      </c>
      <c r="G774" s="6">
        <v>9</v>
      </c>
      <c r="H774">
        <v>4443</v>
      </c>
      <c r="I774">
        <v>39987</v>
      </c>
      <c r="J774" s="2">
        <v>4415.9799999999996</v>
      </c>
      <c r="K774" s="16">
        <f>Table13[[#This Row],[Profit]]/Table13[[#This Row],[Sales]]</f>
        <v>0.11043539150223822</v>
      </c>
      <c r="L774" s="17" t="str">
        <f t="shared" si="84"/>
        <v>High</v>
      </c>
      <c r="M774" s="17" t="str">
        <f t="shared" si="85"/>
        <v>Dec</v>
      </c>
      <c r="N774" s="18">
        <f>YEAR(Table13[[#This Row],[Order_Date]])</f>
        <v>2023</v>
      </c>
      <c r="O774" s="18">
        <f>Table13[[#This Row],[Price]]*0.7</f>
        <v>3110.1</v>
      </c>
      <c r="P774" s="18">
        <f t="shared" si="86"/>
        <v>11996.100000000002</v>
      </c>
      <c r="Q774" s="18">
        <f t="shared" si="87"/>
        <v>0.1</v>
      </c>
      <c r="R774" s="18">
        <f t="shared" si="88"/>
        <v>35571.019999999997</v>
      </c>
      <c r="S774" s="18" t="str">
        <f>IF(Table13[[#This Row],[Quantity]]&lt;=3,"Small",IF(Table13[[#This Row],[Quantity]]&lt;=6,"Medium","Bulk"))</f>
        <v>Bulk</v>
      </c>
      <c r="T774" s="18" t="str">
        <f t="shared" si="89"/>
        <v>Normal</v>
      </c>
      <c r="U774" s="18" t="str">
        <f t="shared" si="90"/>
        <v>High Value</v>
      </c>
    </row>
    <row r="775" spans="1:21" x14ac:dyDescent="0.3">
      <c r="A775" t="s">
        <v>783</v>
      </c>
      <c r="B775" s="1">
        <v>45040</v>
      </c>
      <c r="C775" t="s">
        <v>1210</v>
      </c>
      <c r="D775" t="s">
        <v>1218</v>
      </c>
      <c r="E775" t="s">
        <v>1219</v>
      </c>
      <c r="F775" t="s">
        <v>1232</v>
      </c>
      <c r="G775" s="6">
        <v>2</v>
      </c>
      <c r="H775">
        <v>4470</v>
      </c>
      <c r="I775">
        <v>8940</v>
      </c>
      <c r="J775" s="2">
        <v>2117.12</v>
      </c>
      <c r="K775" s="16">
        <f>Table13[[#This Row],[Profit]]/Table13[[#This Row],[Sales]]</f>
        <v>0.23681431767337807</v>
      </c>
      <c r="L775" s="17" t="str">
        <f t="shared" si="84"/>
        <v>Low</v>
      </c>
      <c r="M775" s="17" t="str">
        <f t="shared" si="85"/>
        <v>Apr</v>
      </c>
      <c r="N775" s="18">
        <f>YEAR(Table13[[#This Row],[Order_Date]])</f>
        <v>2023</v>
      </c>
      <c r="O775" s="18">
        <f>Table13[[#This Row],[Price]]*0.7</f>
        <v>3129</v>
      </c>
      <c r="P775" s="18">
        <f t="shared" si="86"/>
        <v>2682</v>
      </c>
      <c r="Q775" s="18">
        <f t="shared" si="87"/>
        <v>0.05</v>
      </c>
      <c r="R775" s="18">
        <f t="shared" si="88"/>
        <v>6822.8799999999992</v>
      </c>
      <c r="S775" s="18" t="str">
        <f>IF(Table13[[#This Row],[Quantity]]&lt;=3,"Small",IF(Table13[[#This Row],[Quantity]]&lt;=6,"Medium","Bulk"))</f>
        <v>Small</v>
      </c>
      <c r="T775" s="18" t="str">
        <f t="shared" si="89"/>
        <v>Normal</v>
      </c>
      <c r="U775" s="18" t="str">
        <f t="shared" si="90"/>
        <v>low Value</v>
      </c>
    </row>
    <row r="776" spans="1:21" x14ac:dyDescent="0.3">
      <c r="A776" t="s">
        <v>784</v>
      </c>
      <c r="B776" s="1">
        <v>44952</v>
      </c>
      <c r="C776" t="s">
        <v>1211</v>
      </c>
      <c r="D776" t="s">
        <v>1215</v>
      </c>
      <c r="E776" t="s">
        <v>1219</v>
      </c>
      <c r="F776" t="s">
        <v>1238</v>
      </c>
      <c r="G776" s="6">
        <v>3</v>
      </c>
      <c r="H776">
        <v>4330</v>
      </c>
      <c r="I776">
        <v>12990</v>
      </c>
      <c r="J776" s="2">
        <v>1756.73</v>
      </c>
      <c r="K776" s="16">
        <f>Table13[[#This Row],[Profit]]/Table13[[#This Row],[Sales]]</f>
        <v>0.13523710546574289</v>
      </c>
      <c r="L776" s="17" t="str">
        <f t="shared" si="84"/>
        <v>Medium</v>
      </c>
      <c r="M776" s="17" t="str">
        <f t="shared" si="85"/>
        <v>Jan</v>
      </c>
      <c r="N776" s="18">
        <f>YEAR(Table13[[#This Row],[Order_Date]])</f>
        <v>2023</v>
      </c>
      <c r="O776" s="18">
        <f>Table13[[#This Row],[Price]]*0.7</f>
        <v>3031</v>
      </c>
      <c r="P776" s="18">
        <f t="shared" si="86"/>
        <v>3897</v>
      </c>
      <c r="Q776" s="18">
        <f t="shared" si="87"/>
        <v>0.05</v>
      </c>
      <c r="R776" s="18">
        <f t="shared" si="88"/>
        <v>11233.27</v>
      </c>
      <c r="S776" s="18" t="str">
        <f>IF(Table13[[#This Row],[Quantity]]&lt;=3,"Small",IF(Table13[[#This Row],[Quantity]]&lt;=6,"Medium","Bulk"))</f>
        <v>Small</v>
      </c>
      <c r="T776" s="18" t="str">
        <f t="shared" si="89"/>
        <v>Normal</v>
      </c>
      <c r="U776" s="18" t="str">
        <f t="shared" si="90"/>
        <v>Medium Value</v>
      </c>
    </row>
    <row r="777" spans="1:21" x14ac:dyDescent="0.3">
      <c r="A777" t="s">
        <v>785</v>
      </c>
      <c r="B777" s="1">
        <v>45140</v>
      </c>
      <c r="C777" t="s">
        <v>1210</v>
      </c>
      <c r="D777" t="s">
        <v>1214</v>
      </c>
      <c r="E777" t="s">
        <v>1221</v>
      </c>
      <c r="F777" t="s">
        <v>1226</v>
      </c>
      <c r="G777" s="6">
        <v>9</v>
      </c>
      <c r="H777">
        <v>4858</v>
      </c>
      <c r="I777">
        <v>43722</v>
      </c>
      <c r="J777" s="2">
        <v>8995.6299999999992</v>
      </c>
      <c r="K777" s="16">
        <f>Table13[[#This Row],[Profit]]/Table13[[#This Row],[Sales]]</f>
        <v>0.20574607748959331</v>
      </c>
      <c r="L777" s="17" t="str">
        <f t="shared" si="84"/>
        <v>High</v>
      </c>
      <c r="M777" s="17" t="str">
        <f t="shared" si="85"/>
        <v>Aug</v>
      </c>
      <c r="N777" s="18">
        <f>YEAR(Table13[[#This Row],[Order_Date]])</f>
        <v>2023</v>
      </c>
      <c r="O777" s="18">
        <f>Table13[[#This Row],[Price]]*0.7</f>
        <v>3400.6</v>
      </c>
      <c r="P777" s="18">
        <f t="shared" si="86"/>
        <v>13116.600000000002</v>
      </c>
      <c r="Q777" s="18">
        <f t="shared" si="87"/>
        <v>0.1</v>
      </c>
      <c r="R777" s="18">
        <f t="shared" si="88"/>
        <v>34726.370000000003</v>
      </c>
      <c r="S777" s="18" t="str">
        <f>IF(Table13[[#This Row],[Quantity]]&lt;=3,"Small",IF(Table13[[#This Row],[Quantity]]&lt;=6,"Medium","Bulk"))</f>
        <v>Bulk</v>
      </c>
      <c r="T777" s="18" t="str">
        <f t="shared" si="89"/>
        <v>Normal</v>
      </c>
      <c r="U777" s="18" t="str">
        <f t="shared" si="90"/>
        <v>High Value</v>
      </c>
    </row>
    <row r="778" spans="1:21" x14ac:dyDescent="0.3">
      <c r="A778" t="s">
        <v>786</v>
      </c>
      <c r="B778" s="1">
        <v>45113</v>
      </c>
      <c r="C778" t="s">
        <v>1212</v>
      </c>
      <c r="D778" t="s">
        <v>1214</v>
      </c>
      <c r="E778" t="s">
        <v>1220</v>
      </c>
      <c r="F778" t="s">
        <v>1224</v>
      </c>
      <c r="G778" s="6">
        <v>7</v>
      </c>
      <c r="H778">
        <v>4003</v>
      </c>
      <c r="I778">
        <v>28021</v>
      </c>
      <c r="J778" s="2">
        <v>4242.43</v>
      </c>
      <c r="K778" s="16">
        <f>Table13[[#This Row],[Profit]]/Table13[[#This Row],[Sales]]</f>
        <v>0.15140180578851575</v>
      </c>
      <c r="L778" s="17" t="str">
        <f t="shared" si="84"/>
        <v>High</v>
      </c>
      <c r="M778" s="17" t="str">
        <f t="shared" si="85"/>
        <v>Jul</v>
      </c>
      <c r="N778" s="18">
        <f>YEAR(Table13[[#This Row],[Order_Date]])</f>
        <v>2023</v>
      </c>
      <c r="O778" s="18">
        <f>Table13[[#This Row],[Price]]*0.7</f>
        <v>2802.1</v>
      </c>
      <c r="P778" s="18">
        <f t="shared" si="86"/>
        <v>8406.2999999999993</v>
      </c>
      <c r="Q778" s="18">
        <f t="shared" si="87"/>
        <v>0.1</v>
      </c>
      <c r="R778" s="18">
        <f t="shared" si="88"/>
        <v>23778.57</v>
      </c>
      <c r="S778" s="18" t="str">
        <f>IF(Table13[[#This Row],[Quantity]]&lt;=3,"Small",IF(Table13[[#This Row],[Quantity]]&lt;=6,"Medium","Bulk"))</f>
        <v>Bulk</v>
      </c>
      <c r="T778" s="18" t="str">
        <f t="shared" si="89"/>
        <v>High Demand</v>
      </c>
      <c r="U778" s="18" t="str">
        <f t="shared" si="90"/>
        <v>High Value</v>
      </c>
    </row>
    <row r="779" spans="1:21" x14ac:dyDescent="0.3">
      <c r="A779" t="s">
        <v>787</v>
      </c>
      <c r="B779" s="1">
        <v>44963</v>
      </c>
      <c r="C779" t="s">
        <v>1211</v>
      </c>
      <c r="D779" t="s">
        <v>1214</v>
      </c>
      <c r="E779" t="s">
        <v>1221</v>
      </c>
      <c r="F779" t="s">
        <v>1235</v>
      </c>
      <c r="G779" s="6">
        <v>4</v>
      </c>
      <c r="H779">
        <v>2500</v>
      </c>
      <c r="I779">
        <v>10000</v>
      </c>
      <c r="J779" s="2">
        <v>1108.08</v>
      </c>
      <c r="K779" s="16">
        <f>Table13[[#This Row],[Profit]]/Table13[[#This Row],[Sales]]</f>
        <v>0.11080799999999999</v>
      </c>
      <c r="L779" s="17" t="str">
        <f t="shared" si="84"/>
        <v>Low</v>
      </c>
      <c r="M779" s="17" t="str">
        <f t="shared" si="85"/>
        <v>Feb</v>
      </c>
      <c r="N779" s="18">
        <f>YEAR(Table13[[#This Row],[Order_Date]])</f>
        <v>2023</v>
      </c>
      <c r="O779" s="18">
        <f>Table13[[#This Row],[Price]]*0.7</f>
        <v>1750</v>
      </c>
      <c r="P779" s="18">
        <f t="shared" si="86"/>
        <v>3000</v>
      </c>
      <c r="Q779" s="18">
        <f t="shared" si="87"/>
        <v>0.05</v>
      </c>
      <c r="R779" s="18">
        <f t="shared" si="88"/>
        <v>8891.92</v>
      </c>
      <c r="S779" s="18" t="str">
        <f>IF(Table13[[#This Row],[Quantity]]&lt;=3,"Small",IF(Table13[[#This Row],[Quantity]]&lt;=6,"Medium","Bulk"))</f>
        <v>Medium</v>
      </c>
      <c r="T779" s="18" t="str">
        <f t="shared" si="89"/>
        <v>Normal</v>
      </c>
      <c r="U779" s="18" t="str">
        <f t="shared" si="90"/>
        <v>low Value</v>
      </c>
    </row>
    <row r="780" spans="1:21" x14ac:dyDescent="0.3">
      <c r="A780" t="s">
        <v>788</v>
      </c>
      <c r="B780" s="1">
        <v>45259</v>
      </c>
      <c r="C780" t="s">
        <v>1211</v>
      </c>
      <c r="D780" t="s">
        <v>1216</v>
      </c>
      <c r="E780" t="s">
        <v>1220</v>
      </c>
      <c r="F780" t="s">
        <v>1237</v>
      </c>
      <c r="G780" s="6">
        <v>3</v>
      </c>
      <c r="H780">
        <v>1391</v>
      </c>
      <c r="I780">
        <v>4173</v>
      </c>
      <c r="J780" s="2">
        <v>723.01</v>
      </c>
      <c r="K780" s="16">
        <f>Table13[[#This Row],[Profit]]/Table13[[#This Row],[Sales]]</f>
        <v>0.17325904624970045</v>
      </c>
      <c r="L780" s="17" t="str">
        <f t="shared" si="84"/>
        <v>Low</v>
      </c>
      <c r="M780" s="17" t="str">
        <f t="shared" si="85"/>
        <v>Nov</v>
      </c>
      <c r="N780" s="18">
        <f>YEAR(Table13[[#This Row],[Order_Date]])</f>
        <v>2023</v>
      </c>
      <c r="O780" s="18">
        <f>Table13[[#This Row],[Price]]*0.7</f>
        <v>973.69999999999993</v>
      </c>
      <c r="P780" s="18">
        <f t="shared" si="86"/>
        <v>1251.9000000000001</v>
      </c>
      <c r="Q780" s="18">
        <f t="shared" si="87"/>
        <v>0.05</v>
      </c>
      <c r="R780" s="18">
        <f t="shared" si="88"/>
        <v>3449.99</v>
      </c>
      <c r="S780" s="18" t="str">
        <f>IF(Table13[[#This Row],[Quantity]]&lt;=3,"Small",IF(Table13[[#This Row],[Quantity]]&lt;=6,"Medium","Bulk"))</f>
        <v>Small</v>
      </c>
      <c r="T780" s="18" t="str">
        <f t="shared" si="89"/>
        <v>Normal</v>
      </c>
      <c r="U780" s="18" t="str">
        <f t="shared" si="90"/>
        <v>low Value</v>
      </c>
    </row>
    <row r="781" spans="1:21" x14ac:dyDescent="0.3">
      <c r="A781" t="s">
        <v>789</v>
      </c>
      <c r="B781" s="1">
        <v>45254</v>
      </c>
      <c r="C781" t="s">
        <v>1213</v>
      </c>
      <c r="D781" t="s">
        <v>1215</v>
      </c>
      <c r="E781" t="s">
        <v>1220</v>
      </c>
      <c r="F781" t="s">
        <v>1225</v>
      </c>
      <c r="G781" s="6">
        <v>3</v>
      </c>
      <c r="H781">
        <v>4739</v>
      </c>
      <c r="I781">
        <v>14217</v>
      </c>
      <c r="J781" s="2">
        <v>3539.95</v>
      </c>
      <c r="K781" s="16">
        <f>Table13[[#This Row],[Profit]]/Table13[[#This Row],[Sales]]</f>
        <v>0.24899416191882956</v>
      </c>
      <c r="L781" s="17" t="str">
        <f t="shared" si="84"/>
        <v>Medium</v>
      </c>
      <c r="M781" s="17" t="str">
        <f t="shared" si="85"/>
        <v>Nov</v>
      </c>
      <c r="N781" s="18">
        <f>YEAR(Table13[[#This Row],[Order_Date]])</f>
        <v>2023</v>
      </c>
      <c r="O781" s="18">
        <f>Table13[[#This Row],[Price]]*0.7</f>
        <v>3317.2999999999997</v>
      </c>
      <c r="P781" s="18">
        <f t="shared" si="86"/>
        <v>4265.1000000000004</v>
      </c>
      <c r="Q781" s="18">
        <f t="shared" si="87"/>
        <v>0.05</v>
      </c>
      <c r="R781" s="18">
        <f t="shared" si="88"/>
        <v>10677.05</v>
      </c>
      <c r="S781" s="18" t="str">
        <f>IF(Table13[[#This Row],[Quantity]]&lt;=3,"Small",IF(Table13[[#This Row],[Quantity]]&lt;=6,"Medium","Bulk"))</f>
        <v>Small</v>
      </c>
      <c r="T781" s="18" t="str">
        <f t="shared" si="89"/>
        <v>Normal</v>
      </c>
      <c r="U781" s="18" t="str">
        <f t="shared" si="90"/>
        <v>Medium Value</v>
      </c>
    </row>
    <row r="782" spans="1:21" x14ac:dyDescent="0.3">
      <c r="A782" t="s">
        <v>790</v>
      </c>
      <c r="B782" s="1">
        <v>45077</v>
      </c>
      <c r="C782" t="s">
        <v>1210</v>
      </c>
      <c r="D782" t="s">
        <v>1214</v>
      </c>
      <c r="E782" t="s">
        <v>1220</v>
      </c>
      <c r="F782" t="s">
        <v>1224</v>
      </c>
      <c r="G782" s="6">
        <v>5</v>
      </c>
      <c r="H782">
        <v>3760</v>
      </c>
      <c r="I782">
        <v>18800</v>
      </c>
      <c r="J782" s="2">
        <v>2169.7800000000002</v>
      </c>
      <c r="K782" s="16">
        <f>Table13[[#This Row],[Profit]]/Table13[[#This Row],[Sales]]</f>
        <v>0.11541382978723405</v>
      </c>
      <c r="L782" s="17" t="str">
        <f t="shared" si="84"/>
        <v>Medium</v>
      </c>
      <c r="M782" s="17" t="str">
        <f t="shared" si="85"/>
        <v>May</v>
      </c>
      <c r="N782" s="18">
        <f>YEAR(Table13[[#This Row],[Order_Date]])</f>
        <v>2023</v>
      </c>
      <c r="O782" s="18">
        <f>Table13[[#This Row],[Price]]*0.7</f>
        <v>2632</v>
      </c>
      <c r="P782" s="18">
        <f t="shared" si="86"/>
        <v>5640</v>
      </c>
      <c r="Q782" s="18">
        <f t="shared" si="87"/>
        <v>0.05</v>
      </c>
      <c r="R782" s="18">
        <f t="shared" si="88"/>
        <v>16630.22</v>
      </c>
      <c r="S782" s="18" t="str">
        <f>IF(Table13[[#This Row],[Quantity]]&lt;=3,"Small",IF(Table13[[#This Row],[Quantity]]&lt;=6,"Medium","Bulk"))</f>
        <v>Medium</v>
      </c>
      <c r="T782" s="18" t="str">
        <f t="shared" si="89"/>
        <v>Normal</v>
      </c>
      <c r="U782" s="18" t="str">
        <f t="shared" si="90"/>
        <v>Medium Value</v>
      </c>
    </row>
    <row r="783" spans="1:21" x14ac:dyDescent="0.3">
      <c r="A783" t="s">
        <v>791</v>
      </c>
      <c r="B783" s="1">
        <v>45239</v>
      </c>
      <c r="C783" t="s">
        <v>1210</v>
      </c>
      <c r="D783" t="s">
        <v>1214</v>
      </c>
      <c r="E783" t="s">
        <v>1219</v>
      </c>
      <c r="F783" t="s">
        <v>1238</v>
      </c>
      <c r="G783" s="6">
        <v>2</v>
      </c>
      <c r="H783">
        <v>3734</v>
      </c>
      <c r="I783">
        <v>7468</v>
      </c>
      <c r="J783" s="2">
        <v>802.42</v>
      </c>
      <c r="K783" s="16">
        <f>Table13[[#This Row],[Profit]]/Table13[[#This Row],[Sales]]</f>
        <v>0.10744777718264595</v>
      </c>
      <c r="L783" s="17" t="str">
        <f t="shared" si="84"/>
        <v>Low</v>
      </c>
      <c r="M783" s="17" t="str">
        <f t="shared" si="85"/>
        <v>Nov</v>
      </c>
      <c r="N783" s="18">
        <f>YEAR(Table13[[#This Row],[Order_Date]])</f>
        <v>2023</v>
      </c>
      <c r="O783" s="18">
        <f>Table13[[#This Row],[Price]]*0.7</f>
        <v>2613.7999999999997</v>
      </c>
      <c r="P783" s="18">
        <f t="shared" si="86"/>
        <v>2240.4000000000005</v>
      </c>
      <c r="Q783" s="18">
        <f t="shared" si="87"/>
        <v>0.05</v>
      </c>
      <c r="R783" s="18">
        <f t="shared" si="88"/>
        <v>6665.58</v>
      </c>
      <c r="S783" s="18" t="str">
        <f>IF(Table13[[#This Row],[Quantity]]&lt;=3,"Small",IF(Table13[[#This Row],[Quantity]]&lt;=6,"Medium","Bulk"))</f>
        <v>Small</v>
      </c>
      <c r="T783" s="18" t="str">
        <f t="shared" si="89"/>
        <v>Normal</v>
      </c>
      <c r="U783" s="18" t="str">
        <f t="shared" si="90"/>
        <v>low Value</v>
      </c>
    </row>
    <row r="784" spans="1:21" x14ac:dyDescent="0.3">
      <c r="A784" t="s">
        <v>792</v>
      </c>
      <c r="B784" s="1">
        <v>45094</v>
      </c>
      <c r="C784" t="s">
        <v>1210</v>
      </c>
      <c r="D784" t="s">
        <v>1217</v>
      </c>
      <c r="E784" t="s">
        <v>1222</v>
      </c>
      <c r="F784" t="s">
        <v>1236</v>
      </c>
      <c r="G784" s="6">
        <v>2</v>
      </c>
      <c r="H784">
        <v>3359</v>
      </c>
      <c r="I784">
        <v>6718</v>
      </c>
      <c r="J784" s="2">
        <v>1385.16</v>
      </c>
      <c r="K784" s="16">
        <f>Table13[[#This Row],[Profit]]/Table13[[#This Row],[Sales]]</f>
        <v>0.20618636498958023</v>
      </c>
      <c r="L784" s="17" t="str">
        <f t="shared" si="84"/>
        <v>Low</v>
      </c>
      <c r="M784" s="17" t="str">
        <f t="shared" si="85"/>
        <v>Jun</v>
      </c>
      <c r="N784" s="18">
        <f>YEAR(Table13[[#This Row],[Order_Date]])</f>
        <v>2023</v>
      </c>
      <c r="O784" s="18">
        <f>Table13[[#This Row],[Price]]*0.7</f>
        <v>2351.2999999999997</v>
      </c>
      <c r="P784" s="18">
        <f t="shared" si="86"/>
        <v>2015.4000000000005</v>
      </c>
      <c r="Q784" s="18">
        <f t="shared" si="87"/>
        <v>0.05</v>
      </c>
      <c r="R784" s="18">
        <f t="shared" si="88"/>
        <v>5332.84</v>
      </c>
      <c r="S784" s="18" t="str">
        <f>IF(Table13[[#This Row],[Quantity]]&lt;=3,"Small",IF(Table13[[#This Row],[Quantity]]&lt;=6,"Medium","Bulk"))</f>
        <v>Small</v>
      </c>
      <c r="T784" s="18" t="str">
        <f t="shared" si="89"/>
        <v>Normal</v>
      </c>
      <c r="U784" s="18" t="str">
        <f t="shared" si="90"/>
        <v>low Value</v>
      </c>
    </row>
    <row r="785" spans="1:21" x14ac:dyDescent="0.3">
      <c r="A785" t="s">
        <v>793</v>
      </c>
      <c r="B785" s="1">
        <v>45063</v>
      </c>
      <c r="C785" t="s">
        <v>1212</v>
      </c>
      <c r="D785" t="s">
        <v>1215</v>
      </c>
      <c r="E785" t="s">
        <v>1219</v>
      </c>
      <c r="F785" t="s">
        <v>1233</v>
      </c>
      <c r="G785" s="6">
        <v>4</v>
      </c>
      <c r="H785">
        <v>2594</v>
      </c>
      <c r="I785">
        <v>10376</v>
      </c>
      <c r="J785" s="2">
        <v>1290.75</v>
      </c>
      <c r="K785" s="16">
        <f>Table13[[#This Row],[Profit]]/Table13[[#This Row],[Sales]]</f>
        <v>0.12439764841942945</v>
      </c>
      <c r="L785" s="17" t="str">
        <f t="shared" si="84"/>
        <v>Medium</v>
      </c>
      <c r="M785" s="17" t="str">
        <f t="shared" si="85"/>
        <v>May</v>
      </c>
      <c r="N785" s="18">
        <f>YEAR(Table13[[#This Row],[Order_Date]])</f>
        <v>2023</v>
      </c>
      <c r="O785" s="18">
        <f>Table13[[#This Row],[Price]]*0.7</f>
        <v>1815.8</v>
      </c>
      <c r="P785" s="18">
        <f t="shared" si="86"/>
        <v>3112.8</v>
      </c>
      <c r="Q785" s="18">
        <f t="shared" si="87"/>
        <v>0.05</v>
      </c>
      <c r="R785" s="18">
        <f t="shared" si="88"/>
        <v>9085.25</v>
      </c>
      <c r="S785" s="18" t="str">
        <f>IF(Table13[[#This Row],[Quantity]]&lt;=3,"Small",IF(Table13[[#This Row],[Quantity]]&lt;=6,"Medium","Bulk"))</f>
        <v>Medium</v>
      </c>
      <c r="T785" s="18" t="str">
        <f t="shared" si="89"/>
        <v>High Demand</v>
      </c>
      <c r="U785" s="18" t="str">
        <f t="shared" si="90"/>
        <v>Medium Value</v>
      </c>
    </row>
    <row r="786" spans="1:21" x14ac:dyDescent="0.3">
      <c r="A786" t="s">
        <v>794</v>
      </c>
      <c r="B786" s="1">
        <v>45003</v>
      </c>
      <c r="C786" t="s">
        <v>1212</v>
      </c>
      <c r="D786" t="s">
        <v>1216</v>
      </c>
      <c r="E786" t="s">
        <v>1222</v>
      </c>
      <c r="F786" t="s">
        <v>1227</v>
      </c>
      <c r="G786" s="6">
        <v>5</v>
      </c>
      <c r="H786">
        <v>4591</v>
      </c>
      <c r="I786">
        <v>22955</v>
      </c>
      <c r="J786" s="2">
        <v>4217.25</v>
      </c>
      <c r="K786" s="16">
        <f>Table13[[#This Row],[Profit]]/Table13[[#This Row],[Sales]]</f>
        <v>0.18371814419516444</v>
      </c>
      <c r="L786" s="17" t="str">
        <f t="shared" si="84"/>
        <v>High</v>
      </c>
      <c r="M786" s="17" t="str">
        <f t="shared" si="85"/>
        <v>Mar</v>
      </c>
      <c r="N786" s="18">
        <f>YEAR(Table13[[#This Row],[Order_Date]])</f>
        <v>2023</v>
      </c>
      <c r="O786" s="18">
        <f>Table13[[#This Row],[Price]]*0.7</f>
        <v>3213.7</v>
      </c>
      <c r="P786" s="18">
        <f t="shared" si="86"/>
        <v>6886.5</v>
      </c>
      <c r="Q786" s="18">
        <f t="shared" si="87"/>
        <v>0.05</v>
      </c>
      <c r="R786" s="18">
        <f t="shared" si="88"/>
        <v>18737.75</v>
      </c>
      <c r="S786" s="18" t="str">
        <f>IF(Table13[[#This Row],[Quantity]]&lt;=3,"Small",IF(Table13[[#This Row],[Quantity]]&lt;=6,"Medium","Bulk"))</f>
        <v>Medium</v>
      </c>
      <c r="T786" s="18" t="str">
        <f t="shared" si="89"/>
        <v>High Demand</v>
      </c>
      <c r="U786" s="18" t="str">
        <f t="shared" si="90"/>
        <v>High Value</v>
      </c>
    </row>
    <row r="787" spans="1:21" x14ac:dyDescent="0.3">
      <c r="A787" t="s">
        <v>795</v>
      </c>
      <c r="B787" s="1">
        <v>44951</v>
      </c>
      <c r="C787" t="s">
        <v>1211</v>
      </c>
      <c r="D787" t="s">
        <v>1217</v>
      </c>
      <c r="E787" t="s">
        <v>1222</v>
      </c>
      <c r="F787" t="s">
        <v>1230</v>
      </c>
      <c r="G787" s="6">
        <v>5</v>
      </c>
      <c r="H787">
        <v>1827</v>
      </c>
      <c r="I787">
        <v>9135</v>
      </c>
      <c r="J787" s="2">
        <v>1661.48</v>
      </c>
      <c r="K787" s="16">
        <f>Table13[[#This Row],[Profit]]/Table13[[#This Row],[Sales]]</f>
        <v>0.18188067870826491</v>
      </c>
      <c r="L787" s="17" t="str">
        <f t="shared" si="84"/>
        <v>Low</v>
      </c>
      <c r="M787" s="17" t="str">
        <f t="shared" si="85"/>
        <v>Jan</v>
      </c>
      <c r="N787" s="18">
        <f>YEAR(Table13[[#This Row],[Order_Date]])</f>
        <v>2023</v>
      </c>
      <c r="O787" s="18">
        <f>Table13[[#This Row],[Price]]*0.7</f>
        <v>1278.8999999999999</v>
      </c>
      <c r="P787" s="18">
        <f t="shared" si="86"/>
        <v>2740.5000000000009</v>
      </c>
      <c r="Q787" s="18">
        <f t="shared" si="87"/>
        <v>0.05</v>
      </c>
      <c r="R787" s="18">
        <f t="shared" si="88"/>
        <v>7473.5199999999995</v>
      </c>
      <c r="S787" s="18" t="str">
        <f>IF(Table13[[#This Row],[Quantity]]&lt;=3,"Small",IF(Table13[[#This Row],[Quantity]]&lt;=6,"Medium","Bulk"))</f>
        <v>Medium</v>
      </c>
      <c r="T787" s="18" t="str">
        <f t="shared" si="89"/>
        <v>Normal</v>
      </c>
      <c r="U787" s="18" t="str">
        <f t="shared" si="90"/>
        <v>low Value</v>
      </c>
    </row>
    <row r="788" spans="1:21" x14ac:dyDescent="0.3">
      <c r="A788" t="s">
        <v>796</v>
      </c>
      <c r="B788" s="1">
        <v>45001</v>
      </c>
      <c r="C788" t="s">
        <v>1211</v>
      </c>
      <c r="D788" t="s">
        <v>1217</v>
      </c>
      <c r="E788" t="s">
        <v>1222</v>
      </c>
      <c r="F788" t="s">
        <v>1230</v>
      </c>
      <c r="G788" s="6">
        <v>9</v>
      </c>
      <c r="H788">
        <v>2797</v>
      </c>
      <c r="I788">
        <v>25173</v>
      </c>
      <c r="J788" s="2">
        <v>2404.59</v>
      </c>
      <c r="K788" s="16">
        <f>Table13[[#This Row],[Profit]]/Table13[[#This Row],[Sales]]</f>
        <v>9.5522583720653087E-2</v>
      </c>
      <c r="L788" s="17" t="str">
        <f t="shared" si="84"/>
        <v>High</v>
      </c>
      <c r="M788" s="17" t="str">
        <f t="shared" si="85"/>
        <v>Mar</v>
      </c>
      <c r="N788" s="18">
        <f>YEAR(Table13[[#This Row],[Order_Date]])</f>
        <v>2023</v>
      </c>
      <c r="O788" s="18">
        <f>Table13[[#This Row],[Price]]*0.7</f>
        <v>1957.8999999999999</v>
      </c>
      <c r="P788" s="18">
        <f t="shared" si="86"/>
        <v>7551.9000000000015</v>
      </c>
      <c r="Q788" s="18">
        <f t="shared" si="87"/>
        <v>0.1</v>
      </c>
      <c r="R788" s="18">
        <f t="shared" si="88"/>
        <v>22768.41</v>
      </c>
      <c r="S788" s="18" t="str">
        <f>IF(Table13[[#This Row],[Quantity]]&lt;=3,"Small",IF(Table13[[#This Row],[Quantity]]&lt;=6,"Medium","Bulk"))</f>
        <v>Bulk</v>
      </c>
      <c r="T788" s="18" t="str">
        <f t="shared" si="89"/>
        <v>Normal</v>
      </c>
      <c r="U788" s="18" t="str">
        <f t="shared" si="90"/>
        <v>High Value</v>
      </c>
    </row>
    <row r="789" spans="1:21" x14ac:dyDescent="0.3">
      <c r="A789" t="s">
        <v>797</v>
      </c>
      <c r="B789" s="1">
        <v>44945</v>
      </c>
      <c r="C789" t="s">
        <v>1211</v>
      </c>
      <c r="D789" t="s">
        <v>1218</v>
      </c>
      <c r="E789" t="s">
        <v>1221</v>
      </c>
      <c r="F789" t="s">
        <v>1235</v>
      </c>
      <c r="G789" s="6">
        <v>7</v>
      </c>
      <c r="H789">
        <v>1578</v>
      </c>
      <c r="I789">
        <v>11046</v>
      </c>
      <c r="J789" s="2">
        <v>998.04</v>
      </c>
      <c r="K789" s="16">
        <f>Table13[[#This Row],[Profit]]/Table13[[#This Row],[Sales]]</f>
        <v>9.0353068984247692E-2</v>
      </c>
      <c r="L789" s="17" t="str">
        <f t="shared" si="84"/>
        <v>Medium</v>
      </c>
      <c r="M789" s="17" t="str">
        <f t="shared" si="85"/>
        <v>Jan</v>
      </c>
      <c r="N789" s="18">
        <f>YEAR(Table13[[#This Row],[Order_Date]])</f>
        <v>2023</v>
      </c>
      <c r="O789" s="18">
        <f>Table13[[#This Row],[Price]]*0.7</f>
        <v>1104.5999999999999</v>
      </c>
      <c r="P789" s="18">
        <f t="shared" si="86"/>
        <v>3313.8000000000011</v>
      </c>
      <c r="Q789" s="18">
        <f t="shared" si="87"/>
        <v>0.1</v>
      </c>
      <c r="R789" s="18">
        <f t="shared" si="88"/>
        <v>10047.960000000001</v>
      </c>
      <c r="S789" s="18" t="str">
        <f>IF(Table13[[#This Row],[Quantity]]&lt;=3,"Small",IF(Table13[[#This Row],[Quantity]]&lt;=6,"Medium","Bulk"))</f>
        <v>Bulk</v>
      </c>
      <c r="T789" s="18" t="str">
        <f t="shared" si="89"/>
        <v>Normal</v>
      </c>
      <c r="U789" s="18" t="str">
        <f t="shared" si="90"/>
        <v>Medium Value</v>
      </c>
    </row>
    <row r="790" spans="1:21" x14ac:dyDescent="0.3">
      <c r="A790" t="s">
        <v>798</v>
      </c>
      <c r="B790" s="1">
        <v>45079</v>
      </c>
      <c r="C790" t="s">
        <v>1212</v>
      </c>
      <c r="D790" t="s">
        <v>1218</v>
      </c>
      <c r="E790" t="s">
        <v>1221</v>
      </c>
      <c r="F790" t="s">
        <v>1231</v>
      </c>
      <c r="G790" s="6">
        <v>8</v>
      </c>
      <c r="H790">
        <v>1258</v>
      </c>
      <c r="I790">
        <v>10064</v>
      </c>
      <c r="J790" s="2">
        <v>2339.0500000000002</v>
      </c>
      <c r="K790" s="16">
        <f>Table13[[#This Row],[Profit]]/Table13[[#This Row],[Sales]]</f>
        <v>0.23241752782193961</v>
      </c>
      <c r="L790" s="17" t="str">
        <f t="shared" si="84"/>
        <v>Medium</v>
      </c>
      <c r="M790" s="17" t="str">
        <f t="shared" si="85"/>
        <v>Jun</v>
      </c>
      <c r="N790" s="18">
        <f>YEAR(Table13[[#This Row],[Order_Date]])</f>
        <v>2023</v>
      </c>
      <c r="O790" s="18">
        <f>Table13[[#This Row],[Price]]*0.7</f>
        <v>880.59999999999991</v>
      </c>
      <c r="P790" s="18">
        <f t="shared" si="86"/>
        <v>3019.2000000000007</v>
      </c>
      <c r="Q790" s="18">
        <f t="shared" si="87"/>
        <v>0.1</v>
      </c>
      <c r="R790" s="18">
        <f t="shared" si="88"/>
        <v>7724.95</v>
      </c>
      <c r="S790" s="18" t="str">
        <f>IF(Table13[[#This Row],[Quantity]]&lt;=3,"Small",IF(Table13[[#This Row],[Quantity]]&lt;=6,"Medium","Bulk"))</f>
        <v>Bulk</v>
      </c>
      <c r="T790" s="18" t="str">
        <f t="shared" si="89"/>
        <v>High Demand</v>
      </c>
      <c r="U790" s="18" t="str">
        <f t="shared" si="90"/>
        <v>Medium Value</v>
      </c>
    </row>
    <row r="791" spans="1:21" x14ac:dyDescent="0.3">
      <c r="A791" t="s">
        <v>799</v>
      </c>
      <c r="B791" s="1">
        <v>45147</v>
      </c>
      <c r="C791" t="s">
        <v>1210</v>
      </c>
      <c r="D791" t="s">
        <v>1214</v>
      </c>
      <c r="E791" t="s">
        <v>1221</v>
      </c>
      <c r="F791" t="s">
        <v>1229</v>
      </c>
      <c r="G791" s="6">
        <v>2</v>
      </c>
      <c r="H791">
        <v>4640</v>
      </c>
      <c r="I791">
        <v>9280</v>
      </c>
      <c r="J791" s="2">
        <v>1241.04</v>
      </c>
      <c r="K791" s="16">
        <f>Table13[[#This Row],[Profit]]/Table13[[#This Row],[Sales]]</f>
        <v>0.13373275862068965</v>
      </c>
      <c r="L791" s="17" t="str">
        <f t="shared" si="84"/>
        <v>Low</v>
      </c>
      <c r="M791" s="17" t="str">
        <f t="shared" si="85"/>
        <v>Aug</v>
      </c>
      <c r="N791" s="18">
        <f>YEAR(Table13[[#This Row],[Order_Date]])</f>
        <v>2023</v>
      </c>
      <c r="O791" s="18">
        <f>Table13[[#This Row],[Price]]*0.7</f>
        <v>3248</v>
      </c>
      <c r="P791" s="18">
        <f t="shared" si="86"/>
        <v>2784</v>
      </c>
      <c r="Q791" s="18">
        <f t="shared" si="87"/>
        <v>0.05</v>
      </c>
      <c r="R791" s="18">
        <f t="shared" si="88"/>
        <v>8038.96</v>
      </c>
      <c r="S791" s="18" t="str">
        <f>IF(Table13[[#This Row],[Quantity]]&lt;=3,"Small",IF(Table13[[#This Row],[Quantity]]&lt;=6,"Medium","Bulk"))</f>
        <v>Small</v>
      </c>
      <c r="T791" s="18" t="str">
        <f t="shared" si="89"/>
        <v>Normal</v>
      </c>
      <c r="U791" s="18" t="str">
        <f t="shared" si="90"/>
        <v>low Value</v>
      </c>
    </row>
    <row r="792" spans="1:21" x14ac:dyDescent="0.3">
      <c r="A792" t="s">
        <v>800</v>
      </c>
      <c r="B792" s="1">
        <v>45262</v>
      </c>
      <c r="C792" t="s">
        <v>1213</v>
      </c>
      <c r="D792" t="s">
        <v>1217</v>
      </c>
      <c r="E792" t="s">
        <v>1222</v>
      </c>
      <c r="F792" t="s">
        <v>1236</v>
      </c>
      <c r="G792" s="6">
        <v>6</v>
      </c>
      <c r="H792">
        <v>3088</v>
      </c>
      <c r="I792">
        <v>18528</v>
      </c>
      <c r="J792" s="2">
        <v>3284.29</v>
      </c>
      <c r="K792" s="16">
        <f>Table13[[#This Row],[Profit]]/Table13[[#This Row],[Sales]]</f>
        <v>0.177260902417962</v>
      </c>
      <c r="L792" s="17" t="str">
        <f t="shared" si="84"/>
        <v>Medium</v>
      </c>
      <c r="M792" s="17" t="str">
        <f t="shared" si="85"/>
        <v>Dec</v>
      </c>
      <c r="N792" s="18">
        <f>YEAR(Table13[[#This Row],[Order_Date]])</f>
        <v>2023</v>
      </c>
      <c r="O792" s="18">
        <f>Table13[[#This Row],[Price]]*0.7</f>
        <v>2161.6</v>
      </c>
      <c r="P792" s="18">
        <f t="shared" si="86"/>
        <v>5558.4000000000015</v>
      </c>
      <c r="Q792" s="18">
        <f t="shared" si="87"/>
        <v>0.1</v>
      </c>
      <c r="R792" s="18">
        <f t="shared" si="88"/>
        <v>15243.710000000001</v>
      </c>
      <c r="S792" s="18" t="str">
        <f>IF(Table13[[#This Row],[Quantity]]&lt;=3,"Small",IF(Table13[[#This Row],[Quantity]]&lt;=6,"Medium","Bulk"))</f>
        <v>Medium</v>
      </c>
      <c r="T792" s="18" t="str">
        <f t="shared" si="89"/>
        <v>Normal</v>
      </c>
      <c r="U792" s="18" t="str">
        <f t="shared" si="90"/>
        <v>Medium Value</v>
      </c>
    </row>
    <row r="793" spans="1:21" x14ac:dyDescent="0.3">
      <c r="A793" t="s">
        <v>801</v>
      </c>
      <c r="B793" s="1">
        <v>45278</v>
      </c>
      <c r="C793" t="s">
        <v>1212</v>
      </c>
      <c r="D793" t="s">
        <v>1214</v>
      </c>
      <c r="E793" t="s">
        <v>1220</v>
      </c>
      <c r="F793" t="s">
        <v>1228</v>
      </c>
      <c r="G793" s="6">
        <v>6</v>
      </c>
      <c r="H793">
        <v>2268</v>
      </c>
      <c r="I793">
        <v>13608</v>
      </c>
      <c r="J793" s="2">
        <v>2075.29</v>
      </c>
      <c r="K793" s="16">
        <f>Table13[[#This Row],[Profit]]/Table13[[#This Row],[Sales]]</f>
        <v>0.15250514403292181</v>
      </c>
      <c r="L793" s="17" t="str">
        <f t="shared" si="84"/>
        <v>Medium</v>
      </c>
      <c r="M793" s="17" t="str">
        <f t="shared" si="85"/>
        <v>Dec</v>
      </c>
      <c r="N793" s="18">
        <f>YEAR(Table13[[#This Row],[Order_Date]])</f>
        <v>2023</v>
      </c>
      <c r="O793" s="18">
        <f>Table13[[#This Row],[Price]]*0.7</f>
        <v>1587.6</v>
      </c>
      <c r="P793" s="18">
        <f t="shared" si="86"/>
        <v>4082.4000000000015</v>
      </c>
      <c r="Q793" s="18">
        <f t="shared" si="87"/>
        <v>0.1</v>
      </c>
      <c r="R793" s="18">
        <f t="shared" si="88"/>
        <v>11532.71</v>
      </c>
      <c r="S793" s="18" t="str">
        <f>IF(Table13[[#This Row],[Quantity]]&lt;=3,"Small",IF(Table13[[#This Row],[Quantity]]&lt;=6,"Medium","Bulk"))</f>
        <v>Medium</v>
      </c>
      <c r="T793" s="18" t="str">
        <f t="shared" si="89"/>
        <v>High Demand</v>
      </c>
      <c r="U793" s="18" t="str">
        <f t="shared" si="90"/>
        <v>Medium Value</v>
      </c>
    </row>
    <row r="794" spans="1:21" x14ac:dyDescent="0.3">
      <c r="A794" t="s">
        <v>802</v>
      </c>
      <c r="B794" s="1">
        <v>45170</v>
      </c>
      <c r="C794" t="s">
        <v>1212</v>
      </c>
      <c r="D794" t="s">
        <v>1218</v>
      </c>
      <c r="E794" t="s">
        <v>1219</v>
      </c>
      <c r="F794" t="s">
        <v>1238</v>
      </c>
      <c r="G794" s="6">
        <v>9</v>
      </c>
      <c r="H794">
        <v>473</v>
      </c>
      <c r="I794">
        <v>4257</v>
      </c>
      <c r="J794" s="2">
        <v>545.57000000000005</v>
      </c>
      <c r="K794" s="16">
        <f>Table13[[#This Row],[Profit]]/Table13[[#This Row],[Sales]]</f>
        <v>0.12815832746065306</v>
      </c>
      <c r="L794" s="17" t="str">
        <f t="shared" si="84"/>
        <v>Low</v>
      </c>
      <c r="M794" s="17" t="str">
        <f t="shared" si="85"/>
        <v>Sep</v>
      </c>
      <c r="N794" s="18">
        <f>YEAR(Table13[[#This Row],[Order_Date]])</f>
        <v>2023</v>
      </c>
      <c r="O794" s="18">
        <f>Table13[[#This Row],[Price]]*0.7</f>
        <v>331.09999999999997</v>
      </c>
      <c r="P794" s="18">
        <f t="shared" si="86"/>
        <v>1277.1000000000004</v>
      </c>
      <c r="Q794" s="18">
        <f t="shared" si="87"/>
        <v>0.1</v>
      </c>
      <c r="R794" s="18">
        <f t="shared" si="88"/>
        <v>3711.43</v>
      </c>
      <c r="S794" s="18" t="str">
        <f>IF(Table13[[#This Row],[Quantity]]&lt;=3,"Small",IF(Table13[[#This Row],[Quantity]]&lt;=6,"Medium","Bulk"))</f>
        <v>Bulk</v>
      </c>
      <c r="T794" s="18" t="str">
        <f t="shared" si="89"/>
        <v>High Demand</v>
      </c>
      <c r="U794" s="18" t="str">
        <f t="shared" si="90"/>
        <v>low Value</v>
      </c>
    </row>
    <row r="795" spans="1:21" x14ac:dyDescent="0.3">
      <c r="A795" t="s">
        <v>803</v>
      </c>
      <c r="B795" s="1">
        <v>45035</v>
      </c>
      <c r="C795" t="s">
        <v>1212</v>
      </c>
      <c r="D795" t="s">
        <v>1217</v>
      </c>
      <c r="E795" t="s">
        <v>1219</v>
      </c>
      <c r="F795" t="s">
        <v>1238</v>
      </c>
      <c r="G795" s="6">
        <v>4</v>
      </c>
      <c r="H795">
        <v>4486</v>
      </c>
      <c r="I795">
        <v>17944</v>
      </c>
      <c r="J795" s="2">
        <v>4069.55</v>
      </c>
      <c r="K795" s="16">
        <f>Table13[[#This Row],[Profit]]/Table13[[#This Row],[Sales]]</f>
        <v>0.22679168524297816</v>
      </c>
      <c r="L795" s="17" t="str">
        <f t="shared" si="84"/>
        <v>Medium</v>
      </c>
      <c r="M795" s="17" t="str">
        <f t="shared" si="85"/>
        <v>Apr</v>
      </c>
      <c r="N795" s="18">
        <f>YEAR(Table13[[#This Row],[Order_Date]])</f>
        <v>2023</v>
      </c>
      <c r="O795" s="18">
        <f>Table13[[#This Row],[Price]]*0.7</f>
        <v>3140.2</v>
      </c>
      <c r="P795" s="18">
        <f t="shared" si="86"/>
        <v>5383.2000000000007</v>
      </c>
      <c r="Q795" s="18">
        <f t="shared" si="87"/>
        <v>0.05</v>
      </c>
      <c r="R795" s="18">
        <f t="shared" si="88"/>
        <v>13874.45</v>
      </c>
      <c r="S795" s="18" t="str">
        <f>IF(Table13[[#This Row],[Quantity]]&lt;=3,"Small",IF(Table13[[#This Row],[Quantity]]&lt;=6,"Medium","Bulk"))</f>
        <v>Medium</v>
      </c>
      <c r="T795" s="18" t="str">
        <f t="shared" si="89"/>
        <v>High Demand</v>
      </c>
      <c r="U795" s="18" t="str">
        <f t="shared" si="90"/>
        <v>Medium Value</v>
      </c>
    </row>
    <row r="796" spans="1:21" x14ac:dyDescent="0.3">
      <c r="A796" t="s">
        <v>804</v>
      </c>
      <c r="B796" s="1">
        <v>45072</v>
      </c>
      <c r="C796" t="s">
        <v>1210</v>
      </c>
      <c r="D796" t="s">
        <v>1217</v>
      </c>
      <c r="E796" t="s">
        <v>1221</v>
      </c>
      <c r="F796" t="s">
        <v>1231</v>
      </c>
      <c r="G796" s="6">
        <v>3</v>
      </c>
      <c r="H796">
        <v>3532</v>
      </c>
      <c r="I796">
        <v>10596</v>
      </c>
      <c r="J796" s="2">
        <v>1864.69</v>
      </c>
      <c r="K796" s="16">
        <f>Table13[[#This Row],[Profit]]/Table13[[#This Row],[Sales]]</f>
        <v>0.17598055870139676</v>
      </c>
      <c r="L796" s="17" t="str">
        <f t="shared" si="84"/>
        <v>Medium</v>
      </c>
      <c r="M796" s="17" t="str">
        <f t="shared" si="85"/>
        <v>May</v>
      </c>
      <c r="N796" s="18">
        <f>YEAR(Table13[[#This Row],[Order_Date]])</f>
        <v>2023</v>
      </c>
      <c r="O796" s="18">
        <f>Table13[[#This Row],[Price]]*0.7</f>
        <v>2472.3999999999996</v>
      </c>
      <c r="P796" s="18">
        <f t="shared" si="86"/>
        <v>3178.8000000000011</v>
      </c>
      <c r="Q796" s="18">
        <f t="shared" si="87"/>
        <v>0.05</v>
      </c>
      <c r="R796" s="18">
        <f t="shared" si="88"/>
        <v>8731.31</v>
      </c>
      <c r="S796" s="18" t="str">
        <f>IF(Table13[[#This Row],[Quantity]]&lt;=3,"Small",IF(Table13[[#This Row],[Quantity]]&lt;=6,"Medium","Bulk"))</f>
        <v>Small</v>
      </c>
      <c r="T796" s="18" t="str">
        <f t="shared" si="89"/>
        <v>Normal</v>
      </c>
      <c r="U796" s="18" t="str">
        <f t="shared" si="90"/>
        <v>Medium Value</v>
      </c>
    </row>
    <row r="797" spans="1:21" x14ac:dyDescent="0.3">
      <c r="A797" t="s">
        <v>805</v>
      </c>
      <c r="B797" s="1">
        <v>44934</v>
      </c>
      <c r="C797" t="s">
        <v>1210</v>
      </c>
      <c r="D797" t="s">
        <v>1218</v>
      </c>
      <c r="E797" t="s">
        <v>1222</v>
      </c>
      <c r="F797" t="s">
        <v>1234</v>
      </c>
      <c r="G797" s="6">
        <v>4</v>
      </c>
      <c r="H797">
        <v>3460</v>
      </c>
      <c r="I797">
        <v>13840</v>
      </c>
      <c r="J797" s="2">
        <v>1782.97</v>
      </c>
      <c r="K797" s="16">
        <f>Table13[[#This Row],[Profit]]/Table13[[#This Row],[Sales]]</f>
        <v>0.12882731213872833</v>
      </c>
      <c r="L797" s="17" t="str">
        <f t="shared" si="84"/>
        <v>Medium</v>
      </c>
      <c r="M797" s="17" t="str">
        <f t="shared" si="85"/>
        <v>Jan</v>
      </c>
      <c r="N797" s="18">
        <f>YEAR(Table13[[#This Row],[Order_Date]])</f>
        <v>2023</v>
      </c>
      <c r="O797" s="18">
        <f>Table13[[#This Row],[Price]]*0.7</f>
        <v>2422</v>
      </c>
      <c r="P797" s="18">
        <f t="shared" si="86"/>
        <v>4152</v>
      </c>
      <c r="Q797" s="18">
        <f t="shared" si="87"/>
        <v>0.05</v>
      </c>
      <c r="R797" s="18">
        <f t="shared" si="88"/>
        <v>12057.03</v>
      </c>
      <c r="S797" s="18" t="str">
        <f>IF(Table13[[#This Row],[Quantity]]&lt;=3,"Small",IF(Table13[[#This Row],[Quantity]]&lt;=6,"Medium","Bulk"))</f>
        <v>Medium</v>
      </c>
      <c r="T797" s="18" t="str">
        <f t="shared" si="89"/>
        <v>Normal</v>
      </c>
      <c r="U797" s="18" t="str">
        <f t="shared" si="90"/>
        <v>Medium Value</v>
      </c>
    </row>
    <row r="798" spans="1:21" x14ac:dyDescent="0.3">
      <c r="A798" t="s">
        <v>806</v>
      </c>
      <c r="B798" s="1">
        <v>45090</v>
      </c>
      <c r="C798" t="s">
        <v>1213</v>
      </c>
      <c r="D798" t="s">
        <v>1215</v>
      </c>
      <c r="E798" t="s">
        <v>1220</v>
      </c>
      <c r="F798" t="s">
        <v>1228</v>
      </c>
      <c r="G798" s="6">
        <v>3</v>
      </c>
      <c r="H798">
        <v>2732</v>
      </c>
      <c r="I798">
        <v>8196</v>
      </c>
      <c r="J798" s="2">
        <v>848.13</v>
      </c>
      <c r="K798" s="16">
        <f>Table13[[#This Row],[Profit]]/Table13[[#This Row],[Sales]]</f>
        <v>0.1034809663250366</v>
      </c>
      <c r="L798" s="17" t="str">
        <f t="shared" si="84"/>
        <v>Low</v>
      </c>
      <c r="M798" s="17" t="str">
        <f t="shared" si="85"/>
        <v>Jun</v>
      </c>
      <c r="N798" s="18">
        <f>YEAR(Table13[[#This Row],[Order_Date]])</f>
        <v>2023</v>
      </c>
      <c r="O798" s="18">
        <f>Table13[[#This Row],[Price]]*0.7</f>
        <v>1912.3999999999999</v>
      </c>
      <c r="P798" s="18">
        <f t="shared" si="86"/>
        <v>2458.8000000000002</v>
      </c>
      <c r="Q798" s="18">
        <f t="shared" si="87"/>
        <v>0.05</v>
      </c>
      <c r="R798" s="18">
        <f t="shared" si="88"/>
        <v>7347.8700000000008</v>
      </c>
      <c r="S798" s="18" t="str">
        <f>IF(Table13[[#This Row],[Quantity]]&lt;=3,"Small",IF(Table13[[#This Row],[Quantity]]&lt;=6,"Medium","Bulk"))</f>
        <v>Small</v>
      </c>
      <c r="T798" s="18" t="str">
        <f t="shared" si="89"/>
        <v>Normal</v>
      </c>
      <c r="U798" s="18" t="str">
        <f t="shared" si="90"/>
        <v>low Value</v>
      </c>
    </row>
    <row r="799" spans="1:21" x14ac:dyDescent="0.3">
      <c r="A799" t="s">
        <v>807</v>
      </c>
      <c r="B799" s="1">
        <v>45056</v>
      </c>
      <c r="C799" t="s">
        <v>1211</v>
      </c>
      <c r="D799" t="s">
        <v>1216</v>
      </c>
      <c r="E799" t="s">
        <v>1221</v>
      </c>
      <c r="F799" t="s">
        <v>1231</v>
      </c>
      <c r="G799" s="6">
        <v>8</v>
      </c>
      <c r="H799">
        <v>272</v>
      </c>
      <c r="I799">
        <v>2176</v>
      </c>
      <c r="J799" s="2">
        <v>455.22</v>
      </c>
      <c r="K799" s="16">
        <f>Table13[[#This Row],[Profit]]/Table13[[#This Row],[Sales]]</f>
        <v>0.20920036764705885</v>
      </c>
      <c r="L799" s="17" t="str">
        <f t="shared" si="84"/>
        <v>Low</v>
      </c>
      <c r="M799" s="17" t="str">
        <f t="shared" si="85"/>
        <v>May</v>
      </c>
      <c r="N799" s="18">
        <f>YEAR(Table13[[#This Row],[Order_Date]])</f>
        <v>2023</v>
      </c>
      <c r="O799" s="18">
        <f>Table13[[#This Row],[Price]]*0.7</f>
        <v>190.39999999999998</v>
      </c>
      <c r="P799" s="18">
        <f t="shared" si="86"/>
        <v>652.80000000000018</v>
      </c>
      <c r="Q799" s="18">
        <f t="shared" si="87"/>
        <v>0.1</v>
      </c>
      <c r="R799" s="18">
        <f t="shared" si="88"/>
        <v>1720.78</v>
      </c>
      <c r="S799" s="18" t="str">
        <f>IF(Table13[[#This Row],[Quantity]]&lt;=3,"Small",IF(Table13[[#This Row],[Quantity]]&lt;=6,"Medium","Bulk"))</f>
        <v>Bulk</v>
      </c>
      <c r="T799" s="18" t="str">
        <f t="shared" si="89"/>
        <v>Normal</v>
      </c>
      <c r="U799" s="18" t="str">
        <f t="shared" si="90"/>
        <v>low Value</v>
      </c>
    </row>
    <row r="800" spans="1:21" x14ac:dyDescent="0.3">
      <c r="A800" t="s">
        <v>808</v>
      </c>
      <c r="B800" s="1">
        <v>45077</v>
      </c>
      <c r="C800" t="s">
        <v>1212</v>
      </c>
      <c r="D800" t="s">
        <v>1217</v>
      </c>
      <c r="E800" t="s">
        <v>1219</v>
      </c>
      <c r="F800" t="s">
        <v>1238</v>
      </c>
      <c r="G800" s="6">
        <v>8</v>
      </c>
      <c r="H800">
        <v>2055</v>
      </c>
      <c r="I800">
        <v>16440</v>
      </c>
      <c r="J800" s="2">
        <v>3119.53</v>
      </c>
      <c r="K800" s="16">
        <f>Table13[[#This Row],[Profit]]/Table13[[#This Row],[Sales]]</f>
        <v>0.18975243309002435</v>
      </c>
      <c r="L800" s="17" t="str">
        <f t="shared" si="84"/>
        <v>Medium</v>
      </c>
      <c r="M800" s="17" t="str">
        <f t="shared" si="85"/>
        <v>May</v>
      </c>
      <c r="N800" s="18">
        <f>YEAR(Table13[[#This Row],[Order_Date]])</f>
        <v>2023</v>
      </c>
      <c r="O800" s="18">
        <f>Table13[[#This Row],[Price]]*0.7</f>
        <v>1438.5</v>
      </c>
      <c r="P800" s="18">
        <f t="shared" si="86"/>
        <v>4932</v>
      </c>
      <c r="Q800" s="18">
        <f t="shared" si="87"/>
        <v>0.1</v>
      </c>
      <c r="R800" s="18">
        <f t="shared" si="88"/>
        <v>13320.47</v>
      </c>
      <c r="S800" s="18" t="str">
        <f>IF(Table13[[#This Row],[Quantity]]&lt;=3,"Small",IF(Table13[[#This Row],[Quantity]]&lt;=6,"Medium","Bulk"))</f>
        <v>Bulk</v>
      </c>
      <c r="T800" s="18" t="str">
        <f t="shared" si="89"/>
        <v>High Demand</v>
      </c>
      <c r="U800" s="18" t="str">
        <f t="shared" si="90"/>
        <v>Medium Value</v>
      </c>
    </row>
    <row r="801" spans="1:21" x14ac:dyDescent="0.3">
      <c r="A801" t="s">
        <v>809</v>
      </c>
      <c r="B801" s="1">
        <v>45202</v>
      </c>
      <c r="C801" t="s">
        <v>1213</v>
      </c>
      <c r="D801" t="s">
        <v>1218</v>
      </c>
      <c r="E801" t="s">
        <v>1219</v>
      </c>
      <c r="F801" t="s">
        <v>1232</v>
      </c>
      <c r="G801" s="6">
        <v>7</v>
      </c>
      <c r="H801">
        <v>934</v>
      </c>
      <c r="I801">
        <v>6538</v>
      </c>
      <c r="J801" s="2">
        <v>1291.79</v>
      </c>
      <c r="K801" s="16">
        <f>Table13[[#This Row],[Profit]]/Table13[[#This Row],[Sales]]</f>
        <v>0.19758182930559803</v>
      </c>
      <c r="L801" s="17" t="str">
        <f t="shared" si="84"/>
        <v>Low</v>
      </c>
      <c r="M801" s="17" t="str">
        <f t="shared" si="85"/>
        <v>Oct</v>
      </c>
      <c r="N801" s="18">
        <f>YEAR(Table13[[#This Row],[Order_Date]])</f>
        <v>2023</v>
      </c>
      <c r="O801" s="18">
        <f>Table13[[#This Row],[Price]]*0.7</f>
        <v>653.79999999999995</v>
      </c>
      <c r="P801" s="18">
        <f t="shared" si="86"/>
        <v>1961.4000000000005</v>
      </c>
      <c r="Q801" s="18">
        <f t="shared" si="87"/>
        <v>0.1</v>
      </c>
      <c r="R801" s="18">
        <f t="shared" si="88"/>
        <v>5246.21</v>
      </c>
      <c r="S801" s="18" t="str">
        <f>IF(Table13[[#This Row],[Quantity]]&lt;=3,"Small",IF(Table13[[#This Row],[Quantity]]&lt;=6,"Medium","Bulk"))</f>
        <v>Bulk</v>
      </c>
      <c r="T801" s="18" t="str">
        <f t="shared" si="89"/>
        <v>Normal</v>
      </c>
      <c r="U801" s="18" t="str">
        <f t="shared" si="90"/>
        <v>low Value</v>
      </c>
    </row>
    <row r="802" spans="1:21" x14ac:dyDescent="0.3">
      <c r="A802" t="s">
        <v>810</v>
      </c>
      <c r="B802" s="1">
        <v>45146</v>
      </c>
      <c r="C802" t="s">
        <v>1211</v>
      </c>
      <c r="D802" t="s">
        <v>1214</v>
      </c>
      <c r="E802" t="s">
        <v>1222</v>
      </c>
      <c r="F802" t="s">
        <v>1230</v>
      </c>
      <c r="G802" s="6">
        <v>9</v>
      </c>
      <c r="H802">
        <v>3284</v>
      </c>
      <c r="I802">
        <v>29556</v>
      </c>
      <c r="J802" s="2">
        <v>4515.8999999999996</v>
      </c>
      <c r="K802" s="16">
        <f>Table13[[#This Row],[Profit]]/Table13[[#This Row],[Sales]]</f>
        <v>0.15279131140885099</v>
      </c>
      <c r="L802" s="17" t="str">
        <f t="shared" si="84"/>
        <v>High</v>
      </c>
      <c r="M802" s="17" t="str">
        <f t="shared" si="85"/>
        <v>Aug</v>
      </c>
      <c r="N802" s="18">
        <f>YEAR(Table13[[#This Row],[Order_Date]])</f>
        <v>2023</v>
      </c>
      <c r="O802" s="18">
        <f>Table13[[#This Row],[Price]]*0.7</f>
        <v>2298.7999999999997</v>
      </c>
      <c r="P802" s="18">
        <f t="shared" si="86"/>
        <v>8866.8000000000029</v>
      </c>
      <c r="Q802" s="18">
        <f t="shared" si="87"/>
        <v>0.1</v>
      </c>
      <c r="R802" s="18">
        <f t="shared" si="88"/>
        <v>25040.1</v>
      </c>
      <c r="S802" s="18" t="str">
        <f>IF(Table13[[#This Row],[Quantity]]&lt;=3,"Small",IF(Table13[[#This Row],[Quantity]]&lt;=6,"Medium","Bulk"))</f>
        <v>Bulk</v>
      </c>
      <c r="T802" s="18" t="str">
        <f t="shared" si="89"/>
        <v>Normal</v>
      </c>
      <c r="U802" s="18" t="str">
        <f t="shared" si="90"/>
        <v>High Value</v>
      </c>
    </row>
    <row r="803" spans="1:21" x14ac:dyDescent="0.3">
      <c r="A803" t="s">
        <v>811</v>
      </c>
      <c r="B803" s="1">
        <v>45251</v>
      </c>
      <c r="C803" t="s">
        <v>1210</v>
      </c>
      <c r="D803" t="s">
        <v>1214</v>
      </c>
      <c r="E803" t="s">
        <v>1220</v>
      </c>
      <c r="F803" t="s">
        <v>1237</v>
      </c>
      <c r="G803" s="6">
        <v>2</v>
      </c>
      <c r="H803">
        <v>3133</v>
      </c>
      <c r="I803">
        <v>6266</v>
      </c>
      <c r="J803" s="2">
        <v>834.98</v>
      </c>
      <c r="K803" s="16">
        <f>Table13[[#This Row],[Profit]]/Table13[[#This Row],[Sales]]</f>
        <v>0.13325566549632939</v>
      </c>
      <c r="L803" s="17" t="str">
        <f t="shared" si="84"/>
        <v>Low</v>
      </c>
      <c r="M803" s="17" t="str">
        <f t="shared" si="85"/>
        <v>Nov</v>
      </c>
      <c r="N803" s="18">
        <f>YEAR(Table13[[#This Row],[Order_Date]])</f>
        <v>2023</v>
      </c>
      <c r="O803" s="18">
        <f>Table13[[#This Row],[Price]]*0.7</f>
        <v>2193.1</v>
      </c>
      <c r="P803" s="18">
        <f t="shared" si="86"/>
        <v>1879.8000000000002</v>
      </c>
      <c r="Q803" s="18">
        <f t="shared" si="87"/>
        <v>0.05</v>
      </c>
      <c r="R803" s="18">
        <f t="shared" si="88"/>
        <v>5431.02</v>
      </c>
      <c r="S803" s="18" t="str">
        <f>IF(Table13[[#This Row],[Quantity]]&lt;=3,"Small",IF(Table13[[#This Row],[Quantity]]&lt;=6,"Medium","Bulk"))</f>
        <v>Small</v>
      </c>
      <c r="T803" s="18" t="str">
        <f t="shared" si="89"/>
        <v>Normal</v>
      </c>
      <c r="U803" s="18" t="str">
        <f t="shared" si="90"/>
        <v>low Value</v>
      </c>
    </row>
    <row r="804" spans="1:21" x14ac:dyDescent="0.3">
      <c r="A804" t="s">
        <v>812</v>
      </c>
      <c r="B804" s="1">
        <v>45143</v>
      </c>
      <c r="C804" t="s">
        <v>1213</v>
      </c>
      <c r="D804" t="s">
        <v>1214</v>
      </c>
      <c r="E804" t="s">
        <v>1221</v>
      </c>
      <c r="F804" t="s">
        <v>1239</v>
      </c>
      <c r="G804" s="6">
        <v>8</v>
      </c>
      <c r="H804">
        <v>3632</v>
      </c>
      <c r="I804">
        <v>29056</v>
      </c>
      <c r="J804" s="2">
        <v>4153.25</v>
      </c>
      <c r="K804" s="16">
        <f>Table13[[#This Row],[Profit]]/Table13[[#This Row],[Sales]]</f>
        <v>0.14293949614537446</v>
      </c>
      <c r="L804" s="17" t="str">
        <f t="shared" si="84"/>
        <v>High</v>
      </c>
      <c r="M804" s="17" t="str">
        <f t="shared" si="85"/>
        <v>Aug</v>
      </c>
      <c r="N804" s="18">
        <f>YEAR(Table13[[#This Row],[Order_Date]])</f>
        <v>2023</v>
      </c>
      <c r="O804" s="18">
        <f>Table13[[#This Row],[Price]]*0.7</f>
        <v>2542.3999999999996</v>
      </c>
      <c r="P804" s="18">
        <f t="shared" si="86"/>
        <v>8716.8000000000029</v>
      </c>
      <c r="Q804" s="18">
        <f t="shared" si="87"/>
        <v>0.1</v>
      </c>
      <c r="R804" s="18">
        <f t="shared" si="88"/>
        <v>24902.75</v>
      </c>
      <c r="S804" s="18" t="str">
        <f>IF(Table13[[#This Row],[Quantity]]&lt;=3,"Small",IF(Table13[[#This Row],[Quantity]]&lt;=6,"Medium","Bulk"))</f>
        <v>Bulk</v>
      </c>
      <c r="T804" s="18" t="str">
        <f t="shared" si="89"/>
        <v>Normal</v>
      </c>
      <c r="U804" s="18" t="str">
        <f t="shared" si="90"/>
        <v>High Value</v>
      </c>
    </row>
    <row r="805" spans="1:21" x14ac:dyDescent="0.3">
      <c r="A805" t="s">
        <v>813</v>
      </c>
      <c r="B805" s="1">
        <v>44956</v>
      </c>
      <c r="C805" t="s">
        <v>1210</v>
      </c>
      <c r="D805" t="s">
        <v>1218</v>
      </c>
      <c r="E805" t="s">
        <v>1219</v>
      </c>
      <c r="F805" t="s">
        <v>1233</v>
      </c>
      <c r="G805" s="6">
        <v>1</v>
      </c>
      <c r="H805">
        <v>3117</v>
      </c>
      <c r="I805">
        <v>3117</v>
      </c>
      <c r="J805" s="2">
        <v>589.32000000000005</v>
      </c>
      <c r="K805" s="16">
        <f>Table13[[#This Row],[Profit]]/Table13[[#This Row],[Sales]]</f>
        <v>0.18906641000962465</v>
      </c>
      <c r="L805" s="17" t="str">
        <f t="shared" si="84"/>
        <v>Low</v>
      </c>
      <c r="M805" s="17" t="str">
        <f t="shared" si="85"/>
        <v>Jan</v>
      </c>
      <c r="N805" s="18">
        <f>YEAR(Table13[[#This Row],[Order_Date]])</f>
        <v>2023</v>
      </c>
      <c r="O805" s="18">
        <f>Table13[[#This Row],[Price]]*0.7</f>
        <v>2181.8999999999996</v>
      </c>
      <c r="P805" s="18">
        <f t="shared" si="86"/>
        <v>935.10000000000036</v>
      </c>
      <c r="Q805" s="18">
        <f t="shared" si="87"/>
        <v>0.05</v>
      </c>
      <c r="R805" s="18">
        <f t="shared" si="88"/>
        <v>2527.6799999999998</v>
      </c>
      <c r="S805" s="18" t="str">
        <f>IF(Table13[[#This Row],[Quantity]]&lt;=3,"Small",IF(Table13[[#This Row],[Quantity]]&lt;=6,"Medium","Bulk"))</f>
        <v>Small</v>
      </c>
      <c r="T805" s="18" t="str">
        <f t="shared" si="89"/>
        <v>Normal</v>
      </c>
      <c r="U805" s="18" t="str">
        <f t="shared" si="90"/>
        <v>low Value</v>
      </c>
    </row>
    <row r="806" spans="1:21" x14ac:dyDescent="0.3">
      <c r="A806" t="s">
        <v>814</v>
      </c>
      <c r="B806" s="1">
        <v>45136</v>
      </c>
      <c r="C806" t="s">
        <v>1213</v>
      </c>
      <c r="D806" t="s">
        <v>1216</v>
      </c>
      <c r="E806" t="s">
        <v>1222</v>
      </c>
      <c r="F806" t="s">
        <v>1236</v>
      </c>
      <c r="G806" s="6">
        <v>6</v>
      </c>
      <c r="H806">
        <v>4527</v>
      </c>
      <c r="I806">
        <v>27162</v>
      </c>
      <c r="J806" s="2">
        <v>5924.21</v>
      </c>
      <c r="K806" s="16">
        <f>Table13[[#This Row],[Profit]]/Table13[[#This Row],[Sales]]</f>
        <v>0.21810654590972683</v>
      </c>
      <c r="L806" s="17" t="str">
        <f t="shared" si="84"/>
        <v>High</v>
      </c>
      <c r="M806" s="17" t="str">
        <f t="shared" si="85"/>
        <v>Jul</v>
      </c>
      <c r="N806" s="18">
        <f>YEAR(Table13[[#This Row],[Order_Date]])</f>
        <v>2023</v>
      </c>
      <c r="O806" s="18">
        <f>Table13[[#This Row],[Price]]*0.7</f>
        <v>3168.8999999999996</v>
      </c>
      <c r="P806" s="18">
        <f t="shared" si="86"/>
        <v>8148.6000000000022</v>
      </c>
      <c r="Q806" s="18">
        <f t="shared" si="87"/>
        <v>0.1</v>
      </c>
      <c r="R806" s="18">
        <f t="shared" si="88"/>
        <v>21237.789999999997</v>
      </c>
      <c r="S806" s="18" t="str">
        <f>IF(Table13[[#This Row],[Quantity]]&lt;=3,"Small",IF(Table13[[#This Row],[Quantity]]&lt;=6,"Medium","Bulk"))</f>
        <v>Medium</v>
      </c>
      <c r="T806" s="18" t="str">
        <f t="shared" si="89"/>
        <v>Normal</v>
      </c>
      <c r="U806" s="18" t="str">
        <f t="shared" si="90"/>
        <v>High Value</v>
      </c>
    </row>
    <row r="807" spans="1:21" x14ac:dyDescent="0.3">
      <c r="A807" t="s">
        <v>815</v>
      </c>
      <c r="B807" s="1">
        <v>44933</v>
      </c>
      <c r="C807" t="s">
        <v>1210</v>
      </c>
      <c r="D807" t="s">
        <v>1217</v>
      </c>
      <c r="E807" t="s">
        <v>1219</v>
      </c>
      <c r="F807" t="s">
        <v>1233</v>
      </c>
      <c r="G807" s="6">
        <v>1</v>
      </c>
      <c r="H807">
        <v>3974</v>
      </c>
      <c r="I807">
        <v>3974</v>
      </c>
      <c r="J807" s="2">
        <v>943.65</v>
      </c>
      <c r="K807" s="16">
        <f>Table13[[#This Row],[Profit]]/Table13[[#This Row],[Sales]]</f>
        <v>0.23745596376446904</v>
      </c>
      <c r="L807" s="17" t="str">
        <f t="shared" si="84"/>
        <v>Low</v>
      </c>
      <c r="M807" s="17" t="str">
        <f t="shared" si="85"/>
        <v>Jan</v>
      </c>
      <c r="N807" s="18">
        <f>YEAR(Table13[[#This Row],[Order_Date]])</f>
        <v>2023</v>
      </c>
      <c r="O807" s="18">
        <f>Table13[[#This Row],[Price]]*0.7</f>
        <v>2781.7999999999997</v>
      </c>
      <c r="P807" s="18">
        <f t="shared" si="86"/>
        <v>1192.2000000000003</v>
      </c>
      <c r="Q807" s="18">
        <f t="shared" si="87"/>
        <v>0.05</v>
      </c>
      <c r="R807" s="18">
        <f t="shared" si="88"/>
        <v>3030.35</v>
      </c>
      <c r="S807" s="18" t="str">
        <f>IF(Table13[[#This Row],[Quantity]]&lt;=3,"Small",IF(Table13[[#This Row],[Quantity]]&lt;=6,"Medium","Bulk"))</f>
        <v>Small</v>
      </c>
      <c r="T807" s="18" t="str">
        <f t="shared" si="89"/>
        <v>Normal</v>
      </c>
      <c r="U807" s="18" t="str">
        <f t="shared" si="90"/>
        <v>low Value</v>
      </c>
    </row>
    <row r="808" spans="1:21" x14ac:dyDescent="0.3">
      <c r="A808" t="s">
        <v>816</v>
      </c>
      <c r="B808" s="1">
        <v>45141</v>
      </c>
      <c r="C808" t="s">
        <v>1211</v>
      </c>
      <c r="D808" t="s">
        <v>1215</v>
      </c>
      <c r="E808" t="s">
        <v>1220</v>
      </c>
      <c r="F808" t="s">
        <v>1224</v>
      </c>
      <c r="G808" s="6">
        <v>9</v>
      </c>
      <c r="H808">
        <v>4813</v>
      </c>
      <c r="I808">
        <v>43317</v>
      </c>
      <c r="J808" s="2">
        <v>8548.82</v>
      </c>
      <c r="K808" s="16">
        <f>Table13[[#This Row],[Profit]]/Table13[[#This Row],[Sales]]</f>
        <v>0.19735484913544335</v>
      </c>
      <c r="L808" s="17" t="str">
        <f t="shared" si="84"/>
        <v>High</v>
      </c>
      <c r="M808" s="17" t="str">
        <f t="shared" si="85"/>
        <v>Aug</v>
      </c>
      <c r="N808" s="18">
        <f>YEAR(Table13[[#This Row],[Order_Date]])</f>
        <v>2023</v>
      </c>
      <c r="O808" s="18">
        <f>Table13[[#This Row],[Price]]*0.7</f>
        <v>3369.1</v>
      </c>
      <c r="P808" s="18">
        <f t="shared" si="86"/>
        <v>12995.100000000002</v>
      </c>
      <c r="Q808" s="18">
        <f t="shared" si="87"/>
        <v>0.1</v>
      </c>
      <c r="R808" s="18">
        <f t="shared" si="88"/>
        <v>34768.18</v>
      </c>
      <c r="S808" s="18" t="str">
        <f>IF(Table13[[#This Row],[Quantity]]&lt;=3,"Small",IF(Table13[[#This Row],[Quantity]]&lt;=6,"Medium","Bulk"))</f>
        <v>Bulk</v>
      </c>
      <c r="T808" s="18" t="str">
        <f t="shared" si="89"/>
        <v>Normal</v>
      </c>
      <c r="U808" s="18" t="str">
        <f t="shared" si="90"/>
        <v>High Value</v>
      </c>
    </row>
    <row r="809" spans="1:21" x14ac:dyDescent="0.3">
      <c r="A809" t="s">
        <v>817</v>
      </c>
      <c r="B809" s="1">
        <v>45041</v>
      </c>
      <c r="C809" t="s">
        <v>1211</v>
      </c>
      <c r="D809" t="s">
        <v>1217</v>
      </c>
      <c r="E809" t="s">
        <v>1220</v>
      </c>
      <c r="F809" t="s">
        <v>1228</v>
      </c>
      <c r="G809" s="6">
        <v>7</v>
      </c>
      <c r="H809">
        <v>2578</v>
      </c>
      <c r="I809">
        <v>18046</v>
      </c>
      <c r="J809" s="2">
        <v>3010.02</v>
      </c>
      <c r="K809" s="16">
        <f>Table13[[#This Row],[Profit]]/Table13[[#This Row],[Sales]]</f>
        <v>0.16679707414385458</v>
      </c>
      <c r="L809" s="17" t="str">
        <f t="shared" si="84"/>
        <v>Medium</v>
      </c>
      <c r="M809" s="17" t="str">
        <f t="shared" si="85"/>
        <v>Apr</v>
      </c>
      <c r="N809" s="18">
        <f>YEAR(Table13[[#This Row],[Order_Date]])</f>
        <v>2023</v>
      </c>
      <c r="O809" s="18">
        <f>Table13[[#This Row],[Price]]*0.7</f>
        <v>1804.6</v>
      </c>
      <c r="P809" s="18">
        <f t="shared" si="86"/>
        <v>5413.8000000000011</v>
      </c>
      <c r="Q809" s="18">
        <f t="shared" si="87"/>
        <v>0.1</v>
      </c>
      <c r="R809" s="18">
        <f t="shared" si="88"/>
        <v>15035.98</v>
      </c>
      <c r="S809" s="18" t="str">
        <f>IF(Table13[[#This Row],[Quantity]]&lt;=3,"Small",IF(Table13[[#This Row],[Quantity]]&lt;=6,"Medium","Bulk"))</f>
        <v>Bulk</v>
      </c>
      <c r="T809" s="18" t="str">
        <f t="shared" si="89"/>
        <v>Normal</v>
      </c>
      <c r="U809" s="18" t="str">
        <f t="shared" si="90"/>
        <v>Medium Value</v>
      </c>
    </row>
    <row r="810" spans="1:21" x14ac:dyDescent="0.3">
      <c r="A810" t="s">
        <v>818</v>
      </c>
      <c r="B810" s="1">
        <v>45110</v>
      </c>
      <c r="C810" t="s">
        <v>1210</v>
      </c>
      <c r="D810" t="s">
        <v>1214</v>
      </c>
      <c r="E810" t="s">
        <v>1221</v>
      </c>
      <c r="F810" t="s">
        <v>1235</v>
      </c>
      <c r="G810" s="6">
        <v>6</v>
      </c>
      <c r="H810">
        <v>887</v>
      </c>
      <c r="I810">
        <v>5322</v>
      </c>
      <c r="J810" s="2">
        <v>723.26</v>
      </c>
      <c r="K810" s="16">
        <f>Table13[[#This Row],[Profit]]/Table13[[#This Row],[Sales]]</f>
        <v>0.13590003757985719</v>
      </c>
      <c r="L810" s="17" t="str">
        <f t="shared" si="84"/>
        <v>Low</v>
      </c>
      <c r="M810" s="17" t="str">
        <f t="shared" si="85"/>
        <v>Jul</v>
      </c>
      <c r="N810" s="18">
        <f>YEAR(Table13[[#This Row],[Order_Date]])</f>
        <v>2023</v>
      </c>
      <c r="O810" s="18">
        <f>Table13[[#This Row],[Price]]*0.7</f>
        <v>620.9</v>
      </c>
      <c r="P810" s="18">
        <f t="shared" si="86"/>
        <v>1596.6000000000004</v>
      </c>
      <c r="Q810" s="18">
        <f t="shared" si="87"/>
        <v>0.1</v>
      </c>
      <c r="R810" s="18">
        <f t="shared" si="88"/>
        <v>4598.7400000000007</v>
      </c>
      <c r="S810" s="18" t="str">
        <f>IF(Table13[[#This Row],[Quantity]]&lt;=3,"Small",IF(Table13[[#This Row],[Quantity]]&lt;=6,"Medium","Bulk"))</f>
        <v>Medium</v>
      </c>
      <c r="T810" s="18" t="str">
        <f t="shared" si="89"/>
        <v>Normal</v>
      </c>
      <c r="U810" s="18" t="str">
        <f t="shared" si="90"/>
        <v>low Value</v>
      </c>
    </row>
    <row r="811" spans="1:21" x14ac:dyDescent="0.3">
      <c r="A811" t="s">
        <v>819</v>
      </c>
      <c r="B811" s="1">
        <v>44985</v>
      </c>
      <c r="C811" t="s">
        <v>1210</v>
      </c>
      <c r="D811" t="s">
        <v>1218</v>
      </c>
      <c r="E811" t="s">
        <v>1221</v>
      </c>
      <c r="F811" t="s">
        <v>1235</v>
      </c>
      <c r="G811" s="6">
        <v>4</v>
      </c>
      <c r="H811">
        <v>3383</v>
      </c>
      <c r="I811">
        <v>13532</v>
      </c>
      <c r="J811" s="2">
        <v>1802.41</v>
      </c>
      <c r="K811" s="16">
        <f>Table13[[#This Row],[Profit]]/Table13[[#This Row],[Sales]]</f>
        <v>0.1331961276973101</v>
      </c>
      <c r="L811" s="17" t="str">
        <f t="shared" si="84"/>
        <v>Medium</v>
      </c>
      <c r="M811" s="17" t="str">
        <f t="shared" si="85"/>
        <v>Feb</v>
      </c>
      <c r="N811" s="18">
        <f>YEAR(Table13[[#This Row],[Order_Date]])</f>
        <v>2023</v>
      </c>
      <c r="O811" s="18">
        <f>Table13[[#This Row],[Price]]*0.7</f>
        <v>2368.1</v>
      </c>
      <c r="P811" s="18">
        <f t="shared" si="86"/>
        <v>4059.6000000000004</v>
      </c>
      <c r="Q811" s="18">
        <f t="shared" si="87"/>
        <v>0.05</v>
      </c>
      <c r="R811" s="18">
        <f t="shared" si="88"/>
        <v>11729.589999999998</v>
      </c>
      <c r="S811" s="18" t="str">
        <f>IF(Table13[[#This Row],[Quantity]]&lt;=3,"Small",IF(Table13[[#This Row],[Quantity]]&lt;=6,"Medium","Bulk"))</f>
        <v>Medium</v>
      </c>
      <c r="T811" s="18" t="str">
        <f t="shared" si="89"/>
        <v>Normal</v>
      </c>
      <c r="U811" s="18" t="str">
        <f t="shared" si="90"/>
        <v>Medium Value</v>
      </c>
    </row>
    <row r="812" spans="1:21" x14ac:dyDescent="0.3">
      <c r="A812" t="s">
        <v>820</v>
      </c>
      <c r="B812" s="1">
        <v>44961</v>
      </c>
      <c r="C812" t="s">
        <v>1210</v>
      </c>
      <c r="D812" t="s">
        <v>1214</v>
      </c>
      <c r="E812" t="s">
        <v>1222</v>
      </c>
      <c r="F812" t="s">
        <v>1234</v>
      </c>
      <c r="G812" s="6">
        <v>8</v>
      </c>
      <c r="H812">
        <v>1535</v>
      </c>
      <c r="I812">
        <v>12280</v>
      </c>
      <c r="J812" s="2">
        <v>2332.7399999999998</v>
      </c>
      <c r="K812" s="16">
        <f>Table13[[#This Row],[Profit]]/Table13[[#This Row],[Sales]]</f>
        <v>0.18996254071661237</v>
      </c>
      <c r="L812" s="17" t="str">
        <f t="shared" si="84"/>
        <v>Medium</v>
      </c>
      <c r="M812" s="17" t="str">
        <f t="shared" si="85"/>
        <v>Feb</v>
      </c>
      <c r="N812" s="18">
        <f>YEAR(Table13[[#This Row],[Order_Date]])</f>
        <v>2023</v>
      </c>
      <c r="O812" s="18">
        <f>Table13[[#This Row],[Price]]*0.7</f>
        <v>1074.5</v>
      </c>
      <c r="P812" s="18">
        <f t="shared" si="86"/>
        <v>3684</v>
      </c>
      <c r="Q812" s="18">
        <f t="shared" si="87"/>
        <v>0.1</v>
      </c>
      <c r="R812" s="18">
        <f t="shared" si="88"/>
        <v>9947.26</v>
      </c>
      <c r="S812" s="18" t="str">
        <f>IF(Table13[[#This Row],[Quantity]]&lt;=3,"Small",IF(Table13[[#This Row],[Quantity]]&lt;=6,"Medium","Bulk"))</f>
        <v>Bulk</v>
      </c>
      <c r="T812" s="18" t="str">
        <f t="shared" si="89"/>
        <v>Normal</v>
      </c>
      <c r="U812" s="18" t="str">
        <f t="shared" si="90"/>
        <v>Medium Value</v>
      </c>
    </row>
    <row r="813" spans="1:21" x14ac:dyDescent="0.3">
      <c r="A813" t="s">
        <v>821</v>
      </c>
      <c r="B813" s="1">
        <v>45156</v>
      </c>
      <c r="C813" t="s">
        <v>1210</v>
      </c>
      <c r="D813" t="s">
        <v>1216</v>
      </c>
      <c r="E813" t="s">
        <v>1220</v>
      </c>
      <c r="F813" t="s">
        <v>1228</v>
      </c>
      <c r="G813" s="6">
        <v>8</v>
      </c>
      <c r="H813">
        <v>2530</v>
      </c>
      <c r="I813">
        <v>20240</v>
      </c>
      <c r="J813" s="2">
        <v>4920.55</v>
      </c>
      <c r="K813" s="16">
        <f>Table13[[#This Row],[Profit]]/Table13[[#This Row],[Sales]]</f>
        <v>0.24311017786561265</v>
      </c>
      <c r="L813" s="17" t="str">
        <f t="shared" si="84"/>
        <v>High</v>
      </c>
      <c r="M813" s="17" t="str">
        <f t="shared" si="85"/>
        <v>Aug</v>
      </c>
      <c r="N813" s="18">
        <f>YEAR(Table13[[#This Row],[Order_Date]])</f>
        <v>2023</v>
      </c>
      <c r="O813" s="18">
        <f>Table13[[#This Row],[Price]]*0.7</f>
        <v>1771</v>
      </c>
      <c r="P813" s="18">
        <f t="shared" si="86"/>
        <v>6072</v>
      </c>
      <c r="Q813" s="18">
        <f t="shared" si="87"/>
        <v>0.1</v>
      </c>
      <c r="R813" s="18">
        <f t="shared" si="88"/>
        <v>15319.45</v>
      </c>
      <c r="S813" s="18" t="str">
        <f>IF(Table13[[#This Row],[Quantity]]&lt;=3,"Small",IF(Table13[[#This Row],[Quantity]]&lt;=6,"Medium","Bulk"))</f>
        <v>Bulk</v>
      </c>
      <c r="T813" s="18" t="str">
        <f t="shared" si="89"/>
        <v>Normal</v>
      </c>
      <c r="U813" s="18" t="str">
        <f t="shared" si="90"/>
        <v>High Value</v>
      </c>
    </row>
    <row r="814" spans="1:21" x14ac:dyDescent="0.3">
      <c r="A814" t="s">
        <v>822</v>
      </c>
      <c r="B814" s="1">
        <v>45091</v>
      </c>
      <c r="C814" t="s">
        <v>1212</v>
      </c>
      <c r="D814" t="s">
        <v>1214</v>
      </c>
      <c r="E814" t="s">
        <v>1219</v>
      </c>
      <c r="F814" t="s">
        <v>1232</v>
      </c>
      <c r="G814" s="6">
        <v>5</v>
      </c>
      <c r="H814">
        <v>889</v>
      </c>
      <c r="I814">
        <v>4445</v>
      </c>
      <c r="J814" s="2">
        <v>659.21</v>
      </c>
      <c r="K814" s="16">
        <f>Table13[[#This Row],[Profit]]/Table13[[#This Row],[Sales]]</f>
        <v>0.14830371203599552</v>
      </c>
      <c r="L814" s="17" t="str">
        <f t="shared" si="84"/>
        <v>Low</v>
      </c>
      <c r="M814" s="17" t="str">
        <f t="shared" si="85"/>
        <v>Jun</v>
      </c>
      <c r="N814" s="18">
        <f>YEAR(Table13[[#This Row],[Order_Date]])</f>
        <v>2023</v>
      </c>
      <c r="O814" s="18">
        <f>Table13[[#This Row],[Price]]*0.7</f>
        <v>622.29999999999995</v>
      </c>
      <c r="P814" s="18">
        <f t="shared" si="86"/>
        <v>1333.5</v>
      </c>
      <c r="Q814" s="18">
        <f t="shared" si="87"/>
        <v>0.05</v>
      </c>
      <c r="R814" s="18">
        <f t="shared" si="88"/>
        <v>3785.7899999999995</v>
      </c>
      <c r="S814" s="18" t="str">
        <f>IF(Table13[[#This Row],[Quantity]]&lt;=3,"Small",IF(Table13[[#This Row],[Quantity]]&lt;=6,"Medium","Bulk"))</f>
        <v>Medium</v>
      </c>
      <c r="T814" s="18" t="str">
        <f t="shared" si="89"/>
        <v>High Demand</v>
      </c>
      <c r="U814" s="18" t="str">
        <f t="shared" si="90"/>
        <v>low Value</v>
      </c>
    </row>
    <row r="815" spans="1:21" x14ac:dyDescent="0.3">
      <c r="A815" t="s">
        <v>823</v>
      </c>
      <c r="B815" s="1">
        <v>45150</v>
      </c>
      <c r="C815" t="s">
        <v>1210</v>
      </c>
      <c r="D815" t="s">
        <v>1216</v>
      </c>
      <c r="E815" t="s">
        <v>1219</v>
      </c>
      <c r="F815" t="s">
        <v>1232</v>
      </c>
      <c r="G815" s="6">
        <v>3</v>
      </c>
      <c r="H815">
        <v>3703</v>
      </c>
      <c r="I815">
        <v>11109</v>
      </c>
      <c r="J815" s="2">
        <v>2453.7600000000002</v>
      </c>
      <c r="K815" s="16">
        <f>Table13[[#This Row],[Profit]]/Table13[[#This Row],[Sales]]</f>
        <v>0.22088036726978127</v>
      </c>
      <c r="L815" s="17" t="str">
        <f t="shared" si="84"/>
        <v>Medium</v>
      </c>
      <c r="M815" s="17" t="str">
        <f t="shared" si="85"/>
        <v>Aug</v>
      </c>
      <c r="N815" s="18">
        <f>YEAR(Table13[[#This Row],[Order_Date]])</f>
        <v>2023</v>
      </c>
      <c r="O815" s="18">
        <f>Table13[[#This Row],[Price]]*0.7</f>
        <v>2592.1</v>
      </c>
      <c r="P815" s="18">
        <f t="shared" si="86"/>
        <v>3332.7000000000007</v>
      </c>
      <c r="Q815" s="18">
        <f t="shared" si="87"/>
        <v>0.05</v>
      </c>
      <c r="R815" s="18">
        <f t="shared" si="88"/>
        <v>8655.24</v>
      </c>
      <c r="S815" s="18" t="str">
        <f>IF(Table13[[#This Row],[Quantity]]&lt;=3,"Small",IF(Table13[[#This Row],[Quantity]]&lt;=6,"Medium","Bulk"))</f>
        <v>Small</v>
      </c>
      <c r="T815" s="18" t="str">
        <f t="shared" si="89"/>
        <v>Normal</v>
      </c>
      <c r="U815" s="18" t="str">
        <f t="shared" si="90"/>
        <v>Medium Value</v>
      </c>
    </row>
    <row r="816" spans="1:21" x14ac:dyDescent="0.3">
      <c r="A816" t="s">
        <v>824</v>
      </c>
      <c r="B816" s="1">
        <v>45179</v>
      </c>
      <c r="C816" t="s">
        <v>1212</v>
      </c>
      <c r="D816" t="s">
        <v>1218</v>
      </c>
      <c r="E816" t="s">
        <v>1219</v>
      </c>
      <c r="F816" t="s">
        <v>1233</v>
      </c>
      <c r="G816" s="6">
        <v>3</v>
      </c>
      <c r="H816">
        <v>315</v>
      </c>
      <c r="I816">
        <v>945</v>
      </c>
      <c r="J816" s="2">
        <v>150.91</v>
      </c>
      <c r="K816" s="16">
        <f>Table13[[#This Row],[Profit]]/Table13[[#This Row],[Sales]]</f>
        <v>0.15969312169312169</v>
      </c>
      <c r="L816" s="17" t="str">
        <f t="shared" si="84"/>
        <v>Low</v>
      </c>
      <c r="M816" s="17" t="str">
        <f t="shared" si="85"/>
        <v>Sep</v>
      </c>
      <c r="N816" s="18">
        <f>YEAR(Table13[[#This Row],[Order_Date]])</f>
        <v>2023</v>
      </c>
      <c r="O816" s="18">
        <f>Table13[[#This Row],[Price]]*0.7</f>
        <v>220.5</v>
      </c>
      <c r="P816" s="18">
        <f t="shared" si="86"/>
        <v>283.5</v>
      </c>
      <c r="Q816" s="18">
        <f t="shared" si="87"/>
        <v>0.05</v>
      </c>
      <c r="R816" s="18">
        <f t="shared" si="88"/>
        <v>794.09</v>
      </c>
      <c r="S816" s="18" t="str">
        <f>IF(Table13[[#This Row],[Quantity]]&lt;=3,"Small",IF(Table13[[#This Row],[Quantity]]&lt;=6,"Medium","Bulk"))</f>
        <v>Small</v>
      </c>
      <c r="T816" s="18" t="str">
        <f t="shared" si="89"/>
        <v>High Demand</v>
      </c>
      <c r="U816" s="18" t="str">
        <f t="shared" si="90"/>
        <v>low Value</v>
      </c>
    </row>
    <row r="817" spans="1:21" x14ac:dyDescent="0.3">
      <c r="A817" t="s">
        <v>825</v>
      </c>
      <c r="B817" s="1">
        <v>45261</v>
      </c>
      <c r="C817" t="s">
        <v>1210</v>
      </c>
      <c r="D817" t="s">
        <v>1214</v>
      </c>
      <c r="E817" t="s">
        <v>1221</v>
      </c>
      <c r="F817" t="s">
        <v>1226</v>
      </c>
      <c r="G817" s="6">
        <v>4</v>
      </c>
      <c r="H817">
        <v>1273</v>
      </c>
      <c r="I817">
        <v>5092</v>
      </c>
      <c r="J817" s="2">
        <v>672.51</v>
      </c>
      <c r="K817" s="16">
        <f>Table13[[#This Row],[Profit]]/Table13[[#This Row],[Sales]]</f>
        <v>0.13207187745483109</v>
      </c>
      <c r="L817" s="17" t="str">
        <f t="shared" si="84"/>
        <v>Low</v>
      </c>
      <c r="M817" s="17" t="str">
        <f t="shared" si="85"/>
        <v>Dec</v>
      </c>
      <c r="N817" s="18">
        <f>YEAR(Table13[[#This Row],[Order_Date]])</f>
        <v>2023</v>
      </c>
      <c r="O817" s="18">
        <f>Table13[[#This Row],[Price]]*0.7</f>
        <v>891.09999999999991</v>
      </c>
      <c r="P817" s="18">
        <f t="shared" si="86"/>
        <v>1527.6000000000004</v>
      </c>
      <c r="Q817" s="18">
        <f t="shared" si="87"/>
        <v>0.05</v>
      </c>
      <c r="R817" s="18">
        <f t="shared" si="88"/>
        <v>4419.49</v>
      </c>
      <c r="S817" s="18" t="str">
        <f>IF(Table13[[#This Row],[Quantity]]&lt;=3,"Small",IF(Table13[[#This Row],[Quantity]]&lt;=6,"Medium","Bulk"))</f>
        <v>Medium</v>
      </c>
      <c r="T817" s="18" t="str">
        <f t="shared" si="89"/>
        <v>Normal</v>
      </c>
      <c r="U817" s="18" t="str">
        <f t="shared" si="90"/>
        <v>low Value</v>
      </c>
    </row>
    <row r="818" spans="1:21" x14ac:dyDescent="0.3">
      <c r="A818" t="s">
        <v>826</v>
      </c>
      <c r="B818" s="1">
        <v>45116</v>
      </c>
      <c r="C818" t="s">
        <v>1210</v>
      </c>
      <c r="D818" t="s">
        <v>1215</v>
      </c>
      <c r="E818" t="s">
        <v>1219</v>
      </c>
      <c r="F818" t="s">
        <v>1233</v>
      </c>
      <c r="G818" s="6">
        <v>4</v>
      </c>
      <c r="H818">
        <v>2494</v>
      </c>
      <c r="I818">
        <v>9976</v>
      </c>
      <c r="J818" s="2">
        <v>1256.93</v>
      </c>
      <c r="K818" s="16">
        <f>Table13[[#This Row],[Profit]]/Table13[[#This Row],[Sales]]</f>
        <v>0.12599538893344026</v>
      </c>
      <c r="L818" s="17" t="str">
        <f t="shared" si="84"/>
        <v>Low</v>
      </c>
      <c r="M818" s="17" t="str">
        <f t="shared" si="85"/>
        <v>Jul</v>
      </c>
      <c r="N818" s="18">
        <f>YEAR(Table13[[#This Row],[Order_Date]])</f>
        <v>2023</v>
      </c>
      <c r="O818" s="18">
        <f>Table13[[#This Row],[Price]]*0.7</f>
        <v>1745.8</v>
      </c>
      <c r="P818" s="18">
        <f t="shared" si="86"/>
        <v>2992.8</v>
      </c>
      <c r="Q818" s="18">
        <f t="shared" si="87"/>
        <v>0.05</v>
      </c>
      <c r="R818" s="18">
        <f t="shared" si="88"/>
        <v>8719.07</v>
      </c>
      <c r="S818" s="18" t="str">
        <f>IF(Table13[[#This Row],[Quantity]]&lt;=3,"Small",IF(Table13[[#This Row],[Quantity]]&lt;=6,"Medium","Bulk"))</f>
        <v>Medium</v>
      </c>
      <c r="T818" s="18" t="str">
        <f t="shared" si="89"/>
        <v>Normal</v>
      </c>
      <c r="U818" s="18" t="str">
        <f t="shared" si="90"/>
        <v>low Value</v>
      </c>
    </row>
    <row r="819" spans="1:21" x14ac:dyDescent="0.3">
      <c r="A819" t="s">
        <v>827</v>
      </c>
      <c r="B819" s="1">
        <v>45182</v>
      </c>
      <c r="C819" t="s">
        <v>1211</v>
      </c>
      <c r="D819" t="s">
        <v>1216</v>
      </c>
      <c r="E819" t="s">
        <v>1222</v>
      </c>
      <c r="F819" t="s">
        <v>1230</v>
      </c>
      <c r="G819" s="6">
        <v>8</v>
      </c>
      <c r="H819">
        <v>551</v>
      </c>
      <c r="I819">
        <v>4408</v>
      </c>
      <c r="J819" s="2">
        <v>789.24</v>
      </c>
      <c r="K819" s="16">
        <f>Table13[[#This Row],[Profit]]/Table13[[#This Row],[Sales]]</f>
        <v>0.17904718693284938</v>
      </c>
      <c r="L819" s="17" t="str">
        <f t="shared" si="84"/>
        <v>Low</v>
      </c>
      <c r="M819" s="17" t="str">
        <f t="shared" si="85"/>
        <v>Sep</v>
      </c>
      <c r="N819" s="18">
        <f>YEAR(Table13[[#This Row],[Order_Date]])</f>
        <v>2023</v>
      </c>
      <c r="O819" s="18">
        <f>Table13[[#This Row],[Price]]*0.7</f>
        <v>385.7</v>
      </c>
      <c r="P819" s="18">
        <f t="shared" si="86"/>
        <v>1322.4</v>
      </c>
      <c r="Q819" s="18">
        <f t="shared" si="87"/>
        <v>0.1</v>
      </c>
      <c r="R819" s="18">
        <f t="shared" si="88"/>
        <v>3618.7599999999998</v>
      </c>
      <c r="S819" s="18" t="str">
        <f>IF(Table13[[#This Row],[Quantity]]&lt;=3,"Small",IF(Table13[[#This Row],[Quantity]]&lt;=6,"Medium","Bulk"))</f>
        <v>Bulk</v>
      </c>
      <c r="T819" s="18" t="str">
        <f t="shared" si="89"/>
        <v>Normal</v>
      </c>
      <c r="U819" s="18" t="str">
        <f t="shared" si="90"/>
        <v>low Value</v>
      </c>
    </row>
    <row r="820" spans="1:21" x14ac:dyDescent="0.3">
      <c r="A820" t="s">
        <v>828</v>
      </c>
      <c r="B820" s="1">
        <v>45162</v>
      </c>
      <c r="C820" t="s">
        <v>1211</v>
      </c>
      <c r="D820" t="s">
        <v>1218</v>
      </c>
      <c r="E820" t="s">
        <v>1222</v>
      </c>
      <c r="F820" t="s">
        <v>1234</v>
      </c>
      <c r="G820" s="6">
        <v>1</v>
      </c>
      <c r="H820">
        <v>745</v>
      </c>
      <c r="I820">
        <v>745</v>
      </c>
      <c r="J820" s="2">
        <v>106.35</v>
      </c>
      <c r="K820" s="16">
        <f>Table13[[#This Row],[Profit]]/Table13[[#This Row],[Sales]]</f>
        <v>0.14275167785234899</v>
      </c>
      <c r="L820" s="17" t="str">
        <f t="shared" si="84"/>
        <v>Low</v>
      </c>
      <c r="M820" s="17" t="str">
        <f t="shared" si="85"/>
        <v>Aug</v>
      </c>
      <c r="N820" s="18">
        <f>YEAR(Table13[[#This Row],[Order_Date]])</f>
        <v>2023</v>
      </c>
      <c r="O820" s="18">
        <f>Table13[[#This Row],[Price]]*0.7</f>
        <v>521.5</v>
      </c>
      <c r="P820" s="18">
        <f t="shared" si="86"/>
        <v>223.5</v>
      </c>
      <c r="Q820" s="18">
        <f t="shared" si="87"/>
        <v>0.05</v>
      </c>
      <c r="R820" s="18">
        <f t="shared" si="88"/>
        <v>638.65</v>
      </c>
      <c r="S820" s="18" t="str">
        <f>IF(Table13[[#This Row],[Quantity]]&lt;=3,"Small",IF(Table13[[#This Row],[Quantity]]&lt;=6,"Medium","Bulk"))</f>
        <v>Small</v>
      </c>
      <c r="T820" s="18" t="str">
        <f t="shared" si="89"/>
        <v>Normal</v>
      </c>
      <c r="U820" s="18" t="str">
        <f t="shared" si="90"/>
        <v>low Value</v>
      </c>
    </row>
    <row r="821" spans="1:21" x14ac:dyDescent="0.3">
      <c r="A821" t="s">
        <v>829</v>
      </c>
      <c r="B821" s="1">
        <v>45118</v>
      </c>
      <c r="C821" t="s">
        <v>1212</v>
      </c>
      <c r="D821" t="s">
        <v>1218</v>
      </c>
      <c r="E821" t="s">
        <v>1222</v>
      </c>
      <c r="F821" t="s">
        <v>1230</v>
      </c>
      <c r="G821" s="6">
        <v>2</v>
      </c>
      <c r="H821">
        <v>2749</v>
      </c>
      <c r="I821">
        <v>5498</v>
      </c>
      <c r="J821" s="2">
        <v>872.21</v>
      </c>
      <c r="K821" s="16">
        <f>Table13[[#This Row],[Profit]]/Table13[[#This Row],[Sales]]</f>
        <v>0.15864132411786105</v>
      </c>
      <c r="L821" s="17" t="str">
        <f t="shared" si="84"/>
        <v>Low</v>
      </c>
      <c r="M821" s="17" t="str">
        <f t="shared" si="85"/>
        <v>Jul</v>
      </c>
      <c r="N821" s="18">
        <f>YEAR(Table13[[#This Row],[Order_Date]])</f>
        <v>2023</v>
      </c>
      <c r="O821" s="18">
        <f>Table13[[#This Row],[Price]]*0.7</f>
        <v>1924.3</v>
      </c>
      <c r="P821" s="18">
        <f t="shared" si="86"/>
        <v>1649.4</v>
      </c>
      <c r="Q821" s="18">
        <f t="shared" si="87"/>
        <v>0.05</v>
      </c>
      <c r="R821" s="18">
        <f t="shared" si="88"/>
        <v>4625.79</v>
      </c>
      <c r="S821" s="18" t="str">
        <f>IF(Table13[[#This Row],[Quantity]]&lt;=3,"Small",IF(Table13[[#This Row],[Quantity]]&lt;=6,"Medium","Bulk"))</f>
        <v>Small</v>
      </c>
      <c r="T821" s="18" t="str">
        <f t="shared" si="89"/>
        <v>High Demand</v>
      </c>
      <c r="U821" s="18" t="str">
        <f t="shared" si="90"/>
        <v>low Value</v>
      </c>
    </row>
    <row r="822" spans="1:21" x14ac:dyDescent="0.3">
      <c r="A822" t="s">
        <v>830</v>
      </c>
      <c r="B822" s="1">
        <v>45266</v>
      </c>
      <c r="C822" t="s">
        <v>1212</v>
      </c>
      <c r="D822" t="s">
        <v>1215</v>
      </c>
      <c r="E822" t="s">
        <v>1220</v>
      </c>
      <c r="F822" t="s">
        <v>1225</v>
      </c>
      <c r="G822" s="6">
        <v>8</v>
      </c>
      <c r="H822">
        <v>3839</v>
      </c>
      <c r="I822">
        <v>30712</v>
      </c>
      <c r="J822" s="2">
        <v>5224.4399999999996</v>
      </c>
      <c r="K822" s="16">
        <f>Table13[[#This Row],[Profit]]/Table13[[#This Row],[Sales]]</f>
        <v>0.17011070591299815</v>
      </c>
      <c r="L822" s="17" t="str">
        <f t="shared" si="84"/>
        <v>High</v>
      </c>
      <c r="M822" s="17" t="str">
        <f t="shared" si="85"/>
        <v>Dec</v>
      </c>
      <c r="N822" s="18">
        <f>YEAR(Table13[[#This Row],[Order_Date]])</f>
        <v>2023</v>
      </c>
      <c r="O822" s="18">
        <f>Table13[[#This Row],[Price]]*0.7</f>
        <v>2687.2999999999997</v>
      </c>
      <c r="P822" s="18">
        <f t="shared" si="86"/>
        <v>9213.6000000000022</v>
      </c>
      <c r="Q822" s="18">
        <f t="shared" si="87"/>
        <v>0.1</v>
      </c>
      <c r="R822" s="18">
        <f t="shared" si="88"/>
        <v>25487.56</v>
      </c>
      <c r="S822" s="18" t="str">
        <f>IF(Table13[[#This Row],[Quantity]]&lt;=3,"Small",IF(Table13[[#This Row],[Quantity]]&lt;=6,"Medium","Bulk"))</f>
        <v>Bulk</v>
      </c>
      <c r="T822" s="18" t="str">
        <f t="shared" si="89"/>
        <v>High Demand</v>
      </c>
      <c r="U822" s="18" t="str">
        <f t="shared" si="90"/>
        <v>High Value</v>
      </c>
    </row>
    <row r="823" spans="1:21" x14ac:dyDescent="0.3">
      <c r="A823" t="s">
        <v>831</v>
      </c>
      <c r="B823" s="1">
        <v>45048</v>
      </c>
      <c r="C823" t="s">
        <v>1213</v>
      </c>
      <c r="D823" t="s">
        <v>1218</v>
      </c>
      <c r="E823" t="s">
        <v>1222</v>
      </c>
      <c r="F823" t="s">
        <v>1230</v>
      </c>
      <c r="G823" s="6">
        <v>3</v>
      </c>
      <c r="H823">
        <v>3756</v>
      </c>
      <c r="I823">
        <v>11268</v>
      </c>
      <c r="J823" s="2">
        <v>2472.6799999999998</v>
      </c>
      <c r="K823" s="16">
        <f>Table13[[#This Row],[Profit]]/Table13[[#This Row],[Sales]]</f>
        <v>0.21944266950656727</v>
      </c>
      <c r="L823" s="17" t="str">
        <f t="shared" si="84"/>
        <v>Medium</v>
      </c>
      <c r="M823" s="17" t="str">
        <f t="shared" si="85"/>
        <v>May</v>
      </c>
      <c r="N823" s="18">
        <f>YEAR(Table13[[#This Row],[Order_Date]])</f>
        <v>2023</v>
      </c>
      <c r="O823" s="18">
        <f>Table13[[#This Row],[Price]]*0.7</f>
        <v>2629.2</v>
      </c>
      <c r="P823" s="18">
        <f t="shared" si="86"/>
        <v>3380.4000000000005</v>
      </c>
      <c r="Q823" s="18">
        <f t="shared" si="87"/>
        <v>0.05</v>
      </c>
      <c r="R823" s="18">
        <f t="shared" si="88"/>
        <v>8795.3200000000015</v>
      </c>
      <c r="S823" s="18" t="str">
        <f>IF(Table13[[#This Row],[Quantity]]&lt;=3,"Small",IF(Table13[[#This Row],[Quantity]]&lt;=6,"Medium","Bulk"))</f>
        <v>Small</v>
      </c>
      <c r="T823" s="18" t="str">
        <f t="shared" si="89"/>
        <v>Normal</v>
      </c>
      <c r="U823" s="18" t="str">
        <f t="shared" si="90"/>
        <v>Medium Value</v>
      </c>
    </row>
    <row r="824" spans="1:21" x14ac:dyDescent="0.3">
      <c r="A824" t="s">
        <v>832</v>
      </c>
      <c r="B824" s="1">
        <v>45276</v>
      </c>
      <c r="C824" t="s">
        <v>1211</v>
      </c>
      <c r="D824" t="s">
        <v>1218</v>
      </c>
      <c r="E824" t="s">
        <v>1219</v>
      </c>
      <c r="F824" t="s">
        <v>1232</v>
      </c>
      <c r="G824" s="6">
        <v>7</v>
      </c>
      <c r="H824">
        <v>4425</v>
      </c>
      <c r="I824">
        <v>30975</v>
      </c>
      <c r="J824" s="2">
        <v>7379.49</v>
      </c>
      <c r="K824" s="16">
        <f>Table13[[#This Row],[Profit]]/Table13[[#This Row],[Sales]]</f>
        <v>0.23824019370460048</v>
      </c>
      <c r="L824" s="17" t="str">
        <f t="shared" si="84"/>
        <v>High</v>
      </c>
      <c r="M824" s="17" t="str">
        <f t="shared" si="85"/>
        <v>Dec</v>
      </c>
      <c r="N824" s="18">
        <f>YEAR(Table13[[#This Row],[Order_Date]])</f>
        <v>2023</v>
      </c>
      <c r="O824" s="18">
        <f>Table13[[#This Row],[Price]]*0.7</f>
        <v>3097.5</v>
      </c>
      <c r="P824" s="18">
        <f t="shared" si="86"/>
        <v>9292.5</v>
      </c>
      <c r="Q824" s="18">
        <f t="shared" si="87"/>
        <v>0.1</v>
      </c>
      <c r="R824" s="18">
        <f t="shared" si="88"/>
        <v>23595.51</v>
      </c>
      <c r="S824" s="18" t="str">
        <f>IF(Table13[[#This Row],[Quantity]]&lt;=3,"Small",IF(Table13[[#This Row],[Quantity]]&lt;=6,"Medium","Bulk"))</f>
        <v>Bulk</v>
      </c>
      <c r="T824" s="18" t="str">
        <f t="shared" si="89"/>
        <v>Normal</v>
      </c>
      <c r="U824" s="18" t="str">
        <f t="shared" si="90"/>
        <v>High Value</v>
      </c>
    </row>
    <row r="825" spans="1:21" x14ac:dyDescent="0.3">
      <c r="A825" t="s">
        <v>833</v>
      </c>
      <c r="B825" s="1">
        <v>45233</v>
      </c>
      <c r="C825" t="s">
        <v>1212</v>
      </c>
      <c r="D825" t="s">
        <v>1215</v>
      </c>
      <c r="E825" t="s">
        <v>1219</v>
      </c>
      <c r="F825" t="s">
        <v>1232</v>
      </c>
      <c r="G825" s="6">
        <v>5</v>
      </c>
      <c r="H825">
        <v>3931</v>
      </c>
      <c r="I825">
        <v>19655</v>
      </c>
      <c r="J825" s="2">
        <v>1577.89</v>
      </c>
      <c r="K825" s="16">
        <f>Table13[[#This Row],[Profit]]/Table13[[#This Row],[Sales]]</f>
        <v>8.027931823963369E-2</v>
      </c>
      <c r="L825" s="17" t="str">
        <f t="shared" si="84"/>
        <v>Medium</v>
      </c>
      <c r="M825" s="17" t="str">
        <f t="shared" si="85"/>
        <v>Nov</v>
      </c>
      <c r="N825" s="18">
        <f>YEAR(Table13[[#This Row],[Order_Date]])</f>
        <v>2023</v>
      </c>
      <c r="O825" s="18">
        <f>Table13[[#This Row],[Price]]*0.7</f>
        <v>2751.7</v>
      </c>
      <c r="P825" s="18">
        <f t="shared" si="86"/>
        <v>5896.5</v>
      </c>
      <c r="Q825" s="18">
        <f t="shared" si="87"/>
        <v>0.05</v>
      </c>
      <c r="R825" s="18">
        <f t="shared" si="88"/>
        <v>18077.109999999997</v>
      </c>
      <c r="S825" s="18" t="str">
        <f>IF(Table13[[#This Row],[Quantity]]&lt;=3,"Small",IF(Table13[[#This Row],[Quantity]]&lt;=6,"Medium","Bulk"))</f>
        <v>Medium</v>
      </c>
      <c r="T825" s="18" t="str">
        <f t="shared" si="89"/>
        <v>High Demand</v>
      </c>
      <c r="U825" s="18" t="str">
        <f t="shared" si="90"/>
        <v>Medium Value</v>
      </c>
    </row>
    <row r="826" spans="1:21" x14ac:dyDescent="0.3">
      <c r="A826" t="s">
        <v>834</v>
      </c>
      <c r="B826" s="1">
        <v>45191</v>
      </c>
      <c r="C826" t="s">
        <v>1210</v>
      </c>
      <c r="D826" t="s">
        <v>1216</v>
      </c>
      <c r="E826" t="s">
        <v>1221</v>
      </c>
      <c r="F826" t="s">
        <v>1231</v>
      </c>
      <c r="G826" s="6">
        <v>5</v>
      </c>
      <c r="H826">
        <v>1649</v>
      </c>
      <c r="I826">
        <v>8245</v>
      </c>
      <c r="J826" s="2">
        <v>967.45</v>
      </c>
      <c r="K826" s="16">
        <f>Table13[[#This Row],[Profit]]/Table13[[#This Row],[Sales]]</f>
        <v>0.11733778047301395</v>
      </c>
      <c r="L826" s="17" t="str">
        <f t="shared" si="84"/>
        <v>Low</v>
      </c>
      <c r="M826" s="17" t="str">
        <f t="shared" si="85"/>
        <v>Sep</v>
      </c>
      <c r="N826" s="18">
        <f>YEAR(Table13[[#This Row],[Order_Date]])</f>
        <v>2023</v>
      </c>
      <c r="O826" s="18">
        <f>Table13[[#This Row],[Price]]*0.7</f>
        <v>1154.3</v>
      </c>
      <c r="P826" s="18">
        <f t="shared" si="86"/>
        <v>2473.5</v>
      </c>
      <c r="Q826" s="18">
        <f t="shared" si="87"/>
        <v>0.05</v>
      </c>
      <c r="R826" s="18">
        <f t="shared" si="88"/>
        <v>7277.55</v>
      </c>
      <c r="S826" s="18" t="str">
        <f>IF(Table13[[#This Row],[Quantity]]&lt;=3,"Small",IF(Table13[[#This Row],[Quantity]]&lt;=6,"Medium","Bulk"))</f>
        <v>Medium</v>
      </c>
      <c r="T826" s="18" t="str">
        <f t="shared" si="89"/>
        <v>Normal</v>
      </c>
      <c r="U826" s="18" t="str">
        <f t="shared" si="90"/>
        <v>low Value</v>
      </c>
    </row>
    <row r="827" spans="1:21" x14ac:dyDescent="0.3">
      <c r="A827" t="s">
        <v>835</v>
      </c>
      <c r="B827" s="1">
        <v>45177</v>
      </c>
      <c r="C827" t="s">
        <v>1211</v>
      </c>
      <c r="D827" t="s">
        <v>1218</v>
      </c>
      <c r="E827" t="s">
        <v>1220</v>
      </c>
      <c r="F827" t="s">
        <v>1224</v>
      </c>
      <c r="G827" s="6">
        <v>6</v>
      </c>
      <c r="H827">
        <v>2921</v>
      </c>
      <c r="I827">
        <v>17526</v>
      </c>
      <c r="J827" s="2">
        <v>1902.07</v>
      </c>
      <c r="K827" s="16">
        <f>Table13[[#This Row],[Profit]]/Table13[[#This Row],[Sales]]</f>
        <v>0.10852847198448019</v>
      </c>
      <c r="L827" s="17" t="str">
        <f t="shared" si="84"/>
        <v>Medium</v>
      </c>
      <c r="M827" s="17" t="str">
        <f t="shared" si="85"/>
        <v>Sep</v>
      </c>
      <c r="N827" s="18">
        <f>YEAR(Table13[[#This Row],[Order_Date]])</f>
        <v>2023</v>
      </c>
      <c r="O827" s="18">
        <f>Table13[[#This Row],[Price]]*0.7</f>
        <v>2044.6999999999998</v>
      </c>
      <c r="P827" s="18">
        <f t="shared" si="86"/>
        <v>5257.8000000000011</v>
      </c>
      <c r="Q827" s="18">
        <f t="shared" si="87"/>
        <v>0.1</v>
      </c>
      <c r="R827" s="18">
        <f t="shared" si="88"/>
        <v>15623.93</v>
      </c>
      <c r="S827" s="18" t="str">
        <f>IF(Table13[[#This Row],[Quantity]]&lt;=3,"Small",IF(Table13[[#This Row],[Quantity]]&lt;=6,"Medium","Bulk"))</f>
        <v>Medium</v>
      </c>
      <c r="T827" s="18" t="str">
        <f t="shared" si="89"/>
        <v>Normal</v>
      </c>
      <c r="U827" s="18" t="str">
        <f t="shared" si="90"/>
        <v>Medium Value</v>
      </c>
    </row>
    <row r="828" spans="1:21" x14ac:dyDescent="0.3">
      <c r="A828" t="s">
        <v>836</v>
      </c>
      <c r="B828" s="1">
        <v>45186</v>
      </c>
      <c r="C828" t="s">
        <v>1212</v>
      </c>
      <c r="D828" t="s">
        <v>1217</v>
      </c>
      <c r="E828" t="s">
        <v>1220</v>
      </c>
      <c r="F828" t="s">
        <v>1237</v>
      </c>
      <c r="G828" s="6">
        <v>1</v>
      </c>
      <c r="H828">
        <v>712</v>
      </c>
      <c r="I828">
        <v>712</v>
      </c>
      <c r="J828" s="2">
        <v>71.38</v>
      </c>
      <c r="K828" s="16">
        <f>Table13[[#This Row],[Profit]]/Table13[[#This Row],[Sales]]</f>
        <v>0.10025280898876404</v>
      </c>
      <c r="L828" s="17" t="str">
        <f t="shared" si="84"/>
        <v>Low</v>
      </c>
      <c r="M828" s="17" t="str">
        <f t="shared" si="85"/>
        <v>Sep</v>
      </c>
      <c r="N828" s="18">
        <f>YEAR(Table13[[#This Row],[Order_Date]])</f>
        <v>2023</v>
      </c>
      <c r="O828" s="18">
        <f>Table13[[#This Row],[Price]]*0.7</f>
        <v>498.4</v>
      </c>
      <c r="P828" s="18">
        <f t="shared" si="86"/>
        <v>213.60000000000002</v>
      </c>
      <c r="Q828" s="18">
        <f t="shared" si="87"/>
        <v>0.05</v>
      </c>
      <c r="R828" s="18">
        <f t="shared" si="88"/>
        <v>640.62</v>
      </c>
      <c r="S828" s="18" t="str">
        <f>IF(Table13[[#This Row],[Quantity]]&lt;=3,"Small",IF(Table13[[#This Row],[Quantity]]&lt;=6,"Medium","Bulk"))</f>
        <v>Small</v>
      </c>
      <c r="T828" s="18" t="str">
        <f t="shared" si="89"/>
        <v>High Demand</v>
      </c>
      <c r="U828" s="18" t="str">
        <f t="shared" si="90"/>
        <v>low Value</v>
      </c>
    </row>
    <row r="829" spans="1:21" x14ac:dyDescent="0.3">
      <c r="A829" t="s">
        <v>837</v>
      </c>
      <c r="B829" s="1">
        <v>45154</v>
      </c>
      <c r="C829" t="s">
        <v>1213</v>
      </c>
      <c r="D829" t="s">
        <v>1217</v>
      </c>
      <c r="E829" t="s">
        <v>1219</v>
      </c>
      <c r="F829" t="s">
        <v>1238</v>
      </c>
      <c r="G829" s="6">
        <v>1</v>
      </c>
      <c r="H829">
        <v>2531</v>
      </c>
      <c r="I829">
        <v>2531</v>
      </c>
      <c r="J829" s="2">
        <v>303.38</v>
      </c>
      <c r="K829" s="16">
        <f>Table13[[#This Row],[Profit]]/Table13[[#This Row],[Sales]]</f>
        <v>0.11986566574476491</v>
      </c>
      <c r="L829" s="17" t="str">
        <f t="shared" si="84"/>
        <v>Low</v>
      </c>
      <c r="M829" s="17" t="str">
        <f t="shared" si="85"/>
        <v>Aug</v>
      </c>
      <c r="N829" s="18">
        <f>YEAR(Table13[[#This Row],[Order_Date]])</f>
        <v>2023</v>
      </c>
      <c r="O829" s="18">
        <f>Table13[[#This Row],[Price]]*0.7</f>
        <v>1771.6999999999998</v>
      </c>
      <c r="P829" s="18">
        <f t="shared" si="86"/>
        <v>759.30000000000018</v>
      </c>
      <c r="Q829" s="18">
        <f t="shared" si="87"/>
        <v>0.05</v>
      </c>
      <c r="R829" s="18">
        <f t="shared" si="88"/>
        <v>2227.62</v>
      </c>
      <c r="S829" s="18" t="str">
        <f>IF(Table13[[#This Row],[Quantity]]&lt;=3,"Small",IF(Table13[[#This Row],[Quantity]]&lt;=6,"Medium","Bulk"))</f>
        <v>Small</v>
      </c>
      <c r="T829" s="18" t="str">
        <f t="shared" si="89"/>
        <v>Normal</v>
      </c>
      <c r="U829" s="18" t="str">
        <f t="shared" si="90"/>
        <v>low Value</v>
      </c>
    </row>
    <row r="830" spans="1:21" x14ac:dyDescent="0.3">
      <c r="A830" t="s">
        <v>838</v>
      </c>
      <c r="B830" s="1">
        <v>44944</v>
      </c>
      <c r="C830" t="s">
        <v>1211</v>
      </c>
      <c r="D830" t="s">
        <v>1215</v>
      </c>
      <c r="E830" t="s">
        <v>1219</v>
      </c>
      <c r="F830" t="s">
        <v>1233</v>
      </c>
      <c r="G830" s="6">
        <v>8</v>
      </c>
      <c r="H830">
        <v>1279</v>
      </c>
      <c r="I830">
        <v>10232</v>
      </c>
      <c r="J830" s="2">
        <v>1905.13</v>
      </c>
      <c r="K830" s="16">
        <f>Table13[[#This Row],[Profit]]/Table13[[#This Row],[Sales]]</f>
        <v>0.18619331508991402</v>
      </c>
      <c r="L830" s="17" t="str">
        <f t="shared" si="84"/>
        <v>Medium</v>
      </c>
      <c r="M830" s="17" t="str">
        <f t="shared" si="85"/>
        <v>Jan</v>
      </c>
      <c r="N830" s="18">
        <f>YEAR(Table13[[#This Row],[Order_Date]])</f>
        <v>2023</v>
      </c>
      <c r="O830" s="18">
        <f>Table13[[#This Row],[Price]]*0.7</f>
        <v>895.3</v>
      </c>
      <c r="P830" s="18">
        <f t="shared" si="86"/>
        <v>3069.6000000000004</v>
      </c>
      <c r="Q830" s="18">
        <f t="shared" si="87"/>
        <v>0.1</v>
      </c>
      <c r="R830" s="18">
        <f t="shared" si="88"/>
        <v>8326.8700000000008</v>
      </c>
      <c r="S830" s="18" t="str">
        <f>IF(Table13[[#This Row],[Quantity]]&lt;=3,"Small",IF(Table13[[#This Row],[Quantity]]&lt;=6,"Medium","Bulk"))</f>
        <v>Bulk</v>
      </c>
      <c r="T830" s="18" t="str">
        <f t="shared" si="89"/>
        <v>Normal</v>
      </c>
      <c r="U830" s="18" t="str">
        <f t="shared" si="90"/>
        <v>Medium Value</v>
      </c>
    </row>
    <row r="831" spans="1:21" x14ac:dyDescent="0.3">
      <c r="A831" t="s">
        <v>839</v>
      </c>
      <c r="B831" s="1">
        <v>45005</v>
      </c>
      <c r="C831" t="s">
        <v>1211</v>
      </c>
      <c r="D831" t="s">
        <v>1214</v>
      </c>
      <c r="E831" t="s">
        <v>1222</v>
      </c>
      <c r="F831" t="s">
        <v>1234</v>
      </c>
      <c r="G831" s="6">
        <v>7</v>
      </c>
      <c r="H831">
        <v>4484</v>
      </c>
      <c r="I831">
        <v>31388</v>
      </c>
      <c r="J831" s="2">
        <v>5226.4799999999996</v>
      </c>
      <c r="K831" s="16">
        <f>Table13[[#This Row],[Profit]]/Table13[[#This Row],[Sales]]</f>
        <v>0.16651204281891166</v>
      </c>
      <c r="L831" s="17" t="str">
        <f t="shared" si="84"/>
        <v>High</v>
      </c>
      <c r="M831" s="17" t="str">
        <f t="shared" si="85"/>
        <v>Mar</v>
      </c>
      <c r="N831" s="18">
        <f>YEAR(Table13[[#This Row],[Order_Date]])</f>
        <v>2023</v>
      </c>
      <c r="O831" s="18">
        <f>Table13[[#This Row],[Price]]*0.7</f>
        <v>3138.7999999999997</v>
      </c>
      <c r="P831" s="18">
        <f t="shared" si="86"/>
        <v>9416.4000000000015</v>
      </c>
      <c r="Q831" s="18">
        <f t="shared" si="87"/>
        <v>0.1</v>
      </c>
      <c r="R831" s="18">
        <f t="shared" si="88"/>
        <v>26161.52</v>
      </c>
      <c r="S831" s="18" t="str">
        <f>IF(Table13[[#This Row],[Quantity]]&lt;=3,"Small",IF(Table13[[#This Row],[Quantity]]&lt;=6,"Medium","Bulk"))</f>
        <v>Bulk</v>
      </c>
      <c r="T831" s="18" t="str">
        <f t="shared" si="89"/>
        <v>Normal</v>
      </c>
      <c r="U831" s="18" t="str">
        <f t="shared" si="90"/>
        <v>High Value</v>
      </c>
    </row>
    <row r="832" spans="1:21" x14ac:dyDescent="0.3">
      <c r="A832" t="s">
        <v>840</v>
      </c>
      <c r="B832" s="1">
        <v>44997</v>
      </c>
      <c r="C832" t="s">
        <v>1213</v>
      </c>
      <c r="D832" t="s">
        <v>1217</v>
      </c>
      <c r="E832" t="s">
        <v>1220</v>
      </c>
      <c r="F832" t="s">
        <v>1225</v>
      </c>
      <c r="G832" s="6">
        <v>2</v>
      </c>
      <c r="H832">
        <v>1025</v>
      </c>
      <c r="I832">
        <v>2050</v>
      </c>
      <c r="J832" s="2">
        <v>177.14</v>
      </c>
      <c r="K832" s="16">
        <f>Table13[[#This Row],[Profit]]/Table13[[#This Row],[Sales]]</f>
        <v>8.6409756097560964E-2</v>
      </c>
      <c r="L832" s="17" t="str">
        <f t="shared" si="84"/>
        <v>Low</v>
      </c>
      <c r="M832" s="17" t="str">
        <f t="shared" si="85"/>
        <v>Mar</v>
      </c>
      <c r="N832" s="18">
        <f>YEAR(Table13[[#This Row],[Order_Date]])</f>
        <v>2023</v>
      </c>
      <c r="O832" s="18">
        <f>Table13[[#This Row],[Price]]*0.7</f>
        <v>717.5</v>
      </c>
      <c r="P832" s="18">
        <f t="shared" si="86"/>
        <v>615</v>
      </c>
      <c r="Q832" s="18">
        <f t="shared" si="87"/>
        <v>0.05</v>
      </c>
      <c r="R832" s="18">
        <f t="shared" si="88"/>
        <v>1872.8600000000001</v>
      </c>
      <c r="S832" s="18" t="str">
        <f>IF(Table13[[#This Row],[Quantity]]&lt;=3,"Small",IF(Table13[[#This Row],[Quantity]]&lt;=6,"Medium","Bulk"))</f>
        <v>Small</v>
      </c>
      <c r="T832" s="18" t="str">
        <f t="shared" si="89"/>
        <v>Normal</v>
      </c>
      <c r="U832" s="18" t="str">
        <f t="shared" si="90"/>
        <v>low Value</v>
      </c>
    </row>
    <row r="833" spans="1:21" x14ac:dyDescent="0.3">
      <c r="A833" t="s">
        <v>841</v>
      </c>
      <c r="B833" s="1">
        <v>44994</v>
      </c>
      <c r="C833" t="s">
        <v>1211</v>
      </c>
      <c r="D833" t="s">
        <v>1218</v>
      </c>
      <c r="E833" t="s">
        <v>1220</v>
      </c>
      <c r="F833" t="s">
        <v>1237</v>
      </c>
      <c r="G833" s="6">
        <v>8</v>
      </c>
      <c r="H833">
        <v>4765</v>
      </c>
      <c r="I833">
        <v>38120</v>
      </c>
      <c r="J833" s="2">
        <v>8120.51</v>
      </c>
      <c r="K833" s="16">
        <f>Table13[[#This Row],[Profit]]/Table13[[#This Row],[Sales]]</f>
        <v>0.21302492130115425</v>
      </c>
      <c r="L833" s="17" t="str">
        <f t="shared" si="84"/>
        <v>High</v>
      </c>
      <c r="M833" s="17" t="str">
        <f t="shared" si="85"/>
        <v>Mar</v>
      </c>
      <c r="N833" s="18">
        <f>YEAR(Table13[[#This Row],[Order_Date]])</f>
        <v>2023</v>
      </c>
      <c r="O833" s="18">
        <f>Table13[[#This Row],[Price]]*0.7</f>
        <v>3335.5</v>
      </c>
      <c r="P833" s="18">
        <f t="shared" si="86"/>
        <v>11436</v>
      </c>
      <c r="Q833" s="18">
        <f t="shared" si="87"/>
        <v>0.1</v>
      </c>
      <c r="R833" s="18">
        <f t="shared" si="88"/>
        <v>29999.49</v>
      </c>
      <c r="S833" s="18" t="str">
        <f>IF(Table13[[#This Row],[Quantity]]&lt;=3,"Small",IF(Table13[[#This Row],[Quantity]]&lt;=6,"Medium","Bulk"))</f>
        <v>Bulk</v>
      </c>
      <c r="T833" s="18" t="str">
        <f t="shared" si="89"/>
        <v>Normal</v>
      </c>
      <c r="U833" s="18" t="str">
        <f t="shared" si="90"/>
        <v>High Value</v>
      </c>
    </row>
    <row r="834" spans="1:21" x14ac:dyDescent="0.3">
      <c r="A834" t="s">
        <v>842</v>
      </c>
      <c r="B834" s="1">
        <v>45177</v>
      </c>
      <c r="C834" t="s">
        <v>1210</v>
      </c>
      <c r="D834" t="s">
        <v>1216</v>
      </c>
      <c r="E834" t="s">
        <v>1221</v>
      </c>
      <c r="F834" t="s">
        <v>1229</v>
      </c>
      <c r="G834" s="6">
        <v>5</v>
      </c>
      <c r="H834">
        <v>2721</v>
      </c>
      <c r="I834">
        <v>13605</v>
      </c>
      <c r="J834" s="2">
        <v>1887.67</v>
      </c>
      <c r="K834" s="16">
        <f>Table13[[#This Row],[Profit]]/Table13[[#This Row],[Sales]]</f>
        <v>0.13874825431826535</v>
      </c>
      <c r="L834" s="17" t="str">
        <f t="shared" ref="L834:L897" si="91">IF(I834&gt;20000,"High",IF(I834&gt;10000,"Medium","Low"))</f>
        <v>Medium</v>
      </c>
      <c r="M834" s="17" t="str">
        <f t="shared" ref="M834:M897" si="92">TEXT(B834,"mmm")</f>
        <v>Sep</v>
      </c>
      <c r="N834" s="18">
        <f>YEAR(Table13[[#This Row],[Order_Date]])</f>
        <v>2023</v>
      </c>
      <c r="O834" s="18">
        <f>Table13[[#This Row],[Price]]*0.7</f>
        <v>1904.6999999999998</v>
      </c>
      <c r="P834" s="18">
        <f t="shared" ref="P834:P897" si="93">I834 - (G834 *O834)</f>
        <v>4081.5</v>
      </c>
      <c r="Q834" s="18">
        <f t="shared" ref="Q834:Q897" si="94">IF(G834&gt;5,0.1,0.05)</f>
        <v>0.05</v>
      </c>
      <c r="R834" s="18">
        <f t="shared" ref="R834:R897" si="95">I834*(1-K834)</f>
        <v>11717.33</v>
      </c>
      <c r="S834" s="18" t="str">
        <f>IF(Table13[[#This Row],[Quantity]]&lt;=3,"Small",IF(Table13[[#This Row],[Quantity]]&lt;=6,"Medium","Bulk"))</f>
        <v>Medium</v>
      </c>
      <c r="T834" s="18" t="str">
        <f t="shared" ref="T834:T897" si="96">IF(C834="North","High Demand","Normal")</f>
        <v>Normal</v>
      </c>
      <c r="U834" s="18" t="str">
        <f t="shared" ref="U834:U897" si="97">IF(I834&gt;20000,"High Value",IF(I834&gt;10000,"Medium Value","low Value"))</f>
        <v>Medium Value</v>
      </c>
    </row>
    <row r="835" spans="1:21" x14ac:dyDescent="0.3">
      <c r="A835" t="s">
        <v>843</v>
      </c>
      <c r="B835" s="1">
        <v>44946</v>
      </c>
      <c r="C835" t="s">
        <v>1213</v>
      </c>
      <c r="D835" t="s">
        <v>1214</v>
      </c>
      <c r="E835" t="s">
        <v>1220</v>
      </c>
      <c r="F835" t="s">
        <v>1237</v>
      </c>
      <c r="G835" s="6">
        <v>8</v>
      </c>
      <c r="H835">
        <v>2938</v>
      </c>
      <c r="I835">
        <v>23504</v>
      </c>
      <c r="J835" s="2">
        <v>1953.34</v>
      </c>
      <c r="K835" s="16">
        <f>Table13[[#This Row],[Profit]]/Table13[[#This Row],[Sales]]</f>
        <v>8.3106705241660986E-2</v>
      </c>
      <c r="L835" s="17" t="str">
        <f t="shared" si="91"/>
        <v>High</v>
      </c>
      <c r="M835" s="17" t="str">
        <f t="shared" si="92"/>
        <v>Jan</v>
      </c>
      <c r="N835" s="18">
        <f>YEAR(Table13[[#This Row],[Order_Date]])</f>
        <v>2023</v>
      </c>
      <c r="O835" s="18">
        <f>Table13[[#This Row],[Price]]*0.7</f>
        <v>2056.6</v>
      </c>
      <c r="P835" s="18">
        <f t="shared" si="93"/>
        <v>7051.2000000000007</v>
      </c>
      <c r="Q835" s="18">
        <f t="shared" si="94"/>
        <v>0.1</v>
      </c>
      <c r="R835" s="18">
        <f t="shared" si="95"/>
        <v>21550.66</v>
      </c>
      <c r="S835" s="18" t="str">
        <f>IF(Table13[[#This Row],[Quantity]]&lt;=3,"Small",IF(Table13[[#This Row],[Quantity]]&lt;=6,"Medium","Bulk"))</f>
        <v>Bulk</v>
      </c>
      <c r="T835" s="18" t="str">
        <f t="shared" si="96"/>
        <v>Normal</v>
      </c>
      <c r="U835" s="18" t="str">
        <f t="shared" si="97"/>
        <v>High Value</v>
      </c>
    </row>
    <row r="836" spans="1:21" x14ac:dyDescent="0.3">
      <c r="A836" t="s">
        <v>844</v>
      </c>
      <c r="B836" s="1">
        <v>45009</v>
      </c>
      <c r="C836" t="s">
        <v>1211</v>
      </c>
      <c r="D836" t="s">
        <v>1218</v>
      </c>
      <c r="E836" t="s">
        <v>1220</v>
      </c>
      <c r="F836" t="s">
        <v>1224</v>
      </c>
      <c r="G836" s="6">
        <v>1</v>
      </c>
      <c r="H836">
        <v>440</v>
      </c>
      <c r="I836">
        <v>440</v>
      </c>
      <c r="J836" s="2">
        <v>45.45</v>
      </c>
      <c r="K836" s="16">
        <f>Table13[[#This Row],[Profit]]/Table13[[#This Row],[Sales]]</f>
        <v>0.10329545454545455</v>
      </c>
      <c r="L836" s="17" t="str">
        <f t="shared" si="91"/>
        <v>Low</v>
      </c>
      <c r="M836" s="17" t="str">
        <f t="shared" si="92"/>
        <v>Mar</v>
      </c>
      <c r="N836" s="18">
        <f>YEAR(Table13[[#This Row],[Order_Date]])</f>
        <v>2023</v>
      </c>
      <c r="O836" s="18">
        <f>Table13[[#This Row],[Price]]*0.7</f>
        <v>308</v>
      </c>
      <c r="P836" s="18">
        <f t="shared" si="93"/>
        <v>132</v>
      </c>
      <c r="Q836" s="18">
        <f t="shared" si="94"/>
        <v>0.05</v>
      </c>
      <c r="R836" s="18">
        <f t="shared" si="95"/>
        <v>394.55</v>
      </c>
      <c r="S836" s="18" t="str">
        <f>IF(Table13[[#This Row],[Quantity]]&lt;=3,"Small",IF(Table13[[#This Row],[Quantity]]&lt;=6,"Medium","Bulk"))</f>
        <v>Small</v>
      </c>
      <c r="T836" s="18" t="str">
        <f t="shared" si="96"/>
        <v>Normal</v>
      </c>
      <c r="U836" s="18" t="str">
        <f t="shared" si="97"/>
        <v>low Value</v>
      </c>
    </row>
    <row r="837" spans="1:21" x14ac:dyDescent="0.3">
      <c r="A837" t="s">
        <v>845</v>
      </c>
      <c r="B837" s="1">
        <v>44948</v>
      </c>
      <c r="C837" t="s">
        <v>1210</v>
      </c>
      <c r="D837" t="s">
        <v>1216</v>
      </c>
      <c r="E837" t="s">
        <v>1219</v>
      </c>
      <c r="F837" t="s">
        <v>1223</v>
      </c>
      <c r="G837" s="6">
        <v>3</v>
      </c>
      <c r="H837">
        <v>4869</v>
      </c>
      <c r="I837">
        <v>14607</v>
      </c>
      <c r="J837" s="2">
        <v>2104.39</v>
      </c>
      <c r="K837" s="16">
        <f>Table13[[#This Row],[Profit]]/Table13[[#This Row],[Sales]]</f>
        <v>0.14406722804135003</v>
      </c>
      <c r="L837" s="17" t="str">
        <f t="shared" si="91"/>
        <v>Medium</v>
      </c>
      <c r="M837" s="17" t="str">
        <f t="shared" si="92"/>
        <v>Jan</v>
      </c>
      <c r="N837" s="18">
        <f>YEAR(Table13[[#This Row],[Order_Date]])</f>
        <v>2023</v>
      </c>
      <c r="O837" s="18">
        <f>Table13[[#This Row],[Price]]*0.7</f>
        <v>3408.2999999999997</v>
      </c>
      <c r="P837" s="18">
        <f t="shared" si="93"/>
        <v>4382.1000000000004</v>
      </c>
      <c r="Q837" s="18">
        <f t="shared" si="94"/>
        <v>0.05</v>
      </c>
      <c r="R837" s="18">
        <f t="shared" si="95"/>
        <v>12502.61</v>
      </c>
      <c r="S837" s="18" t="str">
        <f>IF(Table13[[#This Row],[Quantity]]&lt;=3,"Small",IF(Table13[[#This Row],[Quantity]]&lt;=6,"Medium","Bulk"))</f>
        <v>Small</v>
      </c>
      <c r="T837" s="18" t="str">
        <f t="shared" si="96"/>
        <v>Normal</v>
      </c>
      <c r="U837" s="18" t="str">
        <f t="shared" si="97"/>
        <v>Medium Value</v>
      </c>
    </row>
    <row r="838" spans="1:21" x14ac:dyDescent="0.3">
      <c r="A838" t="s">
        <v>846</v>
      </c>
      <c r="B838" s="1">
        <v>44957</v>
      </c>
      <c r="C838" t="s">
        <v>1211</v>
      </c>
      <c r="D838" t="s">
        <v>1217</v>
      </c>
      <c r="E838" t="s">
        <v>1220</v>
      </c>
      <c r="F838" t="s">
        <v>1228</v>
      </c>
      <c r="G838" s="6">
        <v>3</v>
      </c>
      <c r="H838">
        <v>2801</v>
      </c>
      <c r="I838">
        <v>8403</v>
      </c>
      <c r="J838" s="2">
        <v>824.81</v>
      </c>
      <c r="K838" s="16">
        <f>Table13[[#This Row],[Profit]]/Table13[[#This Row],[Sales]]</f>
        <v>9.8156610734261573E-2</v>
      </c>
      <c r="L838" s="17" t="str">
        <f t="shared" si="91"/>
        <v>Low</v>
      </c>
      <c r="M838" s="17" t="str">
        <f t="shared" si="92"/>
        <v>Jan</v>
      </c>
      <c r="N838" s="18">
        <f>YEAR(Table13[[#This Row],[Order_Date]])</f>
        <v>2023</v>
      </c>
      <c r="O838" s="18">
        <f>Table13[[#This Row],[Price]]*0.7</f>
        <v>1960.6999999999998</v>
      </c>
      <c r="P838" s="18">
        <f t="shared" si="93"/>
        <v>2520.9000000000005</v>
      </c>
      <c r="Q838" s="18">
        <f t="shared" si="94"/>
        <v>0.05</v>
      </c>
      <c r="R838" s="18">
        <f t="shared" si="95"/>
        <v>7578.1900000000005</v>
      </c>
      <c r="S838" s="18" t="str">
        <f>IF(Table13[[#This Row],[Quantity]]&lt;=3,"Small",IF(Table13[[#This Row],[Quantity]]&lt;=6,"Medium","Bulk"))</f>
        <v>Small</v>
      </c>
      <c r="T838" s="18" t="str">
        <f t="shared" si="96"/>
        <v>Normal</v>
      </c>
      <c r="U838" s="18" t="str">
        <f t="shared" si="97"/>
        <v>low Value</v>
      </c>
    </row>
    <row r="839" spans="1:21" x14ac:dyDescent="0.3">
      <c r="A839" t="s">
        <v>847</v>
      </c>
      <c r="B839" s="1">
        <v>45133</v>
      </c>
      <c r="C839" t="s">
        <v>1211</v>
      </c>
      <c r="D839" t="s">
        <v>1214</v>
      </c>
      <c r="E839" t="s">
        <v>1219</v>
      </c>
      <c r="F839" t="s">
        <v>1233</v>
      </c>
      <c r="G839" s="6">
        <v>1</v>
      </c>
      <c r="H839">
        <v>1517</v>
      </c>
      <c r="I839">
        <v>1517</v>
      </c>
      <c r="J839" s="2">
        <v>203.99</v>
      </c>
      <c r="K839" s="16">
        <f>Table13[[#This Row],[Profit]]/Table13[[#This Row],[Sales]]</f>
        <v>0.13446934739617666</v>
      </c>
      <c r="L839" s="17" t="str">
        <f t="shared" si="91"/>
        <v>Low</v>
      </c>
      <c r="M839" s="17" t="str">
        <f t="shared" si="92"/>
        <v>Jul</v>
      </c>
      <c r="N839" s="18">
        <f>YEAR(Table13[[#This Row],[Order_Date]])</f>
        <v>2023</v>
      </c>
      <c r="O839" s="18">
        <f>Table13[[#This Row],[Price]]*0.7</f>
        <v>1061.8999999999999</v>
      </c>
      <c r="P839" s="18">
        <f t="shared" si="93"/>
        <v>455.10000000000014</v>
      </c>
      <c r="Q839" s="18">
        <f t="shared" si="94"/>
        <v>0.05</v>
      </c>
      <c r="R839" s="18">
        <f t="shared" si="95"/>
        <v>1313.01</v>
      </c>
      <c r="S839" s="18" t="str">
        <f>IF(Table13[[#This Row],[Quantity]]&lt;=3,"Small",IF(Table13[[#This Row],[Quantity]]&lt;=6,"Medium","Bulk"))</f>
        <v>Small</v>
      </c>
      <c r="T839" s="18" t="str">
        <f t="shared" si="96"/>
        <v>Normal</v>
      </c>
      <c r="U839" s="18" t="str">
        <f t="shared" si="97"/>
        <v>low Value</v>
      </c>
    </row>
    <row r="840" spans="1:21" x14ac:dyDescent="0.3">
      <c r="A840" t="s">
        <v>848</v>
      </c>
      <c r="B840" s="1">
        <v>45234</v>
      </c>
      <c r="C840" t="s">
        <v>1212</v>
      </c>
      <c r="D840" t="s">
        <v>1215</v>
      </c>
      <c r="E840" t="s">
        <v>1221</v>
      </c>
      <c r="F840" t="s">
        <v>1235</v>
      </c>
      <c r="G840" s="6">
        <v>3</v>
      </c>
      <c r="H840">
        <v>1705</v>
      </c>
      <c r="I840">
        <v>5115</v>
      </c>
      <c r="J840" s="2">
        <v>1199.99</v>
      </c>
      <c r="K840" s="16">
        <f>Table13[[#This Row],[Profit]]/Table13[[#This Row],[Sales]]</f>
        <v>0.23460215053763442</v>
      </c>
      <c r="L840" s="17" t="str">
        <f t="shared" si="91"/>
        <v>Low</v>
      </c>
      <c r="M840" s="17" t="str">
        <f t="shared" si="92"/>
        <v>Nov</v>
      </c>
      <c r="N840" s="18">
        <f>YEAR(Table13[[#This Row],[Order_Date]])</f>
        <v>2023</v>
      </c>
      <c r="O840" s="18">
        <f>Table13[[#This Row],[Price]]*0.7</f>
        <v>1193.5</v>
      </c>
      <c r="P840" s="18">
        <f t="shared" si="93"/>
        <v>1534.5</v>
      </c>
      <c r="Q840" s="18">
        <f t="shared" si="94"/>
        <v>0.05</v>
      </c>
      <c r="R840" s="18">
        <f t="shared" si="95"/>
        <v>3915.0099999999998</v>
      </c>
      <c r="S840" s="18" t="str">
        <f>IF(Table13[[#This Row],[Quantity]]&lt;=3,"Small",IF(Table13[[#This Row],[Quantity]]&lt;=6,"Medium","Bulk"))</f>
        <v>Small</v>
      </c>
      <c r="T840" s="18" t="str">
        <f t="shared" si="96"/>
        <v>High Demand</v>
      </c>
      <c r="U840" s="18" t="str">
        <f t="shared" si="97"/>
        <v>low Value</v>
      </c>
    </row>
    <row r="841" spans="1:21" x14ac:dyDescent="0.3">
      <c r="A841" t="s">
        <v>849</v>
      </c>
      <c r="B841" s="1">
        <v>45203</v>
      </c>
      <c r="C841" t="s">
        <v>1212</v>
      </c>
      <c r="D841" t="s">
        <v>1216</v>
      </c>
      <c r="E841" t="s">
        <v>1220</v>
      </c>
      <c r="F841" t="s">
        <v>1228</v>
      </c>
      <c r="G841" s="6">
        <v>1</v>
      </c>
      <c r="H841">
        <v>378</v>
      </c>
      <c r="I841">
        <v>378</v>
      </c>
      <c r="J841" s="2">
        <v>60.86</v>
      </c>
      <c r="K841" s="16">
        <f>Table13[[#This Row],[Profit]]/Table13[[#This Row],[Sales]]</f>
        <v>0.16100529100529101</v>
      </c>
      <c r="L841" s="17" t="str">
        <f t="shared" si="91"/>
        <v>Low</v>
      </c>
      <c r="M841" s="17" t="str">
        <f t="shared" si="92"/>
        <v>Oct</v>
      </c>
      <c r="N841" s="18">
        <f>YEAR(Table13[[#This Row],[Order_Date]])</f>
        <v>2023</v>
      </c>
      <c r="O841" s="18">
        <f>Table13[[#This Row],[Price]]*0.7</f>
        <v>264.59999999999997</v>
      </c>
      <c r="P841" s="18">
        <f t="shared" si="93"/>
        <v>113.40000000000003</v>
      </c>
      <c r="Q841" s="18">
        <f t="shared" si="94"/>
        <v>0.05</v>
      </c>
      <c r="R841" s="18">
        <f t="shared" si="95"/>
        <v>317.14</v>
      </c>
      <c r="S841" s="18" t="str">
        <f>IF(Table13[[#This Row],[Quantity]]&lt;=3,"Small",IF(Table13[[#This Row],[Quantity]]&lt;=6,"Medium","Bulk"))</f>
        <v>Small</v>
      </c>
      <c r="T841" s="18" t="str">
        <f t="shared" si="96"/>
        <v>High Demand</v>
      </c>
      <c r="U841" s="18" t="str">
        <f t="shared" si="97"/>
        <v>low Value</v>
      </c>
    </row>
    <row r="842" spans="1:21" x14ac:dyDescent="0.3">
      <c r="A842" t="s">
        <v>850</v>
      </c>
      <c r="B842" s="1">
        <v>45026</v>
      </c>
      <c r="C842" t="s">
        <v>1211</v>
      </c>
      <c r="D842" t="s">
        <v>1214</v>
      </c>
      <c r="E842" t="s">
        <v>1219</v>
      </c>
      <c r="F842" t="s">
        <v>1232</v>
      </c>
      <c r="G842" s="6">
        <v>6</v>
      </c>
      <c r="H842">
        <v>3095</v>
      </c>
      <c r="I842">
        <v>18570</v>
      </c>
      <c r="J842" s="2">
        <v>1850.41</v>
      </c>
      <c r="K842" s="16">
        <f>Table13[[#This Row],[Profit]]/Table13[[#This Row],[Sales]]</f>
        <v>9.9645126548196017E-2</v>
      </c>
      <c r="L842" s="17" t="str">
        <f t="shared" si="91"/>
        <v>Medium</v>
      </c>
      <c r="M842" s="17" t="str">
        <f t="shared" si="92"/>
        <v>Apr</v>
      </c>
      <c r="N842" s="18">
        <f>YEAR(Table13[[#This Row],[Order_Date]])</f>
        <v>2023</v>
      </c>
      <c r="O842" s="18">
        <f>Table13[[#This Row],[Price]]*0.7</f>
        <v>2166.5</v>
      </c>
      <c r="P842" s="18">
        <f t="shared" si="93"/>
        <v>5571</v>
      </c>
      <c r="Q842" s="18">
        <f t="shared" si="94"/>
        <v>0.1</v>
      </c>
      <c r="R842" s="18">
        <f t="shared" si="95"/>
        <v>16719.59</v>
      </c>
      <c r="S842" s="18" t="str">
        <f>IF(Table13[[#This Row],[Quantity]]&lt;=3,"Small",IF(Table13[[#This Row],[Quantity]]&lt;=6,"Medium","Bulk"))</f>
        <v>Medium</v>
      </c>
      <c r="T842" s="18" t="str">
        <f t="shared" si="96"/>
        <v>Normal</v>
      </c>
      <c r="U842" s="18" t="str">
        <f t="shared" si="97"/>
        <v>Medium Value</v>
      </c>
    </row>
    <row r="843" spans="1:21" x14ac:dyDescent="0.3">
      <c r="A843" t="s">
        <v>851</v>
      </c>
      <c r="B843" s="1">
        <v>45253</v>
      </c>
      <c r="C843" t="s">
        <v>1213</v>
      </c>
      <c r="D843" t="s">
        <v>1217</v>
      </c>
      <c r="E843" t="s">
        <v>1222</v>
      </c>
      <c r="F843" t="s">
        <v>1234</v>
      </c>
      <c r="G843" s="6">
        <v>7</v>
      </c>
      <c r="H843">
        <v>3662</v>
      </c>
      <c r="I843">
        <v>25634</v>
      </c>
      <c r="J843" s="2">
        <v>2918.88</v>
      </c>
      <c r="K843" s="16">
        <f>Table13[[#This Row],[Profit]]/Table13[[#This Row],[Sales]]</f>
        <v>0.11386751970039791</v>
      </c>
      <c r="L843" s="17" t="str">
        <f t="shared" si="91"/>
        <v>High</v>
      </c>
      <c r="M843" s="17" t="str">
        <f t="shared" si="92"/>
        <v>Nov</v>
      </c>
      <c r="N843" s="18">
        <f>YEAR(Table13[[#This Row],[Order_Date]])</f>
        <v>2023</v>
      </c>
      <c r="O843" s="18">
        <f>Table13[[#This Row],[Price]]*0.7</f>
        <v>2563.3999999999996</v>
      </c>
      <c r="P843" s="18">
        <f t="shared" si="93"/>
        <v>7690.2000000000044</v>
      </c>
      <c r="Q843" s="18">
        <f t="shared" si="94"/>
        <v>0.1</v>
      </c>
      <c r="R843" s="18">
        <f t="shared" si="95"/>
        <v>22715.119999999999</v>
      </c>
      <c r="S843" s="18" t="str">
        <f>IF(Table13[[#This Row],[Quantity]]&lt;=3,"Small",IF(Table13[[#This Row],[Quantity]]&lt;=6,"Medium","Bulk"))</f>
        <v>Bulk</v>
      </c>
      <c r="T843" s="18" t="str">
        <f t="shared" si="96"/>
        <v>Normal</v>
      </c>
      <c r="U843" s="18" t="str">
        <f t="shared" si="97"/>
        <v>High Value</v>
      </c>
    </row>
    <row r="844" spans="1:21" x14ac:dyDescent="0.3">
      <c r="A844" t="s">
        <v>852</v>
      </c>
      <c r="B844" s="1">
        <v>44928</v>
      </c>
      <c r="C844" t="s">
        <v>1211</v>
      </c>
      <c r="D844" t="s">
        <v>1217</v>
      </c>
      <c r="E844" t="s">
        <v>1220</v>
      </c>
      <c r="F844" t="s">
        <v>1228</v>
      </c>
      <c r="G844" s="6">
        <v>4</v>
      </c>
      <c r="H844">
        <v>526</v>
      </c>
      <c r="I844">
        <v>2104</v>
      </c>
      <c r="J844" s="2">
        <v>380.15</v>
      </c>
      <c r="K844" s="16">
        <f>Table13[[#This Row],[Profit]]/Table13[[#This Row],[Sales]]</f>
        <v>0.18067965779467679</v>
      </c>
      <c r="L844" s="17" t="str">
        <f t="shared" si="91"/>
        <v>Low</v>
      </c>
      <c r="M844" s="17" t="str">
        <f t="shared" si="92"/>
        <v>Jan</v>
      </c>
      <c r="N844" s="18">
        <f>YEAR(Table13[[#This Row],[Order_Date]])</f>
        <v>2023</v>
      </c>
      <c r="O844" s="18">
        <f>Table13[[#This Row],[Price]]*0.7</f>
        <v>368.2</v>
      </c>
      <c r="P844" s="18">
        <f t="shared" si="93"/>
        <v>631.20000000000005</v>
      </c>
      <c r="Q844" s="18">
        <f t="shared" si="94"/>
        <v>0.05</v>
      </c>
      <c r="R844" s="18">
        <f t="shared" si="95"/>
        <v>1723.8500000000001</v>
      </c>
      <c r="S844" s="18" t="str">
        <f>IF(Table13[[#This Row],[Quantity]]&lt;=3,"Small",IF(Table13[[#This Row],[Quantity]]&lt;=6,"Medium","Bulk"))</f>
        <v>Medium</v>
      </c>
      <c r="T844" s="18" t="str">
        <f t="shared" si="96"/>
        <v>Normal</v>
      </c>
      <c r="U844" s="18" t="str">
        <f t="shared" si="97"/>
        <v>low Value</v>
      </c>
    </row>
    <row r="845" spans="1:21" x14ac:dyDescent="0.3">
      <c r="A845" t="s">
        <v>853</v>
      </c>
      <c r="B845" s="1">
        <v>45214</v>
      </c>
      <c r="C845" t="s">
        <v>1212</v>
      </c>
      <c r="D845" t="s">
        <v>1216</v>
      </c>
      <c r="E845" t="s">
        <v>1222</v>
      </c>
      <c r="F845" t="s">
        <v>1234</v>
      </c>
      <c r="G845" s="6">
        <v>5</v>
      </c>
      <c r="H845">
        <v>2899</v>
      </c>
      <c r="I845">
        <v>14495</v>
      </c>
      <c r="J845" s="2">
        <v>3122.15</v>
      </c>
      <c r="K845" s="16">
        <f>Table13[[#This Row],[Profit]]/Table13[[#This Row],[Sales]]</f>
        <v>0.21539496378061401</v>
      </c>
      <c r="L845" s="17" t="str">
        <f t="shared" si="91"/>
        <v>Medium</v>
      </c>
      <c r="M845" s="17" t="str">
        <f t="shared" si="92"/>
        <v>Oct</v>
      </c>
      <c r="N845" s="18">
        <f>YEAR(Table13[[#This Row],[Order_Date]])</f>
        <v>2023</v>
      </c>
      <c r="O845" s="18">
        <f>Table13[[#This Row],[Price]]*0.7</f>
        <v>2029.3</v>
      </c>
      <c r="P845" s="18">
        <f t="shared" si="93"/>
        <v>4348.5</v>
      </c>
      <c r="Q845" s="18">
        <f t="shared" si="94"/>
        <v>0.05</v>
      </c>
      <c r="R845" s="18">
        <f t="shared" si="95"/>
        <v>11372.849999999999</v>
      </c>
      <c r="S845" s="18" t="str">
        <f>IF(Table13[[#This Row],[Quantity]]&lt;=3,"Small",IF(Table13[[#This Row],[Quantity]]&lt;=6,"Medium","Bulk"))</f>
        <v>Medium</v>
      </c>
      <c r="T845" s="18" t="str">
        <f t="shared" si="96"/>
        <v>High Demand</v>
      </c>
      <c r="U845" s="18" t="str">
        <f t="shared" si="97"/>
        <v>Medium Value</v>
      </c>
    </row>
    <row r="846" spans="1:21" x14ac:dyDescent="0.3">
      <c r="A846" t="s">
        <v>854</v>
      </c>
      <c r="B846" s="1">
        <v>44971</v>
      </c>
      <c r="C846" t="s">
        <v>1212</v>
      </c>
      <c r="D846" t="s">
        <v>1217</v>
      </c>
      <c r="E846" t="s">
        <v>1222</v>
      </c>
      <c r="F846" t="s">
        <v>1230</v>
      </c>
      <c r="G846" s="6">
        <v>5</v>
      </c>
      <c r="H846">
        <v>3329</v>
      </c>
      <c r="I846">
        <v>16645</v>
      </c>
      <c r="J846" s="2">
        <v>1579.04</v>
      </c>
      <c r="K846" s="16">
        <f>Table13[[#This Row],[Profit]]/Table13[[#This Row],[Sales]]</f>
        <v>9.4865725443075991E-2</v>
      </c>
      <c r="L846" s="17" t="str">
        <f t="shared" si="91"/>
        <v>Medium</v>
      </c>
      <c r="M846" s="17" t="str">
        <f t="shared" si="92"/>
        <v>Feb</v>
      </c>
      <c r="N846" s="18">
        <f>YEAR(Table13[[#This Row],[Order_Date]])</f>
        <v>2023</v>
      </c>
      <c r="O846" s="18">
        <f>Table13[[#This Row],[Price]]*0.7</f>
        <v>2330.2999999999997</v>
      </c>
      <c r="P846" s="18">
        <f t="shared" si="93"/>
        <v>4993.5000000000018</v>
      </c>
      <c r="Q846" s="18">
        <f t="shared" si="94"/>
        <v>0.05</v>
      </c>
      <c r="R846" s="18">
        <f t="shared" si="95"/>
        <v>15065.96</v>
      </c>
      <c r="S846" s="18" t="str">
        <f>IF(Table13[[#This Row],[Quantity]]&lt;=3,"Small",IF(Table13[[#This Row],[Quantity]]&lt;=6,"Medium","Bulk"))</f>
        <v>Medium</v>
      </c>
      <c r="T846" s="18" t="str">
        <f t="shared" si="96"/>
        <v>High Demand</v>
      </c>
      <c r="U846" s="18" t="str">
        <f t="shared" si="97"/>
        <v>Medium Value</v>
      </c>
    </row>
    <row r="847" spans="1:21" x14ac:dyDescent="0.3">
      <c r="A847" t="s">
        <v>855</v>
      </c>
      <c r="B847" s="1">
        <v>45118</v>
      </c>
      <c r="C847" t="s">
        <v>1210</v>
      </c>
      <c r="D847" t="s">
        <v>1218</v>
      </c>
      <c r="E847" t="s">
        <v>1222</v>
      </c>
      <c r="F847" t="s">
        <v>1227</v>
      </c>
      <c r="G847" s="6">
        <v>1</v>
      </c>
      <c r="H847">
        <v>747</v>
      </c>
      <c r="I847">
        <v>747</v>
      </c>
      <c r="J847" s="2">
        <v>82.5</v>
      </c>
      <c r="K847" s="16">
        <f>Table13[[#This Row],[Profit]]/Table13[[#This Row],[Sales]]</f>
        <v>0.11044176706827309</v>
      </c>
      <c r="L847" s="17" t="str">
        <f t="shared" si="91"/>
        <v>Low</v>
      </c>
      <c r="M847" s="17" t="str">
        <f t="shared" si="92"/>
        <v>Jul</v>
      </c>
      <c r="N847" s="18">
        <f>YEAR(Table13[[#This Row],[Order_Date]])</f>
        <v>2023</v>
      </c>
      <c r="O847" s="18">
        <f>Table13[[#This Row],[Price]]*0.7</f>
        <v>522.9</v>
      </c>
      <c r="P847" s="18">
        <f t="shared" si="93"/>
        <v>224.10000000000002</v>
      </c>
      <c r="Q847" s="18">
        <f t="shared" si="94"/>
        <v>0.05</v>
      </c>
      <c r="R847" s="18">
        <f t="shared" si="95"/>
        <v>664.5</v>
      </c>
      <c r="S847" s="18" t="str">
        <f>IF(Table13[[#This Row],[Quantity]]&lt;=3,"Small",IF(Table13[[#This Row],[Quantity]]&lt;=6,"Medium","Bulk"))</f>
        <v>Small</v>
      </c>
      <c r="T847" s="18" t="str">
        <f t="shared" si="96"/>
        <v>Normal</v>
      </c>
      <c r="U847" s="18" t="str">
        <f t="shared" si="97"/>
        <v>low Value</v>
      </c>
    </row>
    <row r="848" spans="1:21" x14ac:dyDescent="0.3">
      <c r="A848" t="s">
        <v>856</v>
      </c>
      <c r="B848" s="1">
        <v>45262</v>
      </c>
      <c r="C848" t="s">
        <v>1210</v>
      </c>
      <c r="D848" t="s">
        <v>1215</v>
      </c>
      <c r="E848" t="s">
        <v>1222</v>
      </c>
      <c r="F848" t="s">
        <v>1234</v>
      </c>
      <c r="G848" s="6">
        <v>2</v>
      </c>
      <c r="H848">
        <v>1790</v>
      </c>
      <c r="I848">
        <v>3580</v>
      </c>
      <c r="J848" s="2">
        <v>791.02</v>
      </c>
      <c r="K848" s="16">
        <f>Table13[[#This Row],[Profit]]/Table13[[#This Row],[Sales]]</f>
        <v>0.22095530726256982</v>
      </c>
      <c r="L848" s="17" t="str">
        <f t="shared" si="91"/>
        <v>Low</v>
      </c>
      <c r="M848" s="17" t="str">
        <f t="shared" si="92"/>
        <v>Dec</v>
      </c>
      <c r="N848" s="18">
        <f>YEAR(Table13[[#This Row],[Order_Date]])</f>
        <v>2023</v>
      </c>
      <c r="O848" s="18">
        <f>Table13[[#This Row],[Price]]*0.7</f>
        <v>1253</v>
      </c>
      <c r="P848" s="18">
        <f t="shared" si="93"/>
        <v>1074</v>
      </c>
      <c r="Q848" s="18">
        <f t="shared" si="94"/>
        <v>0.05</v>
      </c>
      <c r="R848" s="18">
        <f t="shared" si="95"/>
        <v>2788.98</v>
      </c>
      <c r="S848" s="18" t="str">
        <f>IF(Table13[[#This Row],[Quantity]]&lt;=3,"Small",IF(Table13[[#This Row],[Quantity]]&lt;=6,"Medium","Bulk"))</f>
        <v>Small</v>
      </c>
      <c r="T848" s="18" t="str">
        <f t="shared" si="96"/>
        <v>Normal</v>
      </c>
      <c r="U848" s="18" t="str">
        <f t="shared" si="97"/>
        <v>low Value</v>
      </c>
    </row>
    <row r="849" spans="1:21" x14ac:dyDescent="0.3">
      <c r="A849" t="s">
        <v>857</v>
      </c>
      <c r="B849" s="1">
        <v>45095</v>
      </c>
      <c r="C849" t="s">
        <v>1212</v>
      </c>
      <c r="D849" t="s">
        <v>1214</v>
      </c>
      <c r="E849" t="s">
        <v>1220</v>
      </c>
      <c r="F849" t="s">
        <v>1237</v>
      </c>
      <c r="G849" s="6">
        <v>3</v>
      </c>
      <c r="H849">
        <v>2660</v>
      </c>
      <c r="I849">
        <v>7980</v>
      </c>
      <c r="J849" s="2">
        <v>836.49</v>
      </c>
      <c r="K849" s="16">
        <f>Table13[[#This Row],[Profit]]/Table13[[#This Row],[Sales]]</f>
        <v>0.10482330827067669</v>
      </c>
      <c r="L849" s="17" t="str">
        <f t="shared" si="91"/>
        <v>Low</v>
      </c>
      <c r="M849" s="17" t="str">
        <f t="shared" si="92"/>
        <v>Jun</v>
      </c>
      <c r="N849" s="18">
        <f>YEAR(Table13[[#This Row],[Order_Date]])</f>
        <v>2023</v>
      </c>
      <c r="O849" s="18">
        <f>Table13[[#This Row],[Price]]*0.7</f>
        <v>1861.9999999999998</v>
      </c>
      <c r="P849" s="18">
        <f t="shared" si="93"/>
        <v>2394.0000000000009</v>
      </c>
      <c r="Q849" s="18">
        <f t="shared" si="94"/>
        <v>0.05</v>
      </c>
      <c r="R849" s="18">
        <f t="shared" si="95"/>
        <v>7143.51</v>
      </c>
      <c r="S849" s="18" t="str">
        <f>IF(Table13[[#This Row],[Quantity]]&lt;=3,"Small",IF(Table13[[#This Row],[Quantity]]&lt;=6,"Medium","Bulk"))</f>
        <v>Small</v>
      </c>
      <c r="T849" s="18" t="str">
        <f t="shared" si="96"/>
        <v>High Demand</v>
      </c>
      <c r="U849" s="18" t="str">
        <f t="shared" si="97"/>
        <v>low Value</v>
      </c>
    </row>
    <row r="850" spans="1:21" x14ac:dyDescent="0.3">
      <c r="A850" t="s">
        <v>858</v>
      </c>
      <c r="B850" s="1">
        <v>44927</v>
      </c>
      <c r="C850" t="s">
        <v>1212</v>
      </c>
      <c r="D850" t="s">
        <v>1216</v>
      </c>
      <c r="E850" t="s">
        <v>1220</v>
      </c>
      <c r="F850" t="s">
        <v>1224</v>
      </c>
      <c r="G850" s="6">
        <v>2</v>
      </c>
      <c r="H850">
        <v>3314</v>
      </c>
      <c r="I850">
        <v>6628</v>
      </c>
      <c r="J850" s="2">
        <v>608.03</v>
      </c>
      <c r="K850" s="16">
        <f>Table13[[#This Row],[Profit]]/Table13[[#This Row],[Sales]]</f>
        <v>9.173657211828605E-2</v>
      </c>
      <c r="L850" s="17" t="str">
        <f t="shared" si="91"/>
        <v>Low</v>
      </c>
      <c r="M850" s="17" t="str">
        <f t="shared" si="92"/>
        <v>Jan</v>
      </c>
      <c r="N850" s="18">
        <f>YEAR(Table13[[#This Row],[Order_Date]])</f>
        <v>2023</v>
      </c>
      <c r="O850" s="18">
        <f>Table13[[#This Row],[Price]]*0.7</f>
        <v>2319.7999999999997</v>
      </c>
      <c r="P850" s="18">
        <f t="shared" si="93"/>
        <v>1988.4000000000005</v>
      </c>
      <c r="Q850" s="18">
        <f t="shared" si="94"/>
        <v>0.05</v>
      </c>
      <c r="R850" s="18">
        <f t="shared" si="95"/>
        <v>6019.97</v>
      </c>
      <c r="S850" s="18" t="str">
        <f>IF(Table13[[#This Row],[Quantity]]&lt;=3,"Small",IF(Table13[[#This Row],[Quantity]]&lt;=6,"Medium","Bulk"))</f>
        <v>Small</v>
      </c>
      <c r="T850" s="18" t="str">
        <f t="shared" si="96"/>
        <v>High Demand</v>
      </c>
      <c r="U850" s="18" t="str">
        <f t="shared" si="97"/>
        <v>low Value</v>
      </c>
    </row>
    <row r="851" spans="1:21" x14ac:dyDescent="0.3">
      <c r="A851" t="s">
        <v>859</v>
      </c>
      <c r="B851" s="1">
        <v>45152</v>
      </c>
      <c r="C851" t="s">
        <v>1211</v>
      </c>
      <c r="D851" t="s">
        <v>1216</v>
      </c>
      <c r="E851" t="s">
        <v>1221</v>
      </c>
      <c r="F851" t="s">
        <v>1229</v>
      </c>
      <c r="G851" s="6">
        <v>7</v>
      </c>
      <c r="H851">
        <v>3281</v>
      </c>
      <c r="I851">
        <v>22967</v>
      </c>
      <c r="J851" s="2">
        <v>2417.19</v>
      </c>
      <c r="K851" s="16">
        <f>Table13[[#This Row],[Profit]]/Table13[[#This Row],[Sales]]</f>
        <v>0.1052462228414682</v>
      </c>
      <c r="L851" s="17" t="str">
        <f t="shared" si="91"/>
        <v>High</v>
      </c>
      <c r="M851" s="17" t="str">
        <f t="shared" si="92"/>
        <v>Aug</v>
      </c>
      <c r="N851" s="18">
        <f>YEAR(Table13[[#This Row],[Order_Date]])</f>
        <v>2023</v>
      </c>
      <c r="O851" s="18">
        <f>Table13[[#This Row],[Price]]*0.7</f>
        <v>2296.6999999999998</v>
      </c>
      <c r="P851" s="18">
        <f t="shared" si="93"/>
        <v>6890.1000000000022</v>
      </c>
      <c r="Q851" s="18">
        <f t="shared" si="94"/>
        <v>0.1</v>
      </c>
      <c r="R851" s="18">
        <f t="shared" si="95"/>
        <v>20549.809999999998</v>
      </c>
      <c r="S851" s="18" t="str">
        <f>IF(Table13[[#This Row],[Quantity]]&lt;=3,"Small",IF(Table13[[#This Row],[Quantity]]&lt;=6,"Medium","Bulk"))</f>
        <v>Bulk</v>
      </c>
      <c r="T851" s="18" t="str">
        <f t="shared" si="96"/>
        <v>Normal</v>
      </c>
      <c r="U851" s="18" t="str">
        <f t="shared" si="97"/>
        <v>High Value</v>
      </c>
    </row>
    <row r="852" spans="1:21" x14ac:dyDescent="0.3">
      <c r="A852" t="s">
        <v>860</v>
      </c>
      <c r="B852" s="1">
        <v>45117</v>
      </c>
      <c r="C852" t="s">
        <v>1210</v>
      </c>
      <c r="D852" t="s">
        <v>1217</v>
      </c>
      <c r="E852" t="s">
        <v>1222</v>
      </c>
      <c r="F852" t="s">
        <v>1230</v>
      </c>
      <c r="G852" s="6">
        <v>1</v>
      </c>
      <c r="H852">
        <v>3368</v>
      </c>
      <c r="I852">
        <v>3368</v>
      </c>
      <c r="J852" s="2">
        <v>382.06</v>
      </c>
      <c r="K852" s="16">
        <f>Table13[[#This Row],[Profit]]/Table13[[#This Row],[Sales]]</f>
        <v>0.11343824228028504</v>
      </c>
      <c r="L852" s="17" t="str">
        <f t="shared" si="91"/>
        <v>Low</v>
      </c>
      <c r="M852" s="17" t="str">
        <f t="shared" si="92"/>
        <v>Jul</v>
      </c>
      <c r="N852" s="18">
        <f>YEAR(Table13[[#This Row],[Order_Date]])</f>
        <v>2023</v>
      </c>
      <c r="O852" s="18">
        <f>Table13[[#This Row],[Price]]*0.7</f>
        <v>2357.6</v>
      </c>
      <c r="P852" s="18">
        <f t="shared" si="93"/>
        <v>1010.4000000000001</v>
      </c>
      <c r="Q852" s="18">
        <f t="shared" si="94"/>
        <v>0.05</v>
      </c>
      <c r="R852" s="18">
        <f t="shared" si="95"/>
        <v>2985.9399999999996</v>
      </c>
      <c r="S852" s="18" t="str">
        <f>IF(Table13[[#This Row],[Quantity]]&lt;=3,"Small",IF(Table13[[#This Row],[Quantity]]&lt;=6,"Medium","Bulk"))</f>
        <v>Small</v>
      </c>
      <c r="T852" s="18" t="str">
        <f t="shared" si="96"/>
        <v>Normal</v>
      </c>
      <c r="U852" s="18" t="str">
        <f t="shared" si="97"/>
        <v>low Value</v>
      </c>
    </row>
    <row r="853" spans="1:21" x14ac:dyDescent="0.3">
      <c r="A853" t="s">
        <v>861</v>
      </c>
      <c r="B853" s="1">
        <v>44941</v>
      </c>
      <c r="C853" t="s">
        <v>1211</v>
      </c>
      <c r="D853" t="s">
        <v>1214</v>
      </c>
      <c r="E853" t="s">
        <v>1219</v>
      </c>
      <c r="F853" t="s">
        <v>1223</v>
      </c>
      <c r="G853" s="6">
        <v>8</v>
      </c>
      <c r="H853">
        <v>919</v>
      </c>
      <c r="I853">
        <v>7352</v>
      </c>
      <c r="J853" s="2">
        <v>1458.15</v>
      </c>
      <c r="K853" s="16">
        <f>Table13[[#This Row],[Profit]]/Table13[[#This Row],[Sales]]</f>
        <v>0.19833378672470078</v>
      </c>
      <c r="L853" s="17" t="str">
        <f t="shared" si="91"/>
        <v>Low</v>
      </c>
      <c r="M853" s="17" t="str">
        <f t="shared" si="92"/>
        <v>Jan</v>
      </c>
      <c r="N853" s="18">
        <f>YEAR(Table13[[#This Row],[Order_Date]])</f>
        <v>2023</v>
      </c>
      <c r="O853" s="18">
        <f>Table13[[#This Row],[Price]]*0.7</f>
        <v>643.29999999999995</v>
      </c>
      <c r="P853" s="18">
        <f t="shared" si="93"/>
        <v>2205.6000000000004</v>
      </c>
      <c r="Q853" s="18">
        <f t="shared" si="94"/>
        <v>0.1</v>
      </c>
      <c r="R853" s="18">
        <f t="shared" si="95"/>
        <v>5893.8499999999995</v>
      </c>
      <c r="S853" s="18" t="str">
        <f>IF(Table13[[#This Row],[Quantity]]&lt;=3,"Small",IF(Table13[[#This Row],[Quantity]]&lt;=6,"Medium","Bulk"))</f>
        <v>Bulk</v>
      </c>
      <c r="T853" s="18" t="str">
        <f t="shared" si="96"/>
        <v>Normal</v>
      </c>
      <c r="U853" s="18" t="str">
        <f t="shared" si="97"/>
        <v>low Value</v>
      </c>
    </row>
    <row r="854" spans="1:21" x14ac:dyDescent="0.3">
      <c r="A854" t="s">
        <v>862</v>
      </c>
      <c r="B854" s="1">
        <v>45218</v>
      </c>
      <c r="C854" t="s">
        <v>1211</v>
      </c>
      <c r="D854" t="s">
        <v>1215</v>
      </c>
      <c r="E854" t="s">
        <v>1221</v>
      </c>
      <c r="F854" t="s">
        <v>1231</v>
      </c>
      <c r="G854" s="6">
        <v>2</v>
      </c>
      <c r="H854">
        <v>1665</v>
      </c>
      <c r="I854">
        <v>3330</v>
      </c>
      <c r="J854" s="2">
        <v>368.39</v>
      </c>
      <c r="K854" s="16">
        <f>Table13[[#This Row],[Profit]]/Table13[[#This Row],[Sales]]</f>
        <v>0.11062762762762762</v>
      </c>
      <c r="L854" s="17" t="str">
        <f t="shared" si="91"/>
        <v>Low</v>
      </c>
      <c r="M854" s="17" t="str">
        <f t="shared" si="92"/>
        <v>Oct</v>
      </c>
      <c r="N854" s="18">
        <f>YEAR(Table13[[#This Row],[Order_Date]])</f>
        <v>2023</v>
      </c>
      <c r="O854" s="18">
        <f>Table13[[#This Row],[Price]]*0.7</f>
        <v>1165.5</v>
      </c>
      <c r="P854" s="18">
        <f t="shared" si="93"/>
        <v>999</v>
      </c>
      <c r="Q854" s="18">
        <f t="shared" si="94"/>
        <v>0.05</v>
      </c>
      <c r="R854" s="18">
        <f t="shared" si="95"/>
        <v>2961.6099999999997</v>
      </c>
      <c r="S854" s="18" t="str">
        <f>IF(Table13[[#This Row],[Quantity]]&lt;=3,"Small",IF(Table13[[#This Row],[Quantity]]&lt;=6,"Medium","Bulk"))</f>
        <v>Small</v>
      </c>
      <c r="T854" s="18" t="str">
        <f t="shared" si="96"/>
        <v>Normal</v>
      </c>
      <c r="U854" s="18" t="str">
        <f t="shared" si="97"/>
        <v>low Value</v>
      </c>
    </row>
    <row r="855" spans="1:21" x14ac:dyDescent="0.3">
      <c r="A855" t="s">
        <v>863</v>
      </c>
      <c r="B855" s="1">
        <v>45129</v>
      </c>
      <c r="C855" t="s">
        <v>1211</v>
      </c>
      <c r="D855" t="s">
        <v>1218</v>
      </c>
      <c r="E855" t="s">
        <v>1219</v>
      </c>
      <c r="F855" t="s">
        <v>1232</v>
      </c>
      <c r="G855" s="6">
        <v>7</v>
      </c>
      <c r="H855">
        <v>2694</v>
      </c>
      <c r="I855">
        <v>18858</v>
      </c>
      <c r="J855" s="2">
        <v>3354.53</v>
      </c>
      <c r="K855" s="16">
        <f>Table13[[#This Row],[Profit]]/Table13[[#This Row],[Sales]]</f>
        <v>0.17788365680347865</v>
      </c>
      <c r="L855" s="17" t="str">
        <f t="shared" si="91"/>
        <v>Medium</v>
      </c>
      <c r="M855" s="17" t="str">
        <f t="shared" si="92"/>
        <v>Jul</v>
      </c>
      <c r="N855" s="18">
        <f>YEAR(Table13[[#This Row],[Order_Date]])</f>
        <v>2023</v>
      </c>
      <c r="O855" s="18">
        <f>Table13[[#This Row],[Price]]*0.7</f>
        <v>1885.8</v>
      </c>
      <c r="P855" s="18">
        <f t="shared" si="93"/>
        <v>5657.4</v>
      </c>
      <c r="Q855" s="18">
        <f t="shared" si="94"/>
        <v>0.1</v>
      </c>
      <c r="R855" s="18">
        <f t="shared" si="95"/>
        <v>15503.47</v>
      </c>
      <c r="S855" s="18" t="str">
        <f>IF(Table13[[#This Row],[Quantity]]&lt;=3,"Small",IF(Table13[[#This Row],[Quantity]]&lt;=6,"Medium","Bulk"))</f>
        <v>Bulk</v>
      </c>
      <c r="T855" s="18" t="str">
        <f t="shared" si="96"/>
        <v>Normal</v>
      </c>
      <c r="U855" s="18" t="str">
        <f t="shared" si="97"/>
        <v>Medium Value</v>
      </c>
    </row>
    <row r="856" spans="1:21" x14ac:dyDescent="0.3">
      <c r="A856" t="s">
        <v>864</v>
      </c>
      <c r="B856" s="1">
        <v>45270</v>
      </c>
      <c r="C856" t="s">
        <v>1213</v>
      </c>
      <c r="D856" t="s">
        <v>1218</v>
      </c>
      <c r="E856" t="s">
        <v>1222</v>
      </c>
      <c r="F856" t="s">
        <v>1236</v>
      </c>
      <c r="G856" s="6">
        <v>5</v>
      </c>
      <c r="H856">
        <v>3437</v>
      </c>
      <c r="I856">
        <v>17185</v>
      </c>
      <c r="J856" s="2">
        <v>1965.37</v>
      </c>
      <c r="K856" s="16">
        <f>Table13[[#This Row],[Profit]]/Table13[[#This Row],[Sales]]</f>
        <v>0.11436543497235961</v>
      </c>
      <c r="L856" s="17" t="str">
        <f t="shared" si="91"/>
        <v>Medium</v>
      </c>
      <c r="M856" s="17" t="str">
        <f t="shared" si="92"/>
        <v>Dec</v>
      </c>
      <c r="N856" s="18">
        <f>YEAR(Table13[[#This Row],[Order_Date]])</f>
        <v>2023</v>
      </c>
      <c r="O856" s="18">
        <f>Table13[[#This Row],[Price]]*0.7</f>
        <v>2405.8999999999996</v>
      </c>
      <c r="P856" s="18">
        <f t="shared" si="93"/>
        <v>5155.5000000000018</v>
      </c>
      <c r="Q856" s="18">
        <f t="shared" si="94"/>
        <v>0.05</v>
      </c>
      <c r="R856" s="18">
        <f t="shared" si="95"/>
        <v>15219.63</v>
      </c>
      <c r="S856" s="18" t="str">
        <f>IF(Table13[[#This Row],[Quantity]]&lt;=3,"Small",IF(Table13[[#This Row],[Quantity]]&lt;=6,"Medium","Bulk"))</f>
        <v>Medium</v>
      </c>
      <c r="T856" s="18" t="str">
        <f t="shared" si="96"/>
        <v>Normal</v>
      </c>
      <c r="U856" s="18" t="str">
        <f t="shared" si="97"/>
        <v>Medium Value</v>
      </c>
    </row>
    <row r="857" spans="1:21" x14ac:dyDescent="0.3">
      <c r="A857" t="s">
        <v>865</v>
      </c>
      <c r="B857" s="1">
        <v>45244</v>
      </c>
      <c r="C857" t="s">
        <v>1213</v>
      </c>
      <c r="D857" t="s">
        <v>1218</v>
      </c>
      <c r="E857" t="s">
        <v>1222</v>
      </c>
      <c r="F857" t="s">
        <v>1236</v>
      </c>
      <c r="G857" s="6">
        <v>5</v>
      </c>
      <c r="H857">
        <v>3401</v>
      </c>
      <c r="I857">
        <v>17005</v>
      </c>
      <c r="J857" s="2">
        <v>2508.85</v>
      </c>
      <c r="K857" s="16">
        <f>Table13[[#This Row],[Profit]]/Table13[[#This Row],[Sales]]</f>
        <v>0.14753601881799469</v>
      </c>
      <c r="L857" s="17" t="str">
        <f t="shared" si="91"/>
        <v>Medium</v>
      </c>
      <c r="M857" s="17" t="str">
        <f t="shared" si="92"/>
        <v>Nov</v>
      </c>
      <c r="N857" s="18">
        <f>YEAR(Table13[[#This Row],[Order_Date]])</f>
        <v>2023</v>
      </c>
      <c r="O857" s="18">
        <f>Table13[[#This Row],[Price]]*0.7</f>
        <v>2380.6999999999998</v>
      </c>
      <c r="P857" s="18">
        <f t="shared" si="93"/>
        <v>5101.5</v>
      </c>
      <c r="Q857" s="18">
        <f t="shared" si="94"/>
        <v>0.05</v>
      </c>
      <c r="R857" s="18">
        <f t="shared" si="95"/>
        <v>14496.15</v>
      </c>
      <c r="S857" s="18" t="str">
        <f>IF(Table13[[#This Row],[Quantity]]&lt;=3,"Small",IF(Table13[[#This Row],[Quantity]]&lt;=6,"Medium","Bulk"))</f>
        <v>Medium</v>
      </c>
      <c r="T857" s="18" t="str">
        <f t="shared" si="96"/>
        <v>Normal</v>
      </c>
      <c r="U857" s="18" t="str">
        <f t="shared" si="97"/>
        <v>Medium Value</v>
      </c>
    </row>
    <row r="858" spans="1:21" x14ac:dyDescent="0.3">
      <c r="A858" t="s">
        <v>866</v>
      </c>
      <c r="B858" s="1">
        <v>45020</v>
      </c>
      <c r="C858" t="s">
        <v>1213</v>
      </c>
      <c r="D858" t="s">
        <v>1217</v>
      </c>
      <c r="E858" t="s">
        <v>1221</v>
      </c>
      <c r="F858" t="s">
        <v>1231</v>
      </c>
      <c r="G858" s="6">
        <v>1</v>
      </c>
      <c r="H858">
        <v>4412</v>
      </c>
      <c r="I858">
        <v>4412</v>
      </c>
      <c r="J858" s="2">
        <v>780.79</v>
      </c>
      <c r="K858" s="16">
        <f>Table13[[#This Row],[Profit]]/Table13[[#This Row],[Sales]]</f>
        <v>0.17696962828649138</v>
      </c>
      <c r="L858" s="17" t="str">
        <f t="shared" si="91"/>
        <v>Low</v>
      </c>
      <c r="M858" s="17" t="str">
        <f t="shared" si="92"/>
        <v>Apr</v>
      </c>
      <c r="N858" s="18">
        <f>YEAR(Table13[[#This Row],[Order_Date]])</f>
        <v>2023</v>
      </c>
      <c r="O858" s="18">
        <f>Table13[[#This Row],[Price]]*0.7</f>
        <v>3088.3999999999996</v>
      </c>
      <c r="P858" s="18">
        <f t="shared" si="93"/>
        <v>1323.6000000000004</v>
      </c>
      <c r="Q858" s="18">
        <f t="shared" si="94"/>
        <v>0.05</v>
      </c>
      <c r="R858" s="18">
        <f t="shared" si="95"/>
        <v>3631.2099999999996</v>
      </c>
      <c r="S858" s="18" t="str">
        <f>IF(Table13[[#This Row],[Quantity]]&lt;=3,"Small",IF(Table13[[#This Row],[Quantity]]&lt;=6,"Medium","Bulk"))</f>
        <v>Small</v>
      </c>
      <c r="T858" s="18" t="str">
        <f t="shared" si="96"/>
        <v>Normal</v>
      </c>
      <c r="U858" s="18" t="str">
        <f t="shared" si="97"/>
        <v>low Value</v>
      </c>
    </row>
    <row r="859" spans="1:21" x14ac:dyDescent="0.3">
      <c r="A859" t="s">
        <v>867</v>
      </c>
      <c r="B859" s="1">
        <v>45000</v>
      </c>
      <c r="C859" t="s">
        <v>1212</v>
      </c>
      <c r="D859" t="s">
        <v>1218</v>
      </c>
      <c r="E859" t="s">
        <v>1219</v>
      </c>
      <c r="F859" t="s">
        <v>1232</v>
      </c>
      <c r="G859" s="6">
        <v>5</v>
      </c>
      <c r="H859">
        <v>4990</v>
      </c>
      <c r="I859">
        <v>24950</v>
      </c>
      <c r="J859" s="2">
        <v>3193.66</v>
      </c>
      <c r="K859" s="16">
        <f>Table13[[#This Row],[Profit]]/Table13[[#This Row],[Sales]]</f>
        <v>0.12800240480961922</v>
      </c>
      <c r="L859" s="17" t="str">
        <f t="shared" si="91"/>
        <v>High</v>
      </c>
      <c r="M859" s="17" t="str">
        <f t="shared" si="92"/>
        <v>Mar</v>
      </c>
      <c r="N859" s="18">
        <f>YEAR(Table13[[#This Row],[Order_Date]])</f>
        <v>2023</v>
      </c>
      <c r="O859" s="18">
        <f>Table13[[#This Row],[Price]]*0.7</f>
        <v>3493</v>
      </c>
      <c r="P859" s="18">
        <f t="shared" si="93"/>
        <v>7485</v>
      </c>
      <c r="Q859" s="18">
        <f t="shared" si="94"/>
        <v>0.05</v>
      </c>
      <c r="R859" s="18">
        <f t="shared" si="95"/>
        <v>21756.34</v>
      </c>
      <c r="S859" s="18" t="str">
        <f>IF(Table13[[#This Row],[Quantity]]&lt;=3,"Small",IF(Table13[[#This Row],[Quantity]]&lt;=6,"Medium","Bulk"))</f>
        <v>Medium</v>
      </c>
      <c r="T859" s="18" t="str">
        <f t="shared" si="96"/>
        <v>High Demand</v>
      </c>
      <c r="U859" s="18" t="str">
        <f t="shared" si="97"/>
        <v>High Value</v>
      </c>
    </row>
    <row r="860" spans="1:21" x14ac:dyDescent="0.3">
      <c r="A860" t="s">
        <v>868</v>
      </c>
      <c r="B860" s="1">
        <v>44943</v>
      </c>
      <c r="C860" t="s">
        <v>1212</v>
      </c>
      <c r="D860" t="s">
        <v>1218</v>
      </c>
      <c r="E860" t="s">
        <v>1220</v>
      </c>
      <c r="F860" t="s">
        <v>1225</v>
      </c>
      <c r="G860" s="6">
        <v>4</v>
      </c>
      <c r="H860">
        <v>2348</v>
      </c>
      <c r="I860">
        <v>9392</v>
      </c>
      <c r="J860" s="2">
        <v>1708.34</v>
      </c>
      <c r="K860" s="16">
        <f>Table13[[#This Row],[Profit]]/Table13[[#This Row],[Sales]]</f>
        <v>0.18189310051107324</v>
      </c>
      <c r="L860" s="17" t="str">
        <f t="shared" si="91"/>
        <v>Low</v>
      </c>
      <c r="M860" s="17" t="str">
        <f t="shared" si="92"/>
        <v>Jan</v>
      </c>
      <c r="N860" s="18">
        <f>YEAR(Table13[[#This Row],[Order_Date]])</f>
        <v>2023</v>
      </c>
      <c r="O860" s="18">
        <f>Table13[[#This Row],[Price]]*0.7</f>
        <v>1643.6</v>
      </c>
      <c r="P860" s="18">
        <f t="shared" si="93"/>
        <v>2817.6000000000004</v>
      </c>
      <c r="Q860" s="18">
        <f t="shared" si="94"/>
        <v>0.05</v>
      </c>
      <c r="R860" s="18">
        <f t="shared" si="95"/>
        <v>7683.6600000000008</v>
      </c>
      <c r="S860" s="18" t="str">
        <f>IF(Table13[[#This Row],[Quantity]]&lt;=3,"Small",IF(Table13[[#This Row],[Quantity]]&lt;=6,"Medium","Bulk"))</f>
        <v>Medium</v>
      </c>
      <c r="T860" s="18" t="str">
        <f t="shared" si="96"/>
        <v>High Demand</v>
      </c>
      <c r="U860" s="18" t="str">
        <f t="shared" si="97"/>
        <v>low Value</v>
      </c>
    </row>
    <row r="861" spans="1:21" x14ac:dyDescent="0.3">
      <c r="A861" t="s">
        <v>869</v>
      </c>
      <c r="B861" s="1">
        <v>45191</v>
      </c>
      <c r="C861" t="s">
        <v>1212</v>
      </c>
      <c r="D861" t="s">
        <v>1239</v>
      </c>
      <c r="E861" t="s">
        <v>1222</v>
      </c>
      <c r="F861" t="s">
        <v>1227</v>
      </c>
      <c r="G861" s="6">
        <v>4</v>
      </c>
      <c r="H861">
        <v>4854</v>
      </c>
      <c r="I861">
        <v>19416</v>
      </c>
      <c r="J861" s="2">
        <v>4460.87</v>
      </c>
      <c r="K861" s="16">
        <f>Table13[[#This Row],[Profit]]/Table13[[#This Row],[Sales]]</f>
        <v>0.22975226617222907</v>
      </c>
      <c r="L861" s="17" t="str">
        <f t="shared" si="91"/>
        <v>Medium</v>
      </c>
      <c r="M861" s="17" t="str">
        <f t="shared" si="92"/>
        <v>Sep</v>
      </c>
      <c r="N861" s="18">
        <f>YEAR(Table13[[#This Row],[Order_Date]])</f>
        <v>2023</v>
      </c>
      <c r="O861" s="18">
        <f>Table13[[#This Row],[Price]]*0.7</f>
        <v>3397.7999999999997</v>
      </c>
      <c r="P861" s="18">
        <f t="shared" si="93"/>
        <v>5824.8000000000011</v>
      </c>
      <c r="Q861" s="18">
        <f t="shared" si="94"/>
        <v>0.05</v>
      </c>
      <c r="R861" s="18">
        <f t="shared" si="95"/>
        <v>14955.13</v>
      </c>
      <c r="S861" s="18" t="str">
        <f>IF(Table13[[#This Row],[Quantity]]&lt;=3,"Small",IF(Table13[[#This Row],[Quantity]]&lt;=6,"Medium","Bulk"))</f>
        <v>Medium</v>
      </c>
      <c r="T861" s="18" t="str">
        <f t="shared" si="96"/>
        <v>High Demand</v>
      </c>
      <c r="U861" s="18" t="str">
        <f t="shared" si="97"/>
        <v>Medium Value</v>
      </c>
    </row>
    <row r="862" spans="1:21" x14ac:dyDescent="0.3">
      <c r="A862" t="s">
        <v>870</v>
      </c>
      <c r="B862" s="1">
        <v>44952</v>
      </c>
      <c r="C862" t="s">
        <v>1212</v>
      </c>
      <c r="D862" t="s">
        <v>1217</v>
      </c>
      <c r="E862" t="s">
        <v>1219</v>
      </c>
      <c r="F862" t="s">
        <v>1223</v>
      </c>
      <c r="G862" s="6">
        <v>5</v>
      </c>
      <c r="H862">
        <v>2494</v>
      </c>
      <c r="I862">
        <v>12470</v>
      </c>
      <c r="J862" s="2">
        <v>2574.6</v>
      </c>
      <c r="K862" s="16">
        <f>Table13[[#This Row],[Profit]]/Table13[[#This Row],[Sales]]</f>
        <v>0.20646351242983157</v>
      </c>
      <c r="L862" s="17" t="str">
        <f t="shared" si="91"/>
        <v>Medium</v>
      </c>
      <c r="M862" s="17" t="str">
        <f t="shared" si="92"/>
        <v>Jan</v>
      </c>
      <c r="N862" s="18">
        <f>YEAR(Table13[[#This Row],[Order_Date]])</f>
        <v>2023</v>
      </c>
      <c r="O862" s="18">
        <f>Table13[[#This Row],[Price]]*0.7</f>
        <v>1745.8</v>
      </c>
      <c r="P862" s="18">
        <f t="shared" si="93"/>
        <v>3741</v>
      </c>
      <c r="Q862" s="18">
        <f t="shared" si="94"/>
        <v>0.05</v>
      </c>
      <c r="R862" s="18">
        <f t="shared" si="95"/>
        <v>9895.4000000000015</v>
      </c>
      <c r="S862" s="18" t="str">
        <f>IF(Table13[[#This Row],[Quantity]]&lt;=3,"Small",IF(Table13[[#This Row],[Quantity]]&lt;=6,"Medium","Bulk"))</f>
        <v>Medium</v>
      </c>
      <c r="T862" s="18" t="str">
        <f t="shared" si="96"/>
        <v>High Demand</v>
      </c>
      <c r="U862" s="18" t="str">
        <f t="shared" si="97"/>
        <v>Medium Value</v>
      </c>
    </row>
    <row r="863" spans="1:21" x14ac:dyDescent="0.3">
      <c r="A863" t="s">
        <v>871</v>
      </c>
      <c r="B863" s="1">
        <v>45224</v>
      </c>
      <c r="C863" t="s">
        <v>1210</v>
      </c>
      <c r="D863" t="s">
        <v>1218</v>
      </c>
      <c r="E863" t="s">
        <v>1220</v>
      </c>
      <c r="F863" t="s">
        <v>1225</v>
      </c>
      <c r="G863" s="6">
        <v>1</v>
      </c>
      <c r="H863">
        <v>1916</v>
      </c>
      <c r="I863">
        <v>1916</v>
      </c>
      <c r="J863" s="2">
        <v>215.28</v>
      </c>
      <c r="K863" s="16">
        <f>Table13[[#This Row],[Profit]]/Table13[[#This Row],[Sales]]</f>
        <v>0.11235908141962422</v>
      </c>
      <c r="L863" s="17" t="str">
        <f t="shared" si="91"/>
        <v>Low</v>
      </c>
      <c r="M863" s="17" t="str">
        <f t="shared" si="92"/>
        <v>Oct</v>
      </c>
      <c r="N863" s="18">
        <f>YEAR(Table13[[#This Row],[Order_Date]])</f>
        <v>2023</v>
      </c>
      <c r="O863" s="18">
        <f>Table13[[#This Row],[Price]]*0.7</f>
        <v>1341.1999999999998</v>
      </c>
      <c r="P863" s="18">
        <f t="shared" si="93"/>
        <v>574.80000000000018</v>
      </c>
      <c r="Q863" s="18">
        <f t="shared" si="94"/>
        <v>0.05</v>
      </c>
      <c r="R863" s="18">
        <f t="shared" si="95"/>
        <v>1700.72</v>
      </c>
      <c r="S863" s="18" t="str">
        <f>IF(Table13[[#This Row],[Quantity]]&lt;=3,"Small",IF(Table13[[#This Row],[Quantity]]&lt;=6,"Medium","Bulk"))</f>
        <v>Small</v>
      </c>
      <c r="T863" s="18" t="str">
        <f t="shared" si="96"/>
        <v>Normal</v>
      </c>
      <c r="U863" s="18" t="str">
        <f t="shared" si="97"/>
        <v>low Value</v>
      </c>
    </row>
    <row r="864" spans="1:21" x14ac:dyDescent="0.3">
      <c r="A864" t="s">
        <v>872</v>
      </c>
      <c r="B864" s="1">
        <v>45289</v>
      </c>
      <c r="C864" t="s">
        <v>1212</v>
      </c>
      <c r="D864" t="s">
        <v>1217</v>
      </c>
      <c r="E864" t="s">
        <v>1221</v>
      </c>
      <c r="F864" t="s">
        <v>1231</v>
      </c>
      <c r="G864" s="6">
        <v>1</v>
      </c>
      <c r="H864">
        <v>3967</v>
      </c>
      <c r="I864">
        <v>3967</v>
      </c>
      <c r="J864" s="2">
        <v>547.9</v>
      </c>
      <c r="K864" s="16">
        <f>Table13[[#This Row],[Profit]]/Table13[[#This Row],[Sales]]</f>
        <v>0.13811444416435592</v>
      </c>
      <c r="L864" s="17" t="str">
        <f t="shared" si="91"/>
        <v>Low</v>
      </c>
      <c r="M864" s="17" t="str">
        <f t="shared" si="92"/>
        <v>Dec</v>
      </c>
      <c r="N864" s="18">
        <f>YEAR(Table13[[#This Row],[Order_Date]])</f>
        <v>2023</v>
      </c>
      <c r="O864" s="18">
        <f>Table13[[#This Row],[Price]]*0.7</f>
        <v>2776.8999999999996</v>
      </c>
      <c r="P864" s="18">
        <f t="shared" si="93"/>
        <v>1190.1000000000004</v>
      </c>
      <c r="Q864" s="18">
        <f t="shared" si="94"/>
        <v>0.05</v>
      </c>
      <c r="R864" s="18">
        <f t="shared" si="95"/>
        <v>3419.1</v>
      </c>
      <c r="S864" s="18" t="str">
        <f>IF(Table13[[#This Row],[Quantity]]&lt;=3,"Small",IF(Table13[[#This Row],[Quantity]]&lt;=6,"Medium","Bulk"))</f>
        <v>Small</v>
      </c>
      <c r="T864" s="18" t="str">
        <f t="shared" si="96"/>
        <v>High Demand</v>
      </c>
      <c r="U864" s="18" t="str">
        <f t="shared" si="97"/>
        <v>low Value</v>
      </c>
    </row>
    <row r="865" spans="1:21" x14ac:dyDescent="0.3">
      <c r="A865" t="s">
        <v>873</v>
      </c>
      <c r="B865" s="1">
        <v>45228</v>
      </c>
      <c r="C865" t="s">
        <v>1213</v>
      </c>
      <c r="D865" t="s">
        <v>1215</v>
      </c>
      <c r="E865" t="s">
        <v>1219</v>
      </c>
      <c r="F865" t="s">
        <v>1223</v>
      </c>
      <c r="G865" s="6">
        <v>4</v>
      </c>
      <c r="H865">
        <v>3901</v>
      </c>
      <c r="I865">
        <v>15604</v>
      </c>
      <c r="J865" s="2">
        <v>2901.5</v>
      </c>
      <c r="K865" s="16">
        <f>Table13[[#This Row],[Profit]]/Table13[[#This Row],[Sales]]</f>
        <v>0.18594591130479365</v>
      </c>
      <c r="L865" s="17" t="str">
        <f t="shared" si="91"/>
        <v>Medium</v>
      </c>
      <c r="M865" s="17" t="str">
        <f t="shared" si="92"/>
        <v>Oct</v>
      </c>
      <c r="N865" s="18">
        <f>YEAR(Table13[[#This Row],[Order_Date]])</f>
        <v>2023</v>
      </c>
      <c r="O865" s="18">
        <f>Table13[[#This Row],[Price]]*0.7</f>
        <v>2730.7</v>
      </c>
      <c r="P865" s="18">
        <f t="shared" si="93"/>
        <v>4681.2000000000007</v>
      </c>
      <c r="Q865" s="18">
        <f t="shared" si="94"/>
        <v>0.05</v>
      </c>
      <c r="R865" s="18">
        <f t="shared" si="95"/>
        <v>12702.5</v>
      </c>
      <c r="S865" s="18" t="str">
        <f>IF(Table13[[#This Row],[Quantity]]&lt;=3,"Small",IF(Table13[[#This Row],[Quantity]]&lt;=6,"Medium","Bulk"))</f>
        <v>Medium</v>
      </c>
      <c r="T865" s="18" t="str">
        <f t="shared" si="96"/>
        <v>Normal</v>
      </c>
      <c r="U865" s="18" t="str">
        <f t="shared" si="97"/>
        <v>Medium Value</v>
      </c>
    </row>
    <row r="866" spans="1:21" x14ac:dyDescent="0.3">
      <c r="A866" t="s">
        <v>874</v>
      </c>
      <c r="B866" s="1">
        <v>45126</v>
      </c>
      <c r="C866" t="s">
        <v>1212</v>
      </c>
      <c r="D866" t="s">
        <v>1216</v>
      </c>
      <c r="E866" t="s">
        <v>1220</v>
      </c>
      <c r="F866" t="s">
        <v>1225</v>
      </c>
      <c r="G866" s="6">
        <v>1</v>
      </c>
      <c r="H866">
        <v>2711</v>
      </c>
      <c r="I866">
        <v>2711</v>
      </c>
      <c r="J866" s="2">
        <v>395.45</v>
      </c>
      <c r="K866" s="16">
        <f>Table13[[#This Row],[Profit]]/Table13[[#This Row],[Sales]]</f>
        <v>0.14586868314275175</v>
      </c>
      <c r="L866" s="17" t="str">
        <f t="shared" si="91"/>
        <v>Low</v>
      </c>
      <c r="M866" s="17" t="str">
        <f t="shared" si="92"/>
        <v>Jul</v>
      </c>
      <c r="N866" s="18">
        <f>YEAR(Table13[[#This Row],[Order_Date]])</f>
        <v>2023</v>
      </c>
      <c r="O866" s="18">
        <f>Table13[[#This Row],[Price]]*0.7</f>
        <v>1897.6999999999998</v>
      </c>
      <c r="P866" s="18">
        <f t="shared" si="93"/>
        <v>813.30000000000018</v>
      </c>
      <c r="Q866" s="18">
        <f t="shared" si="94"/>
        <v>0.05</v>
      </c>
      <c r="R866" s="18">
        <f t="shared" si="95"/>
        <v>2315.5499999999997</v>
      </c>
      <c r="S866" s="18" t="str">
        <f>IF(Table13[[#This Row],[Quantity]]&lt;=3,"Small",IF(Table13[[#This Row],[Quantity]]&lt;=6,"Medium","Bulk"))</f>
        <v>Small</v>
      </c>
      <c r="T866" s="18" t="str">
        <f t="shared" si="96"/>
        <v>High Demand</v>
      </c>
      <c r="U866" s="18" t="str">
        <f t="shared" si="97"/>
        <v>low Value</v>
      </c>
    </row>
    <row r="867" spans="1:21" x14ac:dyDescent="0.3">
      <c r="A867" t="s">
        <v>875</v>
      </c>
      <c r="B867" s="1">
        <v>45225</v>
      </c>
      <c r="C867" t="s">
        <v>1211</v>
      </c>
      <c r="D867" t="s">
        <v>1217</v>
      </c>
      <c r="E867" t="s">
        <v>1220</v>
      </c>
      <c r="F867" t="s">
        <v>1224</v>
      </c>
      <c r="G867" s="6">
        <v>4</v>
      </c>
      <c r="H867">
        <v>3342</v>
      </c>
      <c r="I867">
        <v>13368</v>
      </c>
      <c r="J867" s="2">
        <v>2772.43</v>
      </c>
      <c r="K867" s="16">
        <f>Table13[[#This Row],[Profit]]/Table13[[#This Row],[Sales]]</f>
        <v>0.20739302812687013</v>
      </c>
      <c r="L867" s="17" t="str">
        <f t="shared" si="91"/>
        <v>Medium</v>
      </c>
      <c r="M867" s="17" t="str">
        <f t="shared" si="92"/>
        <v>Oct</v>
      </c>
      <c r="N867" s="18">
        <f>YEAR(Table13[[#This Row],[Order_Date]])</f>
        <v>2023</v>
      </c>
      <c r="O867" s="18">
        <f>Table13[[#This Row],[Price]]*0.7</f>
        <v>2339.3999999999996</v>
      </c>
      <c r="P867" s="18">
        <f t="shared" si="93"/>
        <v>4010.4000000000015</v>
      </c>
      <c r="Q867" s="18">
        <f t="shared" si="94"/>
        <v>0.05</v>
      </c>
      <c r="R867" s="18">
        <f t="shared" si="95"/>
        <v>10595.57</v>
      </c>
      <c r="S867" s="18" t="str">
        <f>IF(Table13[[#This Row],[Quantity]]&lt;=3,"Small",IF(Table13[[#This Row],[Quantity]]&lt;=6,"Medium","Bulk"))</f>
        <v>Medium</v>
      </c>
      <c r="T867" s="18" t="str">
        <f t="shared" si="96"/>
        <v>Normal</v>
      </c>
      <c r="U867" s="18" t="str">
        <f t="shared" si="97"/>
        <v>Medium Value</v>
      </c>
    </row>
    <row r="868" spans="1:21" x14ac:dyDescent="0.3">
      <c r="A868" t="s">
        <v>876</v>
      </c>
      <c r="B868" s="1">
        <v>45138</v>
      </c>
      <c r="C868" t="s">
        <v>1210</v>
      </c>
      <c r="D868" t="s">
        <v>1214</v>
      </c>
      <c r="E868" t="s">
        <v>1220</v>
      </c>
      <c r="F868" t="s">
        <v>1237</v>
      </c>
      <c r="G868" s="6">
        <v>1</v>
      </c>
      <c r="H868">
        <v>4833</v>
      </c>
      <c r="I868">
        <v>4833</v>
      </c>
      <c r="J868" s="2">
        <v>408.71</v>
      </c>
      <c r="K868" s="16">
        <f>Table13[[#This Row],[Profit]]/Table13[[#This Row],[Sales]]</f>
        <v>8.4566521829091662E-2</v>
      </c>
      <c r="L868" s="17" t="str">
        <f t="shared" si="91"/>
        <v>Low</v>
      </c>
      <c r="M868" s="17" t="str">
        <f t="shared" si="92"/>
        <v>Jul</v>
      </c>
      <c r="N868" s="18">
        <f>YEAR(Table13[[#This Row],[Order_Date]])</f>
        <v>2023</v>
      </c>
      <c r="O868" s="18">
        <f>Table13[[#This Row],[Price]]*0.7</f>
        <v>3383.1</v>
      </c>
      <c r="P868" s="18">
        <f t="shared" si="93"/>
        <v>1449.9</v>
      </c>
      <c r="Q868" s="18">
        <f t="shared" si="94"/>
        <v>0.05</v>
      </c>
      <c r="R868" s="18">
        <f t="shared" si="95"/>
        <v>4424.29</v>
      </c>
      <c r="S868" s="18" t="str">
        <f>IF(Table13[[#This Row],[Quantity]]&lt;=3,"Small",IF(Table13[[#This Row],[Quantity]]&lt;=6,"Medium","Bulk"))</f>
        <v>Small</v>
      </c>
      <c r="T868" s="18" t="str">
        <f t="shared" si="96"/>
        <v>Normal</v>
      </c>
      <c r="U868" s="18" t="str">
        <f t="shared" si="97"/>
        <v>low Value</v>
      </c>
    </row>
    <row r="869" spans="1:21" x14ac:dyDescent="0.3">
      <c r="A869" t="s">
        <v>877</v>
      </c>
      <c r="B869" s="1">
        <v>44975</v>
      </c>
      <c r="C869" t="s">
        <v>1213</v>
      </c>
      <c r="D869" t="s">
        <v>1217</v>
      </c>
      <c r="E869" t="s">
        <v>1221</v>
      </c>
      <c r="F869" t="s">
        <v>1226</v>
      </c>
      <c r="G869" s="6">
        <v>2</v>
      </c>
      <c r="H869">
        <v>597</v>
      </c>
      <c r="I869">
        <v>1194</v>
      </c>
      <c r="J869" s="2">
        <v>259.04000000000002</v>
      </c>
      <c r="K869" s="16">
        <f>Table13[[#This Row],[Profit]]/Table13[[#This Row],[Sales]]</f>
        <v>0.21695142378559465</v>
      </c>
      <c r="L869" s="17" t="str">
        <f t="shared" si="91"/>
        <v>Low</v>
      </c>
      <c r="M869" s="17" t="str">
        <f t="shared" si="92"/>
        <v>Feb</v>
      </c>
      <c r="N869" s="18">
        <f>YEAR(Table13[[#This Row],[Order_Date]])</f>
        <v>2023</v>
      </c>
      <c r="O869" s="18">
        <f>Table13[[#This Row],[Price]]*0.7</f>
        <v>417.9</v>
      </c>
      <c r="P869" s="18">
        <f t="shared" si="93"/>
        <v>358.20000000000005</v>
      </c>
      <c r="Q869" s="18">
        <f t="shared" si="94"/>
        <v>0.05</v>
      </c>
      <c r="R869" s="18">
        <f t="shared" si="95"/>
        <v>934.96</v>
      </c>
      <c r="S869" s="18" t="str">
        <f>IF(Table13[[#This Row],[Quantity]]&lt;=3,"Small",IF(Table13[[#This Row],[Quantity]]&lt;=6,"Medium","Bulk"))</f>
        <v>Small</v>
      </c>
      <c r="T869" s="18" t="str">
        <f t="shared" si="96"/>
        <v>Normal</v>
      </c>
      <c r="U869" s="18" t="str">
        <f t="shared" si="97"/>
        <v>low Value</v>
      </c>
    </row>
    <row r="870" spans="1:21" x14ac:dyDescent="0.3">
      <c r="A870" t="s">
        <v>878</v>
      </c>
      <c r="B870" s="1">
        <v>45208</v>
      </c>
      <c r="C870" t="s">
        <v>1212</v>
      </c>
      <c r="D870" t="s">
        <v>1216</v>
      </c>
      <c r="E870" t="s">
        <v>1221</v>
      </c>
      <c r="F870" t="s">
        <v>1231</v>
      </c>
      <c r="G870" s="6">
        <v>8</v>
      </c>
      <c r="H870">
        <v>3141</v>
      </c>
      <c r="I870">
        <v>25128</v>
      </c>
      <c r="J870" s="2">
        <v>3918.55</v>
      </c>
      <c r="K870" s="16">
        <f>Table13[[#This Row],[Profit]]/Table13[[#This Row],[Sales]]</f>
        <v>0.1559435689270933</v>
      </c>
      <c r="L870" s="17" t="str">
        <f t="shared" si="91"/>
        <v>High</v>
      </c>
      <c r="M870" s="17" t="str">
        <f t="shared" si="92"/>
        <v>Oct</v>
      </c>
      <c r="N870" s="18">
        <f>YEAR(Table13[[#This Row],[Order_Date]])</f>
        <v>2023</v>
      </c>
      <c r="O870" s="18">
        <f>Table13[[#This Row],[Price]]*0.7</f>
        <v>2198.6999999999998</v>
      </c>
      <c r="P870" s="18">
        <f t="shared" si="93"/>
        <v>7538.4000000000015</v>
      </c>
      <c r="Q870" s="18">
        <f t="shared" si="94"/>
        <v>0.1</v>
      </c>
      <c r="R870" s="18">
        <f t="shared" si="95"/>
        <v>21209.45</v>
      </c>
      <c r="S870" s="18" t="str">
        <f>IF(Table13[[#This Row],[Quantity]]&lt;=3,"Small",IF(Table13[[#This Row],[Quantity]]&lt;=6,"Medium","Bulk"))</f>
        <v>Bulk</v>
      </c>
      <c r="T870" s="18" t="str">
        <f t="shared" si="96"/>
        <v>High Demand</v>
      </c>
      <c r="U870" s="18" t="str">
        <f t="shared" si="97"/>
        <v>High Value</v>
      </c>
    </row>
    <row r="871" spans="1:21" x14ac:dyDescent="0.3">
      <c r="A871" t="s">
        <v>879</v>
      </c>
      <c r="B871" s="1">
        <v>45013</v>
      </c>
      <c r="C871" t="s">
        <v>1210</v>
      </c>
      <c r="D871" t="s">
        <v>1215</v>
      </c>
      <c r="E871" t="s">
        <v>1221</v>
      </c>
      <c r="F871" t="s">
        <v>1226</v>
      </c>
      <c r="G871" s="6">
        <v>8</v>
      </c>
      <c r="H871">
        <v>1801</v>
      </c>
      <c r="I871">
        <v>14408</v>
      </c>
      <c r="J871" s="2">
        <v>1206.74</v>
      </c>
      <c r="K871" s="16">
        <f>Table13[[#This Row],[Profit]]/Table13[[#This Row],[Sales]]</f>
        <v>8.3754858411993344E-2</v>
      </c>
      <c r="L871" s="17" t="str">
        <f t="shared" si="91"/>
        <v>Medium</v>
      </c>
      <c r="M871" s="17" t="str">
        <f t="shared" si="92"/>
        <v>Mar</v>
      </c>
      <c r="N871" s="18">
        <f>YEAR(Table13[[#This Row],[Order_Date]])</f>
        <v>2023</v>
      </c>
      <c r="O871" s="18">
        <f>Table13[[#This Row],[Price]]*0.7</f>
        <v>1260.6999999999998</v>
      </c>
      <c r="P871" s="18">
        <f t="shared" si="93"/>
        <v>4322.4000000000015</v>
      </c>
      <c r="Q871" s="18">
        <f t="shared" si="94"/>
        <v>0.1</v>
      </c>
      <c r="R871" s="18">
        <f t="shared" si="95"/>
        <v>13201.26</v>
      </c>
      <c r="S871" s="18" t="str">
        <f>IF(Table13[[#This Row],[Quantity]]&lt;=3,"Small",IF(Table13[[#This Row],[Quantity]]&lt;=6,"Medium","Bulk"))</f>
        <v>Bulk</v>
      </c>
      <c r="T871" s="18" t="str">
        <f t="shared" si="96"/>
        <v>Normal</v>
      </c>
      <c r="U871" s="18" t="str">
        <f t="shared" si="97"/>
        <v>Medium Value</v>
      </c>
    </row>
    <row r="872" spans="1:21" x14ac:dyDescent="0.3">
      <c r="A872" t="s">
        <v>880</v>
      </c>
      <c r="B872" s="1">
        <v>45109</v>
      </c>
      <c r="C872" t="s">
        <v>1213</v>
      </c>
      <c r="D872" t="s">
        <v>1217</v>
      </c>
      <c r="E872" t="s">
        <v>1219</v>
      </c>
      <c r="F872" t="s">
        <v>1232</v>
      </c>
      <c r="G872" s="6">
        <v>2</v>
      </c>
      <c r="H872">
        <v>1499</v>
      </c>
      <c r="I872">
        <v>2998</v>
      </c>
      <c r="J872" s="2">
        <v>610.92999999999995</v>
      </c>
      <c r="K872" s="16">
        <f>Table13[[#This Row],[Profit]]/Table13[[#This Row],[Sales]]</f>
        <v>0.20377918612408272</v>
      </c>
      <c r="L872" s="17" t="str">
        <f t="shared" si="91"/>
        <v>Low</v>
      </c>
      <c r="M872" s="17" t="str">
        <f t="shared" si="92"/>
        <v>Jul</v>
      </c>
      <c r="N872" s="18">
        <f>YEAR(Table13[[#This Row],[Order_Date]])</f>
        <v>2023</v>
      </c>
      <c r="O872" s="18">
        <f>Table13[[#This Row],[Price]]*0.7</f>
        <v>1049.3</v>
      </c>
      <c r="P872" s="18">
        <f t="shared" si="93"/>
        <v>899.40000000000009</v>
      </c>
      <c r="Q872" s="18">
        <f t="shared" si="94"/>
        <v>0.05</v>
      </c>
      <c r="R872" s="18">
        <f t="shared" si="95"/>
        <v>2387.0699999999997</v>
      </c>
      <c r="S872" s="18" t="str">
        <f>IF(Table13[[#This Row],[Quantity]]&lt;=3,"Small",IF(Table13[[#This Row],[Quantity]]&lt;=6,"Medium","Bulk"))</f>
        <v>Small</v>
      </c>
      <c r="T872" s="18" t="str">
        <f t="shared" si="96"/>
        <v>Normal</v>
      </c>
      <c r="U872" s="18" t="str">
        <f t="shared" si="97"/>
        <v>low Value</v>
      </c>
    </row>
    <row r="873" spans="1:21" x14ac:dyDescent="0.3">
      <c r="A873" t="s">
        <v>881</v>
      </c>
      <c r="B873" s="1">
        <v>45164</v>
      </c>
      <c r="C873" t="s">
        <v>1211</v>
      </c>
      <c r="D873" t="s">
        <v>1215</v>
      </c>
      <c r="E873" t="s">
        <v>1221</v>
      </c>
      <c r="F873" t="s">
        <v>1226</v>
      </c>
      <c r="G873" s="6">
        <v>3</v>
      </c>
      <c r="H873">
        <v>2921</v>
      </c>
      <c r="I873">
        <v>8763</v>
      </c>
      <c r="J873" s="2">
        <v>2096.4899999999998</v>
      </c>
      <c r="K873" s="16">
        <f>Table13[[#This Row],[Profit]]/Table13[[#This Row],[Sales]]</f>
        <v>0.23924340979116737</v>
      </c>
      <c r="L873" s="17" t="str">
        <f t="shared" si="91"/>
        <v>Low</v>
      </c>
      <c r="M873" s="17" t="str">
        <f t="shared" si="92"/>
        <v>Aug</v>
      </c>
      <c r="N873" s="18">
        <f>YEAR(Table13[[#This Row],[Order_Date]])</f>
        <v>2023</v>
      </c>
      <c r="O873" s="18">
        <f>Table13[[#This Row],[Price]]*0.7</f>
        <v>2044.6999999999998</v>
      </c>
      <c r="P873" s="18">
        <f t="shared" si="93"/>
        <v>2628.9000000000005</v>
      </c>
      <c r="Q873" s="18">
        <f t="shared" si="94"/>
        <v>0.05</v>
      </c>
      <c r="R873" s="18">
        <f t="shared" si="95"/>
        <v>6666.5100000000011</v>
      </c>
      <c r="S873" s="18" t="str">
        <f>IF(Table13[[#This Row],[Quantity]]&lt;=3,"Small",IF(Table13[[#This Row],[Quantity]]&lt;=6,"Medium","Bulk"))</f>
        <v>Small</v>
      </c>
      <c r="T873" s="18" t="str">
        <f t="shared" si="96"/>
        <v>Normal</v>
      </c>
      <c r="U873" s="18" t="str">
        <f t="shared" si="97"/>
        <v>low Value</v>
      </c>
    </row>
    <row r="874" spans="1:21" x14ac:dyDescent="0.3">
      <c r="A874" t="s">
        <v>882</v>
      </c>
      <c r="B874" s="1">
        <v>45049</v>
      </c>
      <c r="C874" t="s">
        <v>1211</v>
      </c>
      <c r="D874" t="s">
        <v>1215</v>
      </c>
      <c r="E874" t="s">
        <v>1221</v>
      </c>
      <c r="F874" t="s">
        <v>1226</v>
      </c>
      <c r="G874" s="6">
        <v>6</v>
      </c>
      <c r="H874">
        <v>3289</v>
      </c>
      <c r="I874">
        <v>19734</v>
      </c>
      <c r="J874" s="2">
        <v>2678.56</v>
      </c>
      <c r="K874" s="16">
        <f>Table13[[#This Row],[Profit]]/Table13[[#This Row],[Sales]]</f>
        <v>0.13573325225499139</v>
      </c>
      <c r="L874" s="17" t="str">
        <f t="shared" si="91"/>
        <v>Medium</v>
      </c>
      <c r="M874" s="17" t="str">
        <f t="shared" si="92"/>
        <v>May</v>
      </c>
      <c r="N874" s="18">
        <f>YEAR(Table13[[#This Row],[Order_Date]])</f>
        <v>2023</v>
      </c>
      <c r="O874" s="18">
        <f>Table13[[#This Row],[Price]]*0.7</f>
        <v>2302.2999999999997</v>
      </c>
      <c r="P874" s="18">
        <f t="shared" si="93"/>
        <v>5920.2000000000007</v>
      </c>
      <c r="Q874" s="18">
        <f t="shared" si="94"/>
        <v>0.1</v>
      </c>
      <c r="R874" s="18">
        <f t="shared" si="95"/>
        <v>17055.439999999999</v>
      </c>
      <c r="S874" s="18" t="str">
        <f>IF(Table13[[#This Row],[Quantity]]&lt;=3,"Small",IF(Table13[[#This Row],[Quantity]]&lt;=6,"Medium","Bulk"))</f>
        <v>Medium</v>
      </c>
      <c r="T874" s="18" t="str">
        <f t="shared" si="96"/>
        <v>Normal</v>
      </c>
      <c r="U874" s="18" t="str">
        <f t="shared" si="97"/>
        <v>Medium Value</v>
      </c>
    </row>
    <row r="875" spans="1:21" x14ac:dyDescent="0.3">
      <c r="A875" t="s">
        <v>883</v>
      </c>
      <c r="B875" s="1">
        <v>45188</v>
      </c>
      <c r="C875" t="s">
        <v>1213</v>
      </c>
      <c r="D875" t="s">
        <v>1214</v>
      </c>
      <c r="E875" t="s">
        <v>1219</v>
      </c>
      <c r="F875" t="s">
        <v>1223</v>
      </c>
      <c r="G875" s="6">
        <v>7</v>
      </c>
      <c r="H875">
        <v>4775</v>
      </c>
      <c r="I875">
        <v>33425</v>
      </c>
      <c r="J875" s="2">
        <v>7529.75</v>
      </c>
      <c r="K875" s="16">
        <f>Table13[[#This Row],[Profit]]/Table13[[#This Row],[Sales]]</f>
        <v>0.22527299925205685</v>
      </c>
      <c r="L875" s="17" t="str">
        <f t="shared" si="91"/>
        <v>High</v>
      </c>
      <c r="M875" s="17" t="str">
        <f t="shared" si="92"/>
        <v>Sep</v>
      </c>
      <c r="N875" s="18">
        <f>YEAR(Table13[[#This Row],[Order_Date]])</f>
        <v>2023</v>
      </c>
      <c r="O875" s="18">
        <f>Table13[[#This Row],[Price]]*0.7</f>
        <v>3342.5</v>
      </c>
      <c r="P875" s="18">
        <f t="shared" si="93"/>
        <v>10027.5</v>
      </c>
      <c r="Q875" s="18">
        <f t="shared" si="94"/>
        <v>0.1</v>
      </c>
      <c r="R875" s="18">
        <f t="shared" si="95"/>
        <v>25895.25</v>
      </c>
      <c r="S875" s="18" t="str">
        <f>IF(Table13[[#This Row],[Quantity]]&lt;=3,"Small",IF(Table13[[#This Row],[Quantity]]&lt;=6,"Medium","Bulk"))</f>
        <v>Bulk</v>
      </c>
      <c r="T875" s="18" t="str">
        <f t="shared" si="96"/>
        <v>Normal</v>
      </c>
      <c r="U875" s="18" t="str">
        <f t="shared" si="97"/>
        <v>High Value</v>
      </c>
    </row>
    <row r="876" spans="1:21" x14ac:dyDescent="0.3">
      <c r="A876" t="s">
        <v>884</v>
      </c>
      <c r="B876" s="1">
        <v>44995</v>
      </c>
      <c r="C876" t="s">
        <v>1210</v>
      </c>
      <c r="D876" t="s">
        <v>1214</v>
      </c>
      <c r="E876" t="s">
        <v>1222</v>
      </c>
      <c r="F876" t="s">
        <v>1227</v>
      </c>
      <c r="G876" s="6">
        <v>5</v>
      </c>
      <c r="H876">
        <v>1015</v>
      </c>
      <c r="I876">
        <v>5075</v>
      </c>
      <c r="J876" s="2">
        <v>713.22</v>
      </c>
      <c r="K876" s="16">
        <f>Table13[[#This Row],[Profit]]/Table13[[#This Row],[Sales]]</f>
        <v>0.14053596059113302</v>
      </c>
      <c r="L876" s="17" t="str">
        <f t="shared" si="91"/>
        <v>Low</v>
      </c>
      <c r="M876" s="17" t="str">
        <f t="shared" si="92"/>
        <v>Mar</v>
      </c>
      <c r="N876" s="18">
        <f>YEAR(Table13[[#This Row],[Order_Date]])</f>
        <v>2023</v>
      </c>
      <c r="O876" s="18">
        <f>Table13[[#This Row],[Price]]*0.7</f>
        <v>710.5</v>
      </c>
      <c r="P876" s="18">
        <f t="shared" si="93"/>
        <v>1522.5</v>
      </c>
      <c r="Q876" s="18">
        <f t="shared" si="94"/>
        <v>0.05</v>
      </c>
      <c r="R876" s="18">
        <f t="shared" si="95"/>
        <v>4361.78</v>
      </c>
      <c r="S876" s="18" t="str">
        <f>IF(Table13[[#This Row],[Quantity]]&lt;=3,"Small",IF(Table13[[#This Row],[Quantity]]&lt;=6,"Medium","Bulk"))</f>
        <v>Medium</v>
      </c>
      <c r="T876" s="18" t="str">
        <f t="shared" si="96"/>
        <v>Normal</v>
      </c>
      <c r="U876" s="18" t="str">
        <f t="shared" si="97"/>
        <v>low Value</v>
      </c>
    </row>
    <row r="877" spans="1:21" x14ac:dyDescent="0.3">
      <c r="A877" t="s">
        <v>885</v>
      </c>
      <c r="B877" s="1">
        <v>45197</v>
      </c>
      <c r="C877" t="s">
        <v>1210</v>
      </c>
      <c r="D877" t="s">
        <v>1215</v>
      </c>
      <c r="E877" t="s">
        <v>1220</v>
      </c>
      <c r="F877" t="s">
        <v>1228</v>
      </c>
      <c r="G877" s="6">
        <v>7</v>
      </c>
      <c r="H877">
        <v>1916</v>
      </c>
      <c r="I877">
        <v>13412</v>
      </c>
      <c r="J877" s="2">
        <v>2293.5700000000002</v>
      </c>
      <c r="K877" s="16">
        <f>Table13[[#This Row],[Profit]]/Table13[[#This Row],[Sales]]</f>
        <v>0.17100879809126157</v>
      </c>
      <c r="L877" s="17" t="str">
        <f t="shared" si="91"/>
        <v>Medium</v>
      </c>
      <c r="M877" s="17" t="str">
        <f t="shared" si="92"/>
        <v>Sep</v>
      </c>
      <c r="N877" s="18">
        <f>YEAR(Table13[[#This Row],[Order_Date]])</f>
        <v>2023</v>
      </c>
      <c r="O877" s="18">
        <f>Table13[[#This Row],[Price]]*0.7</f>
        <v>1341.1999999999998</v>
      </c>
      <c r="P877" s="18">
        <f t="shared" si="93"/>
        <v>4023.6000000000022</v>
      </c>
      <c r="Q877" s="18">
        <f t="shared" si="94"/>
        <v>0.1</v>
      </c>
      <c r="R877" s="18">
        <f t="shared" si="95"/>
        <v>11118.43</v>
      </c>
      <c r="S877" s="18" t="str">
        <f>IF(Table13[[#This Row],[Quantity]]&lt;=3,"Small",IF(Table13[[#This Row],[Quantity]]&lt;=6,"Medium","Bulk"))</f>
        <v>Bulk</v>
      </c>
      <c r="T877" s="18" t="str">
        <f t="shared" si="96"/>
        <v>Normal</v>
      </c>
      <c r="U877" s="18" t="str">
        <f t="shared" si="97"/>
        <v>Medium Value</v>
      </c>
    </row>
    <row r="878" spans="1:21" x14ac:dyDescent="0.3">
      <c r="A878" t="s">
        <v>886</v>
      </c>
      <c r="B878" s="1">
        <v>45254</v>
      </c>
      <c r="C878" t="s">
        <v>1211</v>
      </c>
      <c r="D878" t="s">
        <v>1215</v>
      </c>
      <c r="E878" t="s">
        <v>1220</v>
      </c>
      <c r="F878" t="s">
        <v>1228</v>
      </c>
      <c r="G878" s="6">
        <v>5</v>
      </c>
      <c r="H878">
        <v>1372</v>
      </c>
      <c r="I878">
        <v>6860</v>
      </c>
      <c r="J878" s="2">
        <v>1524.36</v>
      </c>
      <c r="K878" s="16">
        <f>Table13[[#This Row],[Profit]]/Table13[[#This Row],[Sales]]</f>
        <v>0.22220991253644312</v>
      </c>
      <c r="L878" s="17" t="str">
        <f t="shared" si="91"/>
        <v>Low</v>
      </c>
      <c r="M878" s="17" t="str">
        <f t="shared" si="92"/>
        <v>Nov</v>
      </c>
      <c r="N878" s="18">
        <f>YEAR(Table13[[#This Row],[Order_Date]])</f>
        <v>2023</v>
      </c>
      <c r="O878" s="18">
        <f>Table13[[#This Row],[Price]]*0.7</f>
        <v>960.4</v>
      </c>
      <c r="P878" s="18">
        <f t="shared" si="93"/>
        <v>2058</v>
      </c>
      <c r="Q878" s="18">
        <f t="shared" si="94"/>
        <v>0.05</v>
      </c>
      <c r="R878" s="18">
        <f t="shared" si="95"/>
        <v>5335.6399999999994</v>
      </c>
      <c r="S878" s="18" t="str">
        <f>IF(Table13[[#This Row],[Quantity]]&lt;=3,"Small",IF(Table13[[#This Row],[Quantity]]&lt;=6,"Medium","Bulk"))</f>
        <v>Medium</v>
      </c>
      <c r="T878" s="18" t="str">
        <f t="shared" si="96"/>
        <v>Normal</v>
      </c>
      <c r="U878" s="18" t="str">
        <f t="shared" si="97"/>
        <v>low Value</v>
      </c>
    </row>
    <row r="879" spans="1:21" x14ac:dyDescent="0.3">
      <c r="A879" t="s">
        <v>887</v>
      </c>
      <c r="B879" s="1">
        <v>45290</v>
      </c>
      <c r="C879" t="s">
        <v>1210</v>
      </c>
      <c r="D879" t="s">
        <v>1217</v>
      </c>
      <c r="E879" t="s">
        <v>1219</v>
      </c>
      <c r="F879" t="s">
        <v>1238</v>
      </c>
      <c r="G879" s="6">
        <v>7</v>
      </c>
      <c r="H879">
        <v>3025</v>
      </c>
      <c r="I879">
        <v>21175</v>
      </c>
      <c r="J879" s="2">
        <v>5042.3599999999997</v>
      </c>
      <c r="K879" s="16">
        <f>Table13[[#This Row],[Profit]]/Table13[[#This Row],[Sales]]</f>
        <v>0.23812798110979927</v>
      </c>
      <c r="L879" s="17" t="str">
        <f t="shared" si="91"/>
        <v>High</v>
      </c>
      <c r="M879" s="17" t="str">
        <f t="shared" si="92"/>
        <v>Dec</v>
      </c>
      <c r="N879" s="18">
        <f>YEAR(Table13[[#This Row],[Order_Date]])</f>
        <v>2023</v>
      </c>
      <c r="O879" s="18">
        <f>Table13[[#This Row],[Price]]*0.7</f>
        <v>2117.5</v>
      </c>
      <c r="P879" s="18">
        <f t="shared" si="93"/>
        <v>6352.5</v>
      </c>
      <c r="Q879" s="18">
        <f t="shared" si="94"/>
        <v>0.1</v>
      </c>
      <c r="R879" s="18">
        <f t="shared" si="95"/>
        <v>16132.640000000001</v>
      </c>
      <c r="S879" s="18" t="str">
        <f>IF(Table13[[#This Row],[Quantity]]&lt;=3,"Small",IF(Table13[[#This Row],[Quantity]]&lt;=6,"Medium","Bulk"))</f>
        <v>Bulk</v>
      </c>
      <c r="T879" s="18" t="str">
        <f t="shared" si="96"/>
        <v>Normal</v>
      </c>
      <c r="U879" s="18" t="str">
        <f t="shared" si="97"/>
        <v>High Value</v>
      </c>
    </row>
    <row r="880" spans="1:21" x14ac:dyDescent="0.3">
      <c r="A880" t="s">
        <v>888</v>
      </c>
      <c r="B880" s="1">
        <v>45183</v>
      </c>
      <c r="C880" t="s">
        <v>1213</v>
      </c>
      <c r="D880" t="s">
        <v>1216</v>
      </c>
      <c r="E880" t="s">
        <v>1222</v>
      </c>
      <c r="F880" t="s">
        <v>1230</v>
      </c>
      <c r="G880" s="6">
        <v>1</v>
      </c>
      <c r="H880">
        <v>1162</v>
      </c>
      <c r="I880">
        <v>1162</v>
      </c>
      <c r="J880" s="2">
        <v>152.77000000000001</v>
      </c>
      <c r="K880" s="16">
        <f>Table13[[#This Row],[Profit]]/Table13[[#This Row],[Sales]]</f>
        <v>0.13147160068846817</v>
      </c>
      <c r="L880" s="17" t="str">
        <f t="shared" si="91"/>
        <v>Low</v>
      </c>
      <c r="M880" s="17" t="str">
        <f t="shared" si="92"/>
        <v>Sep</v>
      </c>
      <c r="N880" s="18">
        <f>YEAR(Table13[[#This Row],[Order_Date]])</f>
        <v>2023</v>
      </c>
      <c r="O880" s="18">
        <f>Table13[[#This Row],[Price]]*0.7</f>
        <v>813.4</v>
      </c>
      <c r="P880" s="18">
        <f t="shared" si="93"/>
        <v>348.6</v>
      </c>
      <c r="Q880" s="18">
        <f t="shared" si="94"/>
        <v>0.05</v>
      </c>
      <c r="R880" s="18">
        <f t="shared" si="95"/>
        <v>1009.2299999999999</v>
      </c>
      <c r="S880" s="18" t="str">
        <f>IF(Table13[[#This Row],[Quantity]]&lt;=3,"Small",IF(Table13[[#This Row],[Quantity]]&lt;=6,"Medium","Bulk"))</f>
        <v>Small</v>
      </c>
      <c r="T880" s="18" t="str">
        <f t="shared" si="96"/>
        <v>Normal</v>
      </c>
      <c r="U880" s="18" t="str">
        <f t="shared" si="97"/>
        <v>low Value</v>
      </c>
    </row>
    <row r="881" spans="1:21" x14ac:dyDescent="0.3">
      <c r="A881" t="s">
        <v>889</v>
      </c>
      <c r="B881" s="1">
        <v>45264</v>
      </c>
      <c r="C881" t="s">
        <v>1212</v>
      </c>
      <c r="D881" t="s">
        <v>1214</v>
      </c>
      <c r="E881" t="s">
        <v>1220</v>
      </c>
      <c r="F881" t="s">
        <v>1228</v>
      </c>
      <c r="G881" s="6">
        <v>2</v>
      </c>
      <c r="H881">
        <v>4509</v>
      </c>
      <c r="I881">
        <v>9018</v>
      </c>
      <c r="J881" s="2">
        <v>2098.67</v>
      </c>
      <c r="K881" s="16">
        <f>Table13[[#This Row],[Profit]]/Table13[[#This Row],[Sales]]</f>
        <v>0.23272011532490575</v>
      </c>
      <c r="L881" s="17" t="str">
        <f t="shared" si="91"/>
        <v>Low</v>
      </c>
      <c r="M881" s="17" t="str">
        <f t="shared" si="92"/>
        <v>Dec</v>
      </c>
      <c r="N881" s="18">
        <f>YEAR(Table13[[#This Row],[Order_Date]])</f>
        <v>2023</v>
      </c>
      <c r="O881" s="18">
        <f>Table13[[#This Row],[Price]]*0.7</f>
        <v>3156.2999999999997</v>
      </c>
      <c r="P881" s="18">
        <f t="shared" si="93"/>
        <v>2705.4000000000005</v>
      </c>
      <c r="Q881" s="18">
        <f t="shared" si="94"/>
        <v>0.05</v>
      </c>
      <c r="R881" s="18">
        <f t="shared" si="95"/>
        <v>6919.33</v>
      </c>
      <c r="S881" s="18" t="str">
        <f>IF(Table13[[#This Row],[Quantity]]&lt;=3,"Small",IF(Table13[[#This Row],[Quantity]]&lt;=6,"Medium","Bulk"))</f>
        <v>Small</v>
      </c>
      <c r="T881" s="18" t="str">
        <f t="shared" si="96"/>
        <v>High Demand</v>
      </c>
      <c r="U881" s="18" t="str">
        <f t="shared" si="97"/>
        <v>low Value</v>
      </c>
    </row>
    <row r="882" spans="1:21" x14ac:dyDescent="0.3">
      <c r="A882" t="s">
        <v>890</v>
      </c>
      <c r="B882" s="1">
        <v>45051</v>
      </c>
      <c r="C882" t="s">
        <v>1210</v>
      </c>
      <c r="D882" t="s">
        <v>1214</v>
      </c>
      <c r="E882" t="s">
        <v>1220</v>
      </c>
      <c r="F882" t="s">
        <v>1224</v>
      </c>
      <c r="G882" s="6">
        <v>1</v>
      </c>
      <c r="H882">
        <v>529</v>
      </c>
      <c r="I882">
        <v>529</v>
      </c>
      <c r="J882" s="2">
        <v>95.53</v>
      </c>
      <c r="K882" s="16">
        <f>Table13[[#This Row],[Profit]]/Table13[[#This Row],[Sales]]</f>
        <v>0.18058601134215502</v>
      </c>
      <c r="L882" s="17" t="str">
        <f t="shared" si="91"/>
        <v>Low</v>
      </c>
      <c r="M882" s="17" t="str">
        <f t="shared" si="92"/>
        <v>May</v>
      </c>
      <c r="N882" s="18">
        <f>YEAR(Table13[[#This Row],[Order_Date]])</f>
        <v>2023</v>
      </c>
      <c r="O882" s="18">
        <f>Table13[[#This Row],[Price]]*0.7</f>
        <v>370.29999999999995</v>
      </c>
      <c r="P882" s="18">
        <f t="shared" si="93"/>
        <v>158.70000000000005</v>
      </c>
      <c r="Q882" s="18">
        <f t="shared" si="94"/>
        <v>0.05</v>
      </c>
      <c r="R882" s="18">
        <f t="shared" si="95"/>
        <v>433.46999999999997</v>
      </c>
      <c r="S882" s="18" t="str">
        <f>IF(Table13[[#This Row],[Quantity]]&lt;=3,"Small",IF(Table13[[#This Row],[Quantity]]&lt;=6,"Medium","Bulk"))</f>
        <v>Small</v>
      </c>
      <c r="T882" s="18" t="str">
        <f t="shared" si="96"/>
        <v>Normal</v>
      </c>
      <c r="U882" s="18" t="str">
        <f t="shared" si="97"/>
        <v>low Value</v>
      </c>
    </row>
    <row r="883" spans="1:21" x14ac:dyDescent="0.3">
      <c r="A883" t="s">
        <v>891</v>
      </c>
      <c r="B883" s="1">
        <v>45050</v>
      </c>
      <c r="C883" t="s">
        <v>1212</v>
      </c>
      <c r="D883" t="s">
        <v>1216</v>
      </c>
      <c r="E883" t="s">
        <v>1219</v>
      </c>
      <c r="F883" t="s">
        <v>1232</v>
      </c>
      <c r="G883" s="6">
        <v>9</v>
      </c>
      <c r="H883">
        <v>2767</v>
      </c>
      <c r="I883">
        <v>24903</v>
      </c>
      <c r="J883" s="2">
        <v>3176.08</v>
      </c>
      <c r="K883" s="16">
        <f>Table13[[#This Row],[Profit]]/Table13[[#This Row],[Sales]]</f>
        <v>0.12753804762478416</v>
      </c>
      <c r="L883" s="17" t="str">
        <f t="shared" si="91"/>
        <v>High</v>
      </c>
      <c r="M883" s="17" t="str">
        <f t="shared" si="92"/>
        <v>May</v>
      </c>
      <c r="N883" s="18">
        <f>YEAR(Table13[[#This Row],[Order_Date]])</f>
        <v>2023</v>
      </c>
      <c r="O883" s="18">
        <f>Table13[[#This Row],[Price]]*0.7</f>
        <v>1936.8999999999999</v>
      </c>
      <c r="P883" s="18">
        <f t="shared" si="93"/>
        <v>7470.9000000000015</v>
      </c>
      <c r="Q883" s="18">
        <f t="shared" si="94"/>
        <v>0.1</v>
      </c>
      <c r="R883" s="18">
        <f t="shared" si="95"/>
        <v>21726.920000000002</v>
      </c>
      <c r="S883" s="18" t="str">
        <f>IF(Table13[[#This Row],[Quantity]]&lt;=3,"Small",IF(Table13[[#This Row],[Quantity]]&lt;=6,"Medium","Bulk"))</f>
        <v>Bulk</v>
      </c>
      <c r="T883" s="18" t="str">
        <f t="shared" si="96"/>
        <v>High Demand</v>
      </c>
      <c r="U883" s="18" t="str">
        <f t="shared" si="97"/>
        <v>High Value</v>
      </c>
    </row>
    <row r="884" spans="1:21" x14ac:dyDescent="0.3">
      <c r="A884" t="s">
        <v>892</v>
      </c>
      <c r="B884" s="1">
        <v>45288</v>
      </c>
      <c r="C884" t="s">
        <v>1213</v>
      </c>
      <c r="D884" t="s">
        <v>1215</v>
      </c>
      <c r="E884" t="s">
        <v>1220</v>
      </c>
      <c r="F884" t="s">
        <v>1228</v>
      </c>
      <c r="G884" s="6">
        <v>4</v>
      </c>
      <c r="H884">
        <v>1335</v>
      </c>
      <c r="I884">
        <v>5340</v>
      </c>
      <c r="J884" s="2">
        <v>595.85</v>
      </c>
      <c r="K884" s="16">
        <f>Table13[[#This Row],[Profit]]/Table13[[#This Row],[Sales]]</f>
        <v>0.11158239700374532</v>
      </c>
      <c r="L884" s="17" t="str">
        <f t="shared" si="91"/>
        <v>Low</v>
      </c>
      <c r="M884" s="17" t="str">
        <f t="shared" si="92"/>
        <v>Dec</v>
      </c>
      <c r="N884" s="18">
        <f>YEAR(Table13[[#This Row],[Order_Date]])</f>
        <v>2023</v>
      </c>
      <c r="O884" s="18">
        <f>Table13[[#This Row],[Price]]*0.7</f>
        <v>934.49999999999989</v>
      </c>
      <c r="P884" s="18">
        <f t="shared" si="93"/>
        <v>1602.0000000000005</v>
      </c>
      <c r="Q884" s="18">
        <f t="shared" si="94"/>
        <v>0.05</v>
      </c>
      <c r="R884" s="18">
        <f t="shared" si="95"/>
        <v>4744.1500000000005</v>
      </c>
      <c r="S884" s="18" t="str">
        <f>IF(Table13[[#This Row],[Quantity]]&lt;=3,"Small",IF(Table13[[#This Row],[Quantity]]&lt;=6,"Medium","Bulk"))</f>
        <v>Medium</v>
      </c>
      <c r="T884" s="18" t="str">
        <f t="shared" si="96"/>
        <v>Normal</v>
      </c>
      <c r="U884" s="18" t="str">
        <f t="shared" si="97"/>
        <v>low Value</v>
      </c>
    </row>
    <row r="885" spans="1:21" x14ac:dyDescent="0.3">
      <c r="A885" t="s">
        <v>893</v>
      </c>
      <c r="B885" s="1">
        <v>45232</v>
      </c>
      <c r="C885" t="s">
        <v>1211</v>
      </c>
      <c r="D885" t="s">
        <v>1216</v>
      </c>
      <c r="E885" t="s">
        <v>1220</v>
      </c>
      <c r="F885" t="s">
        <v>1224</v>
      </c>
      <c r="G885" s="6">
        <v>6</v>
      </c>
      <c r="H885">
        <v>1053</v>
      </c>
      <c r="I885">
        <v>6318</v>
      </c>
      <c r="J885" s="2">
        <v>1104.95</v>
      </c>
      <c r="K885" s="16">
        <f>Table13[[#This Row],[Profit]]/Table13[[#This Row],[Sales]]</f>
        <v>0.174889205444761</v>
      </c>
      <c r="L885" s="17" t="str">
        <f t="shared" si="91"/>
        <v>Low</v>
      </c>
      <c r="M885" s="17" t="str">
        <f t="shared" si="92"/>
        <v>Nov</v>
      </c>
      <c r="N885" s="18">
        <f>YEAR(Table13[[#This Row],[Order_Date]])</f>
        <v>2023</v>
      </c>
      <c r="O885" s="18">
        <f>Table13[[#This Row],[Price]]*0.7</f>
        <v>737.09999999999991</v>
      </c>
      <c r="P885" s="18">
        <f t="shared" si="93"/>
        <v>1895.4000000000005</v>
      </c>
      <c r="Q885" s="18">
        <f t="shared" si="94"/>
        <v>0.1</v>
      </c>
      <c r="R885" s="18">
        <f t="shared" si="95"/>
        <v>5213.0499999999993</v>
      </c>
      <c r="S885" s="18" t="str">
        <f>IF(Table13[[#This Row],[Quantity]]&lt;=3,"Small",IF(Table13[[#This Row],[Quantity]]&lt;=6,"Medium","Bulk"))</f>
        <v>Medium</v>
      </c>
      <c r="T885" s="18" t="str">
        <f t="shared" si="96"/>
        <v>Normal</v>
      </c>
      <c r="U885" s="18" t="str">
        <f t="shared" si="97"/>
        <v>low Value</v>
      </c>
    </row>
    <row r="886" spans="1:21" x14ac:dyDescent="0.3">
      <c r="A886" t="s">
        <v>894</v>
      </c>
      <c r="B886" s="1">
        <v>45172</v>
      </c>
      <c r="C886" t="s">
        <v>1212</v>
      </c>
      <c r="D886" t="s">
        <v>1216</v>
      </c>
      <c r="E886" t="s">
        <v>1221</v>
      </c>
      <c r="F886" t="s">
        <v>1235</v>
      </c>
      <c r="G886" s="6">
        <v>7</v>
      </c>
      <c r="H886">
        <v>4705</v>
      </c>
      <c r="I886">
        <v>32935</v>
      </c>
      <c r="J886" s="2">
        <v>6761.97</v>
      </c>
      <c r="K886" s="16">
        <f>Table13[[#This Row],[Profit]]/Table13[[#This Row],[Sales]]</f>
        <v>0.20531258539547595</v>
      </c>
      <c r="L886" s="17" t="str">
        <f t="shared" si="91"/>
        <v>High</v>
      </c>
      <c r="M886" s="17" t="str">
        <f t="shared" si="92"/>
        <v>Sep</v>
      </c>
      <c r="N886" s="18">
        <f>YEAR(Table13[[#This Row],[Order_Date]])</f>
        <v>2023</v>
      </c>
      <c r="O886" s="18">
        <f>Table13[[#This Row],[Price]]*0.7</f>
        <v>3293.5</v>
      </c>
      <c r="P886" s="18">
        <f t="shared" si="93"/>
        <v>9880.5</v>
      </c>
      <c r="Q886" s="18">
        <f t="shared" si="94"/>
        <v>0.1</v>
      </c>
      <c r="R886" s="18">
        <f t="shared" si="95"/>
        <v>26173.03</v>
      </c>
      <c r="S886" s="18" t="str">
        <f>IF(Table13[[#This Row],[Quantity]]&lt;=3,"Small",IF(Table13[[#This Row],[Quantity]]&lt;=6,"Medium","Bulk"))</f>
        <v>Bulk</v>
      </c>
      <c r="T886" s="18" t="str">
        <f t="shared" si="96"/>
        <v>High Demand</v>
      </c>
      <c r="U886" s="18" t="str">
        <f t="shared" si="97"/>
        <v>High Value</v>
      </c>
    </row>
    <row r="887" spans="1:21" x14ac:dyDescent="0.3">
      <c r="A887" t="s">
        <v>895</v>
      </c>
      <c r="B887" s="1">
        <v>45071</v>
      </c>
      <c r="C887" t="s">
        <v>1210</v>
      </c>
      <c r="D887" t="s">
        <v>1239</v>
      </c>
      <c r="E887" t="s">
        <v>1220</v>
      </c>
      <c r="F887" t="s">
        <v>1224</v>
      </c>
      <c r="G887" s="6">
        <v>7</v>
      </c>
      <c r="H887">
        <v>1669</v>
      </c>
      <c r="I887">
        <v>11683</v>
      </c>
      <c r="J887" s="2">
        <v>958.48</v>
      </c>
      <c r="K887" s="16">
        <f>Table13[[#This Row],[Profit]]/Table13[[#This Row],[Sales]]</f>
        <v>8.2040571770949242E-2</v>
      </c>
      <c r="L887" s="17" t="str">
        <f t="shared" si="91"/>
        <v>Medium</v>
      </c>
      <c r="M887" s="17" t="str">
        <f t="shared" si="92"/>
        <v>May</v>
      </c>
      <c r="N887" s="18">
        <f>YEAR(Table13[[#This Row],[Order_Date]])</f>
        <v>2023</v>
      </c>
      <c r="O887" s="18">
        <f>Table13[[#This Row],[Price]]*0.7</f>
        <v>1168.3</v>
      </c>
      <c r="P887" s="18">
        <f t="shared" si="93"/>
        <v>3504.9000000000005</v>
      </c>
      <c r="Q887" s="18">
        <f t="shared" si="94"/>
        <v>0.1</v>
      </c>
      <c r="R887" s="18">
        <f t="shared" si="95"/>
        <v>10724.52</v>
      </c>
      <c r="S887" s="18" t="str">
        <f>IF(Table13[[#This Row],[Quantity]]&lt;=3,"Small",IF(Table13[[#This Row],[Quantity]]&lt;=6,"Medium","Bulk"))</f>
        <v>Bulk</v>
      </c>
      <c r="T887" s="18" t="str">
        <f t="shared" si="96"/>
        <v>Normal</v>
      </c>
      <c r="U887" s="18" t="str">
        <f t="shared" si="97"/>
        <v>Medium Value</v>
      </c>
    </row>
    <row r="888" spans="1:21" x14ac:dyDescent="0.3">
      <c r="A888" t="s">
        <v>896</v>
      </c>
      <c r="B888" s="1">
        <v>44965</v>
      </c>
      <c r="C888" t="s">
        <v>1213</v>
      </c>
      <c r="D888" t="s">
        <v>1218</v>
      </c>
      <c r="E888" t="s">
        <v>1220</v>
      </c>
      <c r="F888" t="s">
        <v>1224</v>
      </c>
      <c r="G888" s="6">
        <v>3</v>
      </c>
      <c r="H888">
        <v>269</v>
      </c>
      <c r="I888">
        <v>807</v>
      </c>
      <c r="J888" s="2">
        <v>148.82</v>
      </c>
      <c r="K888" s="16">
        <f>Table13[[#This Row],[Profit]]/Table13[[#This Row],[Sales]]</f>
        <v>0.18441140024783145</v>
      </c>
      <c r="L888" s="17" t="str">
        <f t="shared" si="91"/>
        <v>Low</v>
      </c>
      <c r="M888" s="17" t="str">
        <f t="shared" si="92"/>
        <v>Feb</v>
      </c>
      <c r="N888" s="18">
        <f>YEAR(Table13[[#This Row],[Order_Date]])</f>
        <v>2023</v>
      </c>
      <c r="O888" s="18">
        <f>Table13[[#This Row],[Price]]*0.7</f>
        <v>188.29999999999998</v>
      </c>
      <c r="P888" s="18">
        <f t="shared" si="93"/>
        <v>242.10000000000002</v>
      </c>
      <c r="Q888" s="18">
        <f t="shared" si="94"/>
        <v>0.05</v>
      </c>
      <c r="R888" s="18">
        <f t="shared" si="95"/>
        <v>658.18000000000006</v>
      </c>
      <c r="S888" s="18" t="str">
        <f>IF(Table13[[#This Row],[Quantity]]&lt;=3,"Small",IF(Table13[[#This Row],[Quantity]]&lt;=6,"Medium","Bulk"))</f>
        <v>Small</v>
      </c>
      <c r="T888" s="18" t="str">
        <f t="shared" si="96"/>
        <v>Normal</v>
      </c>
      <c r="U888" s="18" t="str">
        <f t="shared" si="97"/>
        <v>low Value</v>
      </c>
    </row>
    <row r="889" spans="1:21" x14ac:dyDescent="0.3">
      <c r="A889" t="s">
        <v>897</v>
      </c>
      <c r="B889" s="1">
        <v>45278</v>
      </c>
      <c r="C889" t="s">
        <v>1213</v>
      </c>
      <c r="D889" t="s">
        <v>1217</v>
      </c>
      <c r="E889" t="s">
        <v>1219</v>
      </c>
      <c r="F889" t="s">
        <v>1233</v>
      </c>
      <c r="G889" s="6">
        <v>8</v>
      </c>
      <c r="H889">
        <v>2979</v>
      </c>
      <c r="I889">
        <v>23832</v>
      </c>
      <c r="J889" s="2">
        <v>2336.66</v>
      </c>
      <c r="K889" s="16">
        <f>Table13[[#This Row],[Profit]]/Table13[[#This Row],[Sales]]</f>
        <v>9.8047163477677071E-2</v>
      </c>
      <c r="L889" s="17" t="str">
        <f t="shared" si="91"/>
        <v>High</v>
      </c>
      <c r="M889" s="17" t="str">
        <f t="shared" si="92"/>
        <v>Dec</v>
      </c>
      <c r="N889" s="18">
        <f>YEAR(Table13[[#This Row],[Order_Date]])</f>
        <v>2023</v>
      </c>
      <c r="O889" s="18">
        <f>Table13[[#This Row],[Price]]*0.7</f>
        <v>2085.2999999999997</v>
      </c>
      <c r="P889" s="18">
        <f t="shared" si="93"/>
        <v>7149.6000000000022</v>
      </c>
      <c r="Q889" s="18">
        <f t="shared" si="94"/>
        <v>0.1</v>
      </c>
      <c r="R889" s="18">
        <f t="shared" si="95"/>
        <v>21495.34</v>
      </c>
      <c r="S889" s="18" t="str">
        <f>IF(Table13[[#This Row],[Quantity]]&lt;=3,"Small",IF(Table13[[#This Row],[Quantity]]&lt;=6,"Medium","Bulk"))</f>
        <v>Bulk</v>
      </c>
      <c r="T889" s="18" t="str">
        <f t="shared" si="96"/>
        <v>Normal</v>
      </c>
      <c r="U889" s="18" t="str">
        <f t="shared" si="97"/>
        <v>High Value</v>
      </c>
    </row>
    <row r="890" spans="1:21" x14ac:dyDescent="0.3">
      <c r="A890" t="s">
        <v>898</v>
      </c>
      <c r="B890" s="1">
        <v>45205</v>
      </c>
      <c r="C890" t="s">
        <v>1211</v>
      </c>
      <c r="D890" t="s">
        <v>1218</v>
      </c>
      <c r="E890" t="s">
        <v>1219</v>
      </c>
      <c r="F890" t="s">
        <v>1233</v>
      </c>
      <c r="G890" s="6">
        <v>9</v>
      </c>
      <c r="H890">
        <v>4065</v>
      </c>
      <c r="I890">
        <v>36585</v>
      </c>
      <c r="J890" s="2">
        <v>5826.64</v>
      </c>
      <c r="K890" s="16">
        <f>Table13[[#This Row],[Profit]]/Table13[[#This Row],[Sales]]</f>
        <v>0.15926308596419297</v>
      </c>
      <c r="L890" s="17" t="str">
        <f t="shared" si="91"/>
        <v>High</v>
      </c>
      <c r="M890" s="17" t="str">
        <f t="shared" si="92"/>
        <v>Oct</v>
      </c>
      <c r="N890" s="18">
        <f>YEAR(Table13[[#This Row],[Order_Date]])</f>
        <v>2023</v>
      </c>
      <c r="O890" s="18">
        <f>Table13[[#This Row],[Price]]*0.7</f>
        <v>2845.5</v>
      </c>
      <c r="P890" s="18">
        <f t="shared" si="93"/>
        <v>10975.5</v>
      </c>
      <c r="Q890" s="18">
        <f t="shared" si="94"/>
        <v>0.1</v>
      </c>
      <c r="R890" s="18">
        <f t="shared" si="95"/>
        <v>30758.359999999997</v>
      </c>
      <c r="S890" s="18" t="str">
        <f>IF(Table13[[#This Row],[Quantity]]&lt;=3,"Small",IF(Table13[[#This Row],[Quantity]]&lt;=6,"Medium","Bulk"))</f>
        <v>Bulk</v>
      </c>
      <c r="T890" s="18" t="str">
        <f t="shared" si="96"/>
        <v>Normal</v>
      </c>
      <c r="U890" s="18" t="str">
        <f t="shared" si="97"/>
        <v>High Value</v>
      </c>
    </row>
    <row r="891" spans="1:21" x14ac:dyDescent="0.3">
      <c r="A891" t="s">
        <v>899</v>
      </c>
      <c r="B891" s="1">
        <v>45158</v>
      </c>
      <c r="C891" t="s">
        <v>1212</v>
      </c>
      <c r="D891" t="s">
        <v>1215</v>
      </c>
      <c r="E891" t="s">
        <v>1221</v>
      </c>
      <c r="F891" t="s">
        <v>1226</v>
      </c>
      <c r="G891" s="6">
        <v>7</v>
      </c>
      <c r="H891">
        <v>4772</v>
      </c>
      <c r="I891">
        <v>33404</v>
      </c>
      <c r="J891" s="2">
        <v>6755.72</v>
      </c>
      <c r="K891" s="16">
        <f>Table13[[#This Row],[Profit]]/Table13[[#This Row],[Sales]]</f>
        <v>0.20224284516824334</v>
      </c>
      <c r="L891" s="17" t="str">
        <f t="shared" si="91"/>
        <v>High</v>
      </c>
      <c r="M891" s="17" t="str">
        <f t="shared" si="92"/>
        <v>Aug</v>
      </c>
      <c r="N891" s="18">
        <f>YEAR(Table13[[#This Row],[Order_Date]])</f>
        <v>2023</v>
      </c>
      <c r="O891" s="18">
        <f>Table13[[#This Row],[Price]]*0.7</f>
        <v>3340.3999999999996</v>
      </c>
      <c r="P891" s="18">
        <f t="shared" si="93"/>
        <v>10021.200000000004</v>
      </c>
      <c r="Q891" s="18">
        <f t="shared" si="94"/>
        <v>0.1</v>
      </c>
      <c r="R891" s="18">
        <f t="shared" si="95"/>
        <v>26648.28</v>
      </c>
      <c r="S891" s="18" t="str">
        <f>IF(Table13[[#This Row],[Quantity]]&lt;=3,"Small",IF(Table13[[#This Row],[Quantity]]&lt;=6,"Medium","Bulk"))</f>
        <v>Bulk</v>
      </c>
      <c r="T891" s="18" t="str">
        <f t="shared" si="96"/>
        <v>High Demand</v>
      </c>
      <c r="U891" s="18" t="str">
        <f t="shared" si="97"/>
        <v>High Value</v>
      </c>
    </row>
    <row r="892" spans="1:21" x14ac:dyDescent="0.3">
      <c r="A892" t="s">
        <v>900</v>
      </c>
      <c r="B892" s="1">
        <v>45217</v>
      </c>
      <c r="C892" t="s">
        <v>1210</v>
      </c>
      <c r="D892" t="s">
        <v>1217</v>
      </c>
      <c r="E892" t="s">
        <v>1220</v>
      </c>
      <c r="F892" t="s">
        <v>1225</v>
      </c>
      <c r="G892" s="6">
        <v>1</v>
      </c>
      <c r="H892">
        <v>2476</v>
      </c>
      <c r="I892">
        <v>2476</v>
      </c>
      <c r="J892" s="2">
        <v>214.88</v>
      </c>
      <c r="K892" s="16">
        <f>Table13[[#This Row],[Profit]]/Table13[[#This Row],[Sales]]</f>
        <v>8.6785137318255254E-2</v>
      </c>
      <c r="L892" s="17" t="str">
        <f t="shared" si="91"/>
        <v>Low</v>
      </c>
      <c r="M892" s="17" t="str">
        <f t="shared" si="92"/>
        <v>Oct</v>
      </c>
      <c r="N892" s="18">
        <f>YEAR(Table13[[#This Row],[Order_Date]])</f>
        <v>2023</v>
      </c>
      <c r="O892" s="18">
        <f>Table13[[#This Row],[Price]]*0.7</f>
        <v>1733.1999999999998</v>
      </c>
      <c r="P892" s="18">
        <f t="shared" si="93"/>
        <v>742.80000000000018</v>
      </c>
      <c r="Q892" s="18">
        <f t="shared" si="94"/>
        <v>0.05</v>
      </c>
      <c r="R892" s="18">
        <f t="shared" si="95"/>
        <v>2261.12</v>
      </c>
      <c r="S892" s="18" t="str">
        <f>IF(Table13[[#This Row],[Quantity]]&lt;=3,"Small",IF(Table13[[#This Row],[Quantity]]&lt;=6,"Medium","Bulk"))</f>
        <v>Small</v>
      </c>
      <c r="T892" s="18" t="str">
        <f t="shared" si="96"/>
        <v>Normal</v>
      </c>
      <c r="U892" s="18" t="str">
        <f t="shared" si="97"/>
        <v>low Value</v>
      </c>
    </row>
    <row r="893" spans="1:21" x14ac:dyDescent="0.3">
      <c r="A893" t="s">
        <v>901</v>
      </c>
      <c r="B893" s="1">
        <v>44998</v>
      </c>
      <c r="C893" t="s">
        <v>1212</v>
      </c>
      <c r="D893" t="s">
        <v>1216</v>
      </c>
      <c r="E893" t="s">
        <v>1222</v>
      </c>
      <c r="F893" t="s">
        <v>1230</v>
      </c>
      <c r="G893" s="6">
        <v>2</v>
      </c>
      <c r="H893">
        <v>2869</v>
      </c>
      <c r="I893">
        <v>5738</v>
      </c>
      <c r="J893" s="2">
        <v>800.64</v>
      </c>
      <c r="K893" s="16">
        <f>Table13[[#This Row],[Profit]]/Table13[[#This Row],[Sales]]</f>
        <v>0.13953293830602997</v>
      </c>
      <c r="L893" s="17" t="str">
        <f t="shared" si="91"/>
        <v>Low</v>
      </c>
      <c r="M893" s="17" t="str">
        <f t="shared" si="92"/>
        <v>Mar</v>
      </c>
      <c r="N893" s="18">
        <f>YEAR(Table13[[#This Row],[Order_Date]])</f>
        <v>2023</v>
      </c>
      <c r="O893" s="18">
        <f>Table13[[#This Row],[Price]]*0.7</f>
        <v>2008.3</v>
      </c>
      <c r="P893" s="18">
        <f t="shared" si="93"/>
        <v>1721.4</v>
      </c>
      <c r="Q893" s="18">
        <f t="shared" si="94"/>
        <v>0.05</v>
      </c>
      <c r="R893" s="18">
        <f t="shared" si="95"/>
        <v>4937.3599999999997</v>
      </c>
      <c r="S893" s="18" t="str">
        <f>IF(Table13[[#This Row],[Quantity]]&lt;=3,"Small",IF(Table13[[#This Row],[Quantity]]&lt;=6,"Medium","Bulk"))</f>
        <v>Small</v>
      </c>
      <c r="T893" s="18" t="str">
        <f t="shared" si="96"/>
        <v>High Demand</v>
      </c>
      <c r="U893" s="18" t="str">
        <f t="shared" si="97"/>
        <v>low Value</v>
      </c>
    </row>
    <row r="894" spans="1:21" x14ac:dyDescent="0.3">
      <c r="A894" t="s">
        <v>902</v>
      </c>
      <c r="B894" s="1">
        <v>45120</v>
      </c>
      <c r="C894" t="s">
        <v>1211</v>
      </c>
      <c r="D894" t="s">
        <v>1217</v>
      </c>
      <c r="E894" t="s">
        <v>1222</v>
      </c>
      <c r="F894" t="s">
        <v>1230</v>
      </c>
      <c r="G894" s="6">
        <v>7</v>
      </c>
      <c r="H894">
        <v>635</v>
      </c>
      <c r="I894">
        <v>4445</v>
      </c>
      <c r="J894" s="2">
        <v>1106.1600000000001</v>
      </c>
      <c r="K894" s="16">
        <f>Table13[[#This Row],[Profit]]/Table13[[#This Row],[Sales]]</f>
        <v>0.24885489313835774</v>
      </c>
      <c r="L894" s="17" t="str">
        <f t="shared" si="91"/>
        <v>Low</v>
      </c>
      <c r="M894" s="17" t="str">
        <f t="shared" si="92"/>
        <v>Jul</v>
      </c>
      <c r="N894" s="18">
        <f>YEAR(Table13[[#This Row],[Order_Date]])</f>
        <v>2023</v>
      </c>
      <c r="O894" s="18">
        <f>Table13[[#This Row],[Price]]*0.7</f>
        <v>444.5</v>
      </c>
      <c r="P894" s="18">
        <f t="shared" si="93"/>
        <v>1333.5</v>
      </c>
      <c r="Q894" s="18">
        <f t="shared" si="94"/>
        <v>0.1</v>
      </c>
      <c r="R894" s="18">
        <f t="shared" si="95"/>
        <v>3338.8399999999997</v>
      </c>
      <c r="S894" s="18" t="str">
        <f>IF(Table13[[#This Row],[Quantity]]&lt;=3,"Small",IF(Table13[[#This Row],[Quantity]]&lt;=6,"Medium","Bulk"))</f>
        <v>Bulk</v>
      </c>
      <c r="T894" s="18" t="str">
        <f t="shared" si="96"/>
        <v>Normal</v>
      </c>
      <c r="U894" s="18" t="str">
        <f t="shared" si="97"/>
        <v>low Value</v>
      </c>
    </row>
    <row r="895" spans="1:21" x14ac:dyDescent="0.3">
      <c r="A895" t="s">
        <v>903</v>
      </c>
      <c r="B895" s="1">
        <v>45155</v>
      </c>
      <c r="C895" t="s">
        <v>1211</v>
      </c>
      <c r="D895" t="s">
        <v>1214</v>
      </c>
      <c r="E895" t="s">
        <v>1221</v>
      </c>
      <c r="F895" t="s">
        <v>1231</v>
      </c>
      <c r="G895" s="6">
        <v>8</v>
      </c>
      <c r="H895">
        <v>3313</v>
      </c>
      <c r="I895">
        <v>26504</v>
      </c>
      <c r="J895" s="2">
        <v>4962.37</v>
      </c>
      <c r="K895" s="16">
        <f>Table13[[#This Row],[Profit]]/Table13[[#This Row],[Sales]]</f>
        <v>0.18723098400241472</v>
      </c>
      <c r="L895" s="17" t="str">
        <f t="shared" si="91"/>
        <v>High</v>
      </c>
      <c r="M895" s="17" t="str">
        <f t="shared" si="92"/>
        <v>Aug</v>
      </c>
      <c r="N895" s="18">
        <f>YEAR(Table13[[#This Row],[Order_Date]])</f>
        <v>2023</v>
      </c>
      <c r="O895" s="18">
        <f>Table13[[#This Row],[Price]]*0.7</f>
        <v>2319.1</v>
      </c>
      <c r="P895" s="18">
        <f t="shared" si="93"/>
        <v>7951.2000000000007</v>
      </c>
      <c r="Q895" s="18">
        <f t="shared" si="94"/>
        <v>0.1</v>
      </c>
      <c r="R895" s="18">
        <f t="shared" si="95"/>
        <v>21541.63</v>
      </c>
      <c r="S895" s="18" t="str">
        <f>IF(Table13[[#This Row],[Quantity]]&lt;=3,"Small",IF(Table13[[#This Row],[Quantity]]&lt;=6,"Medium","Bulk"))</f>
        <v>Bulk</v>
      </c>
      <c r="T895" s="18" t="str">
        <f t="shared" si="96"/>
        <v>Normal</v>
      </c>
      <c r="U895" s="18" t="str">
        <f t="shared" si="97"/>
        <v>High Value</v>
      </c>
    </row>
    <row r="896" spans="1:21" x14ac:dyDescent="0.3">
      <c r="A896" t="s">
        <v>904</v>
      </c>
      <c r="B896" s="1">
        <v>44960</v>
      </c>
      <c r="C896" t="s">
        <v>1212</v>
      </c>
      <c r="D896" t="s">
        <v>1218</v>
      </c>
      <c r="E896" t="s">
        <v>1220</v>
      </c>
      <c r="F896" t="s">
        <v>1237</v>
      </c>
      <c r="G896" s="6">
        <v>6</v>
      </c>
      <c r="H896">
        <v>3080</v>
      </c>
      <c r="I896">
        <v>18480</v>
      </c>
      <c r="J896" s="2">
        <v>1778.86</v>
      </c>
      <c r="K896" s="16">
        <f>Table13[[#This Row],[Profit]]/Table13[[#This Row],[Sales]]</f>
        <v>9.6258658008658002E-2</v>
      </c>
      <c r="L896" s="17" t="str">
        <f t="shared" si="91"/>
        <v>Medium</v>
      </c>
      <c r="M896" s="17" t="str">
        <f t="shared" si="92"/>
        <v>Feb</v>
      </c>
      <c r="N896" s="18">
        <f>YEAR(Table13[[#This Row],[Order_Date]])</f>
        <v>2023</v>
      </c>
      <c r="O896" s="18">
        <f>Table13[[#This Row],[Price]]*0.7</f>
        <v>2156</v>
      </c>
      <c r="P896" s="18">
        <f t="shared" si="93"/>
        <v>5544</v>
      </c>
      <c r="Q896" s="18">
        <f t="shared" si="94"/>
        <v>0.1</v>
      </c>
      <c r="R896" s="18">
        <f t="shared" si="95"/>
        <v>16701.14</v>
      </c>
      <c r="S896" s="18" t="str">
        <f>IF(Table13[[#This Row],[Quantity]]&lt;=3,"Small",IF(Table13[[#This Row],[Quantity]]&lt;=6,"Medium","Bulk"))</f>
        <v>Medium</v>
      </c>
      <c r="T896" s="18" t="str">
        <f t="shared" si="96"/>
        <v>High Demand</v>
      </c>
      <c r="U896" s="18" t="str">
        <f t="shared" si="97"/>
        <v>Medium Value</v>
      </c>
    </row>
    <row r="897" spans="1:21" x14ac:dyDescent="0.3">
      <c r="A897" t="s">
        <v>905</v>
      </c>
      <c r="B897" s="1">
        <v>45108</v>
      </c>
      <c r="C897" t="s">
        <v>1212</v>
      </c>
      <c r="D897" t="s">
        <v>1214</v>
      </c>
      <c r="E897" t="s">
        <v>1221</v>
      </c>
      <c r="F897" t="s">
        <v>1229</v>
      </c>
      <c r="G897" s="6">
        <v>9</v>
      </c>
      <c r="H897">
        <v>204</v>
      </c>
      <c r="I897">
        <v>1836</v>
      </c>
      <c r="J897" s="2">
        <v>198.25</v>
      </c>
      <c r="K897" s="16">
        <f>Table13[[#This Row],[Profit]]/Table13[[#This Row],[Sales]]</f>
        <v>0.10797930283224401</v>
      </c>
      <c r="L897" s="17" t="str">
        <f t="shared" si="91"/>
        <v>Low</v>
      </c>
      <c r="M897" s="17" t="str">
        <f t="shared" si="92"/>
        <v>Jul</v>
      </c>
      <c r="N897" s="18">
        <f>YEAR(Table13[[#This Row],[Order_Date]])</f>
        <v>2023</v>
      </c>
      <c r="O897" s="18">
        <f>Table13[[#This Row],[Price]]*0.7</f>
        <v>142.79999999999998</v>
      </c>
      <c r="P897" s="18">
        <f t="shared" si="93"/>
        <v>550.80000000000018</v>
      </c>
      <c r="Q897" s="18">
        <f t="shared" si="94"/>
        <v>0.1</v>
      </c>
      <c r="R897" s="18">
        <f t="shared" si="95"/>
        <v>1637.75</v>
      </c>
      <c r="S897" s="18" t="str">
        <f>IF(Table13[[#This Row],[Quantity]]&lt;=3,"Small",IF(Table13[[#This Row],[Quantity]]&lt;=6,"Medium","Bulk"))</f>
        <v>Bulk</v>
      </c>
      <c r="T897" s="18" t="str">
        <f t="shared" si="96"/>
        <v>High Demand</v>
      </c>
      <c r="U897" s="18" t="str">
        <f t="shared" si="97"/>
        <v>low Value</v>
      </c>
    </row>
    <row r="898" spans="1:21" x14ac:dyDescent="0.3">
      <c r="A898" t="s">
        <v>906</v>
      </c>
      <c r="B898" s="1">
        <v>45181</v>
      </c>
      <c r="C898" t="s">
        <v>1213</v>
      </c>
      <c r="D898" t="s">
        <v>1217</v>
      </c>
      <c r="E898" t="s">
        <v>1222</v>
      </c>
      <c r="F898" t="s">
        <v>1227</v>
      </c>
      <c r="G898" s="6">
        <v>8</v>
      </c>
      <c r="H898">
        <v>3138</v>
      </c>
      <c r="I898">
        <v>25104</v>
      </c>
      <c r="J898" s="2">
        <v>2445.19</v>
      </c>
      <c r="K898" s="16">
        <f>Table13[[#This Row],[Profit]]/Table13[[#This Row],[Sales]]</f>
        <v>9.7402405991077121E-2</v>
      </c>
      <c r="L898" s="17" t="str">
        <f t="shared" ref="L898:L961" si="98">IF(I898&gt;20000,"High",IF(I898&gt;10000,"Medium","Low"))</f>
        <v>High</v>
      </c>
      <c r="M898" s="17" t="str">
        <f t="shared" ref="M898:M961" si="99">TEXT(B898,"mmm")</f>
        <v>Sep</v>
      </c>
      <c r="N898" s="18">
        <f>YEAR(Table13[[#This Row],[Order_Date]])</f>
        <v>2023</v>
      </c>
      <c r="O898" s="18">
        <f>Table13[[#This Row],[Price]]*0.7</f>
        <v>2196.6</v>
      </c>
      <c r="P898" s="18">
        <f t="shared" ref="P898:P961" si="100">I898 - (G898 *O898)</f>
        <v>7531.2000000000007</v>
      </c>
      <c r="Q898" s="18">
        <f t="shared" ref="Q898:Q961" si="101">IF(G898&gt;5,0.1,0.05)</f>
        <v>0.1</v>
      </c>
      <c r="R898" s="18">
        <f t="shared" ref="R898:R961" si="102">I898*(1-K898)</f>
        <v>22658.81</v>
      </c>
      <c r="S898" s="18" t="str">
        <f>IF(Table13[[#This Row],[Quantity]]&lt;=3,"Small",IF(Table13[[#This Row],[Quantity]]&lt;=6,"Medium","Bulk"))</f>
        <v>Bulk</v>
      </c>
      <c r="T898" s="18" t="str">
        <f t="shared" ref="T898:T961" si="103">IF(C898="North","High Demand","Normal")</f>
        <v>Normal</v>
      </c>
      <c r="U898" s="18" t="str">
        <f t="shared" ref="U898:U961" si="104">IF(I898&gt;20000,"High Value",IF(I898&gt;10000,"Medium Value","low Value"))</f>
        <v>High Value</v>
      </c>
    </row>
    <row r="899" spans="1:21" x14ac:dyDescent="0.3">
      <c r="A899" t="s">
        <v>907</v>
      </c>
      <c r="B899" s="1">
        <v>45184</v>
      </c>
      <c r="C899" t="s">
        <v>1210</v>
      </c>
      <c r="D899" t="s">
        <v>1215</v>
      </c>
      <c r="E899" t="s">
        <v>1219</v>
      </c>
      <c r="F899" t="s">
        <v>1223</v>
      </c>
      <c r="G899" s="6">
        <v>2</v>
      </c>
      <c r="H899">
        <v>2836</v>
      </c>
      <c r="I899">
        <v>5672</v>
      </c>
      <c r="J899" s="2">
        <v>1283.6500000000001</v>
      </c>
      <c r="K899" s="16">
        <f>Table13[[#This Row],[Profit]]/Table13[[#This Row],[Sales]]</f>
        <v>0.22631346967559945</v>
      </c>
      <c r="L899" s="17" t="str">
        <f t="shared" si="98"/>
        <v>Low</v>
      </c>
      <c r="M899" s="17" t="str">
        <f t="shared" si="99"/>
        <v>Sep</v>
      </c>
      <c r="N899" s="18">
        <f>YEAR(Table13[[#This Row],[Order_Date]])</f>
        <v>2023</v>
      </c>
      <c r="O899" s="18">
        <f>Table13[[#This Row],[Price]]*0.7</f>
        <v>1985.1999999999998</v>
      </c>
      <c r="P899" s="18">
        <f t="shared" si="100"/>
        <v>1701.6000000000004</v>
      </c>
      <c r="Q899" s="18">
        <f t="shared" si="101"/>
        <v>0.05</v>
      </c>
      <c r="R899" s="18">
        <f t="shared" si="102"/>
        <v>4388.3499999999995</v>
      </c>
      <c r="S899" s="18" t="str">
        <f>IF(Table13[[#This Row],[Quantity]]&lt;=3,"Small",IF(Table13[[#This Row],[Quantity]]&lt;=6,"Medium","Bulk"))</f>
        <v>Small</v>
      </c>
      <c r="T899" s="18" t="str">
        <f t="shared" si="103"/>
        <v>Normal</v>
      </c>
      <c r="U899" s="18" t="str">
        <f t="shared" si="104"/>
        <v>low Value</v>
      </c>
    </row>
    <row r="900" spans="1:21" x14ac:dyDescent="0.3">
      <c r="A900" t="s">
        <v>908</v>
      </c>
      <c r="B900" s="1">
        <v>44958</v>
      </c>
      <c r="C900" t="s">
        <v>1210</v>
      </c>
      <c r="D900" t="s">
        <v>1215</v>
      </c>
      <c r="E900" t="s">
        <v>1219</v>
      </c>
      <c r="F900" t="s">
        <v>1233</v>
      </c>
      <c r="G900" s="6">
        <v>8</v>
      </c>
      <c r="H900">
        <v>453</v>
      </c>
      <c r="I900">
        <v>3624</v>
      </c>
      <c r="J900" s="2">
        <v>762.05</v>
      </c>
      <c r="K900" s="16">
        <f>Table13[[#This Row],[Profit]]/Table13[[#This Row],[Sales]]</f>
        <v>0.21027869757174392</v>
      </c>
      <c r="L900" s="17" t="str">
        <f t="shared" si="98"/>
        <v>Low</v>
      </c>
      <c r="M900" s="17" t="str">
        <f t="shared" si="99"/>
        <v>Feb</v>
      </c>
      <c r="N900" s="18">
        <f>YEAR(Table13[[#This Row],[Order_Date]])</f>
        <v>2023</v>
      </c>
      <c r="O900" s="18">
        <f>Table13[[#This Row],[Price]]*0.7</f>
        <v>317.09999999999997</v>
      </c>
      <c r="P900" s="18">
        <f t="shared" si="100"/>
        <v>1087.2000000000003</v>
      </c>
      <c r="Q900" s="18">
        <f t="shared" si="101"/>
        <v>0.1</v>
      </c>
      <c r="R900" s="18">
        <f t="shared" si="102"/>
        <v>2861.9500000000003</v>
      </c>
      <c r="S900" s="18" t="str">
        <f>IF(Table13[[#This Row],[Quantity]]&lt;=3,"Small",IF(Table13[[#This Row],[Quantity]]&lt;=6,"Medium","Bulk"))</f>
        <v>Bulk</v>
      </c>
      <c r="T900" s="18" t="str">
        <f t="shared" si="103"/>
        <v>Normal</v>
      </c>
      <c r="U900" s="18" t="str">
        <f t="shared" si="104"/>
        <v>low Value</v>
      </c>
    </row>
    <row r="901" spans="1:21" x14ac:dyDescent="0.3">
      <c r="A901" t="s">
        <v>909</v>
      </c>
      <c r="B901" s="1">
        <v>45104</v>
      </c>
      <c r="C901" t="s">
        <v>1210</v>
      </c>
      <c r="D901" t="s">
        <v>1217</v>
      </c>
      <c r="E901" t="s">
        <v>1222</v>
      </c>
      <c r="F901" t="s">
        <v>1234</v>
      </c>
      <c r="G901" s="6">
        <v>4</v>
      </c>
      <c r="H901">
        <v>3092</v>
      </c>
      <c r="I901">
        <v>12368</v>
      </c>
      <c r="J901" s="2">
        <v>1560.39</v>
      </c>
      <c r="K901" s="16">
        <f>Table13[[#This Row],[Profit]]/Table13[[#This Row],[Sales]]</f>
        <v>0.12616348641655886</v>
      </c>
      <c r="L901" s="17" t="str">
        <f t="shared" si="98"/>
        <v>Medium</v>
      </c>
      <c r="M901" s="17" t="str">
        <f t="shared" si="99"/>
        <v>Jun</v>
      </c>
      <c r="N901" s="18">
        <f>YEAR(Table13[[#This Row],[Order_Date]])</f>
        <v>2023</v>
      </c>
      <c r="O901" s="18">
        <f>Table13[[#This Row],[Price]]*0.7</f>
        <v>2164.3999999999996</v>
      </c>
      <c r="P901" s="18">
        <f t="shared" si="100"/>
        <v>3710.4000000000015</v>
      </c>
      <c r="Q901" s="18">
        <f t="shared" si="101"/>
        <v>0.05</v>
      </c>
      <c r="R901" s="18">
        <f t="shared" si="102"/>
        <v>10807.61</v>
      </c>
      <c r="S901" s="18" t="str">
        <f>IF(Table13[[#This Row],[Quantity]]&lt;=3,"Small",IF(Table13[[#This Row],[Quantity]]&lt;=6,"Medium","Bulk"))</f>
        <v>Medium</v>
      </c>
      <c r="T901" s="18" t="str">
        <f t="shared" si="103"/>
        <v>Normal</v>
      </c>
      <c r="U901" s="18" t="str">
        <f t="shared" si="104"/>
        <v>Medium Value</v>
      </c>
    </row>
    <row r="902" spans="1:21" x14ac:dyDescent="0.3">
      <c r="A902" t="s">
        <v>910</v>
      </c>
      <c r="B902" s="1">
        <v>45181</v>
      </c>
      <c r="C902" t="s">
        <v>1210</v>
      </c>
      <c r="D902" t="s">
        <v>1216</v>
      </c>
      <c r="E902" t="s">
        <v>1221</v>
      </c>
      <c r="F902" t="s">
        <v>1235</v>
      </c>
      <c r="G902" s="6">
        <v>7</v>
      </c>
      <c r="H902">
        <v>3171</v>
      </c>
      <c r="I902">
        <v>22197</v>
      </c>
      <c r="J902" s="2">
        <v>4328.1400000000003</v>
      </c>
      <c r="K902" s="16">
        <f>Table13[[#This Row],[Profit]]/Table13[[#This Row],[Sales]]</f>
        <v>0.19498761093841513</v>
      </c>
      <c r="L902" s="17" t="str">
        <f t="shared" si="98"/>
        <v>High</v>
      </c>
      <c r="M902" s="17" t="str">
        <f t="shared" si="99"/>
        <v>Sep</v>
      </c>
      <c r="N902" s="18">
        <f>YEAR(Table13[[#This Row],[Order_Date]])</f>
        <v>2023</v>
      </c>
      <c r="O902" s="18">
        <f>Table13[[#This Row],[Price]]*0.7</f>
        <v>2219.6999999999998</v>
      </c>
      <c r="P902" s="18">
        <f t="shared" si="100"/>
        <v>6659.1000000000022</v>
      </c>
      <c r="Q902" s="18">
        <f t="shared" si="101"/>
        <v>0.1</v>
      </c>
      <c r="R902" s="18">
        <f t="shared" si="102"/>
        <v>17868.86</v>
      </c>
      <c r="S902" s="18" t="str">
        <f>IF(Table13[[#This Row],[Quantity]]&lt;=3,"Small",IF(Table13[[#This Row],[Quantity]]&lt;=6,"Medium","Bulk"))</f>
        <v>Bulk</v>
      </c>
      <c r="T902" s="18" t="str">
        <f t="shared" si="103"/>
        <v>Normal</v>
      </c>
      <c r="U902" s="18" t="str">
        <f t="shared" si="104"/>
        <v>High Value</v>
      </c>
    </row>
    <row r="903" spans="1:21" x14ac:dyDescent="0.3">
      <c r="A903" t="s">
        <v>911</v>
      </c>
      <c r="B903" s="1">
        <v>45077</v>
      </c>
      <c r="C903" t="s">
        <v>1212</v>
      </c>
      <c r="D903" t="s">
        <v>1215</v>
      </c>
      <c r="E903" t="s">
        <v>1222</v>
      </c>
      <c r="F903" t="s">
        <v>1230</v>
      </c>
      <c r="G903" s="6">
        <v>1</v>
      </c>
      <c r="H903">
        <v>4321</v>
      </c>
      <c r="I903">
        <v>4321</v>
      </c>
      <c r="J903" s="2">
        <v>1039.27</v>
      </c>
      <c r="K903" s="16">
        <f>Table13[[#This Row],[Profit]]/Table13[[#This Row],[Sales]]</f>
        <v>0.24051608423975931</v>
      </c>
      <c r="L903" s="17" t="str">
        <f t="shared" si="98"/>
        <v>Low</v>
      </c>
      <c r="M903" s="17" t="str">
        <f t="shared" si="99"/>
        <v>May</v>
      </c>
      <c r="N903" s="18">
        <f>YEAR(Table13[[#This Row],[Order_Date]])</f>
        <v>2023</v>
      </c>
      <c r="O903" s="18">
        <f>Table13[[#This Row],[Price]]*0.7</f>
        <v>3024.7</v>
      </c>
      <c r="P903" s="18">
        <f t="shared" si="100"/>
        <v>1296.3000000000002</v>
      </c>
      <c r="Q903" s="18">
        <f t="shared" si="101"/>
        <v>0.05</v>
      </c>
      <c r="R903" s="18">
        <f t="shared" si="102"/>
        <v>3281.73</v>
      </c>
      <c r="S903" s="18" t="str">
        <f>IF(Table13[[#This Row],[Quantity]]&lt;=3,"Small",IF(Table13[[#This Row],[Quantity]]&lt;=6,"Medium","Bulk"))</f>
        <v>Small</v>
      </c>
      <c r="T903" s="18" t="str">
        <f t="shared" si="103"/>
        <v>High Demand</v>
      </c>
      <c r="U903" s="18" t="str">
        <f t="shared" si="104"/>
        <v>low Value</v>
      </c>
    </row>
    <row r="904" spans="1:21" x14ac:dyDescent="0.3">
      <c r="A904" t="s">
        <v>912</v>
      </c>
      <c r="B904" s="1">
        <v>45077</v>
      </c>
      <c r="C904" t="s">
        <v>1210</v>
      </c>
      <c r="D904" t="s">
        <v>1215</v>
      </c>
      <c r="E904" t="s">
        <v>1221</v>
      </c>
      <c r="F904" t="s">
        <v>1231</v>
      </c>
      <c r="G904" s="6">
        <v>1</v>
      </c>
      <c r="H904">
        <v>4514</v>
      </c>
      <c r="I904">
        <v>4514</v>
      </c>
      <c r="J904" s="2">
        <v>1011.3</v>
      </c>
      <c r="K904" s="16">
        <f>Table13[[#This Row],[Profit]]/Table13[[#This Row],[Sales]]</f>
        <v>0.22403633141338058</v>
      </c>
      <c r="L904" s="17" t="str">
        <f t="shared" si="98"/>
        <v>Low</v>
      </c>
      <c r="M904" s="17" t="str">
        <f t="shared" si="99"/>
        <v>May</v>
      </c>
      <c r="N904" s="18">
        <f>YEAR(Table13[[#This Row],[Order_Date]])</f>
        <v>2023</v>
      </c>
      <c r="O904" s="18">
        <f>Table13[[#This Row],[Price]]*0.7</f>
        <v>3159.7999999999997</v>
      </c>
      <c r="P904" s="18">
        <f t="shared" si="100"/>
        <v>1354.2000000000003</v>
      </c>
      <c r="Q904" s="18">
        <f t="shared" si="101"/>
        <v>0.05</v>
      </c>
      <c r="R904" s="18">
        <f t="shared" si="102"/>
        <v>3502.7</v>
      </c>
      <c r="S904" s="18" t="str">
        <f>IF(Table13[[#This Row],[Quantity]]&lt;=3,"Small",IF(Table13[[#This Row],[Quantity]]&lt;=6,"Medium","Bulk"))</f>
        <v>Small</v>
      </c>
      <c r="T904" s="18" t="str">
        <f t="shared" si="103"/>
        <v>Normal</v>
      </c>
      <c r="U904" s="18" t="str">
        <f t="shared" si="104"/>
        <v>low Value</v>
      </c>
    </row>
    <row r="905" spans="1:21" x14ac:dyDescent="0.3">
      <c r="A905" t="s">
        <v>913</v>
      </c>
      <c r="B905" s="1">
        <v>45279</v>
      </c>
      <c r="C905" t="s">
        <v>1213</v>
      </c>
      <c r="D905" t="s">
        <v>1218</v>
      </c>
      <c r="E905" t="s">
        <v>1219</v>
      </c>
      <c r="F905" t="s">
        <v>1223</v>
      </c>
      <c r="G905" s="6">
        <v>8</v>
      </c>
      <c r="H905">
        <v>4652</v>
      </c>
      <c r="I905">
        <v>37216</v>
      </c>
      <c r="J905" s="2">
        <v>4886.74</v>
      </c>
      <c r="K905" s="16">
        <f>Table13[[#This Row],[Profit]]/Table13[[#This Row],[Sales]]</f>
        <v>0.13130750214961306</v>
      </c>
      <c r="L905" s="17" t="str">
        <f t="shared" si="98"/>
        <v>High</v>
      </c>
      <c r="M905" s="17" t="str">
        <f t="shared" si="99"/>
        <v>Dec</v>
      </c>
      <c r="N905" s="18">
        <f>YEAR(Table13[[#This Row],[Order_Date]])</f>
        <v>2023</v>
      </c>
      <c r="O905" s="18">
        <f>Table13[[#This Row],[Price]]*0.7</f>
        <v>3256.3999999999996</v>
      </c>
      <c r="P905" s="18">
        <f t="shared" si="100"/>
        <v>11164.800000000003</v>
      </c>
      <c r="Q905" s="18">
        <f t="shared" si="101"/>
        <v>0.1</v>
      </c>
      <c r="R905" s="18">
        <f t="shared" si="102"/>
        <v>32329.26</v>
      </c>
      <c r="S905" s="18" t="str">
        <f>IF(Table13[[#This Row],[Quantity]]&lt;=3,"Small",IF(Table13[[#This Row],[Quantity]]&lt;=6,"Medium","Bulk"))</f>
        <v>Bulk</v>
      </c>
      <c r="T905" s="18" t="str">
        <f t="shared" si="103"/>
        <v>Normal</v>
      </c>
      <c r="U905" s="18" t="str">
        <f t="shared" si="104"/>
        <v>High Value</v>
      </c>
    </row>
    <row r="906" spans="1:21" x14ac:dyDescent="0.3">
      <c r="A906" t="s">
        <v>914</v>
      </c>
      <c r="B906" s="1">
        <v>45238</v>
      </c>
      <c r="C906" t="s">
        <v>1210</v>
      </c>
      <c r="D906" t="s">
        <v>1215</v>
      </c>
      <c r="E906" t="s">
        <v>1221</v>
      </c>
      <c r="F906" t="s">
        <v>1231</v>
      </c>
      <c r="G906" s="6">
        <v>6</v>
      </c>
      <c r="H906">
        <v>3003</v>
      </c>
      <c r="I906">
        <v>18018</v>
      </c>
      <c r="J906" s="2">
        <v>2629.82</v>
      </c>
      <c r="K906" s="16">
        <f>Table13[[#This Row],[Profit]]/Table13[[#This Row],[Sales]]</f>
        <v>0.14595515595515596</v>
      </c>
      <c r="L906" s="17" t="str">
        <f t="shared" si="98"/>
        <v>Medium</v>
      </c>
      <c r="M906" s="17" t="str">
        <f t="shared" si="99"/>
        <v>Nov</v>
      </c>
      <c r="N906" s="18">
        <f>YEAR(Table13[[#This Row],[Order_Date]])</f>
        <v>2023</v>
      </c>
      <c r="O906" s="18">
        <f>Table13[[#This Row],[Price]]*0.7</f>
        <v>2102.1</v>
      </c>
      <c r="P906" s="18">
        <f t="shared" si="100"/>
        <v>5405.4000000000015</v>
      </c>
      <c r="Q906" s="18">
        <f t="shared" si="101"/>
        <v>0.1</v>
      </c>
      <c r="R906" s="18">
        <f t="shared" si="102"/>
        <v>15388.18</v>
      </c>
      <c r="S906" s="18" t="str">
        <f>IF(Table13[[#This Row],[Quantity]]&lt;=3,"Small",IF(Table13[[#This Row],[Quantity]]&lt;=6,"Medium","Bulk"))</f>
        <v>Medium</v>
      </c>
      <c r="T906" s="18" t="str">
        <f t="shared" si="103"/>
        <v>Normal</v>
      </c>
      <c r="U906" s="18" t="str">
        <f t="shared" si="104"/>
        <v>Medium Value</v>
      </c>
    </row>
    <row r="907" spans="1:21" x14ac:dyDescent="0.3">
      <c r="A907" t="s">
        <v>915</v>
      </c>
      <c r="B907" s="1">
        <v>45291</v>
      </c>
      <c r="C907" t="s">
        <v>1213</v>
      </c>
      <c r="D907" t="s">
        <v>1217</v>
      </c>
      <c r="E907" t="s">
        <v>1220</v>
      </c>
      <c r="F907" t="s">
        <v>1225</v>
      </c>
      <c r="G907" s="6">
        <v>2</v>
      </c>
      <c r="H907">
        <v>2068</v>
      </c>
      <c r="I907">
        <v>4136</v>
      </c>
      <c r="J907" s="2">
        <v>643.96</v>
      </c>
      <c r="K907" s="16">
        <f>Table13[[#This Row],[Profit]]/Table13[[#This Row],[Sales]]</f>
        <v>0.15569632495164412</v>
      </c>
      <c r="L907" s="17" t="str">
        <f t="shared" si="98"/>
        <v>Low</v>
      </c>
      <c r="M907" s="17" t="str">
        <f t="shared" si="99"/>
        <v>Dec</v>
      </c>
      <c r="N907" s="18">
        <f>YEAR(Table13[[#This Row],[Order_Date]])</f>
        <v>2023</v>
      </c>
      <c r="O907" s="18">
        <f>Table13[[#This Row],[Price]]*0.7</f>
        <v>1447.6</v>
      </c>
      <c r="P907" s="18">
        <f t="shared" si="100"/>
        <v>1240.8000000000002</v>
      </c>
      <c r="Q907" s="18">
        <f t="shared" si="101"/>
        <v>0.05</v>
      </c>
      <c r="R907" s="18">
        <f t="shared" si="102"/>
        <v>3492.04</v>
      </c>
      <c r="S907" s="18" t="str">
        <f>IF(Table13[[#This Row],[Quantity]]&lt;=3,"Small",IF(Table13[[#This Row],[Quantity]]&lt;=6,"Medium","Bulk"))</f>
        <v>Small</v>
      </c>
      <c r="T907" s="18" t="str">
        <f t="shared" si="103"/>
        <v>Normal</v>
      </c>
      <c r="U907" s="18" t="str">
        <f t="shared" si="104"/>
        <v>low Value</v>
      </c>
    </row>
    <row r="908" spans="1:21" x14ac:dyDescent="0.3">
      <c r="A908" t="s">
        <v>916</v>
      </c>
      <c r="B908" s="1">
        <v>44997</v>
      </c>
      <c r="C908" t="s">
        <v>1213</v>
      </c>
      <c r="D908" t="s">
        <v>1239</v>
      </c>
      <c r="E908" t="s">
        <v>1220</v>
      </c>
      <c r="F908" t="s">
        <v>1237</v>
      </c>
      <c r="G908" s="6">
        <v>6</v>
      </c>
      <c r="H908">
        <v>3083</v>
      </c>
      <c r="I908">
        <v>18498</v>
      </c>
      <c r="J908" s="2">
        <v>3456.27</v>
      </c>
      <c r="K908" s="16">
        <f>Table13[[#This Row],[Profit]]/Table13[[#This Row],[Sales]]</f>
        <v>0.18684560493026273</v>
      </c>
      <c r="L908" s="17" t="str">
        <f t="shared" si="98"/>
        <v>Medium</v>
      </c>
      <c r="M908" s="17" t="str">
        <f t="shared" si="99"/>
        <v>Mar</v>
      </c>
      <c r="N908" s="18">
        <f>YEAR(Table13[[#This Row],[Order_Date]])</f>
        <v>2023</v>
      </c>
      <c r="O908" s="18">
        <f>Table13[[#This Row],[Price]]*0.7</f>
        <v>2158.1</v>
      </c>
      <c r="P908" s="18">
        <f t="shared" si="100"/>
        <v>5549.4000000000015</v>
      </c>
      <c r="Q908" s="18">
        <f t="shared" si="101"/>
        <v>0.1</v>
      </c>
      <c r="R908" s="18">
        <f t="shared" si="102"/>
        <v>15041.730000000001</v>
      </c>
      <c r="S908" s="18" t="str">
        <f>IF(Table13[[#This Row],[Quantity]]&lt;=3,"Small",IF(Table13[[#This Row],[Quantity]]&lt;=6,"Medium","Bulk"))</f>
        <v>Medium</v>
      </c>
      <c r="T908" s="18" t="str">
        <f t="shared" si="103"/>
        <v>Normal</v>
      </c>
      <c r="U908" s="18" t="str">
        <f t="shared" si="104"/>
        <v>Medium Value</v>
      </c>
    </row>
    <row r="909" spans="1:21" x14ac:dyDescent="0.3">
      <c r="A909" t="s">
        <v>917</v>
      </c>
      <c r="B909" s="1">
        <v>45069</v>
      </c>
      <c r="C909" t="s">
        <v>1211</v>
      </c>
      <c r="D909" t="s">
        <v>1215</v>
      </c>
      <c r="E909" t="s">
        <v>1221</v>
      </c>
      <c r="F909" t="s">
        <v>1231</v>
      </c>
      <c r="G909" s="6">
        <v>3</v>
      </c>
      <c r="H909">
        <v>3857</v>
      </c>
      <c r="I909">
        <v>11571</v>
      </c>
      <c r="J909" s="2">
        <v>989.51</v>
      </c>
      <c r="K909" s="16">
        <f>Table13[[#This Row],[Profit]]/Table13[[#This Row],[Sales]]</f>
        <v>8.5516377149770978E-2</v>
      </c>
      <c r="L909" s="17" t="str">
        <f t="shared" si="98"/>
        <v>Medium</v>
      </c>
      <c r="M909" s="17" t="str">
        <f t="shared" si="99"/>
        <v>May</v>
      </c>
      <c r="N909" s="18">
        <f>YEAR(Table13[[#This Row],[Order_Date]])</f>
        <v>2023</v>
      </c>
      <c r="O909" s="18">
        <f>Table13[[#This Row],[Price]]*0.7</f>
        <v>2699.8999999999996</v>
      </c>
      <c r="P909" s="18">
        <f t="shared" si="100"/>
        <v>3471.3000000000011</v>
      </c>
      <c r="Q909" s="18">
        <f t="shared" si="101"/>
        <v>0.05</v>
      </c>
      <c r="R909" s="18">
        <f t="shared" si="102"/>
        <v>10581.49</v>
      </c>
      <c r="S909" s="18" t="str">
        <f>IF(Table13[[#This Row],[Quantity]]&lt;=3,"Small",IF(Table13[[#This Row],[Quantity]]&lt;=6,"Medium","Bulk"))</f>
        <v>Small</v>
      </c>
      <c r="T909" s="18" t="str">
        <f t="shared" si="103"/>
        <v>Normal</v>
      </c>
      <c r="U909" s="18" t="str">
        <f t="shared" si="104"/>
        <v>Medium Value</v>
      </c>
    </row>
    <row r="910" spans="1:21" x14ac:dyDescent="0.3">
      <c r="A910" t="s">
        <v>918</v>
      </c>
      <c r="B910" s="1">
        <v>44930</v>
      </c>
      <c r="C910" t="s">
        <v>1210</v>
      </c>
      <c r="D910" t="s">
        <v>1217</v>
      </c>
      <c r="E910" t="s">
        <v>1222</v>
      </c>
      <c r="F910" t="s">
        <v>1227</v>
      </c>
      <c r="G910" s="6">
        <v>6</v>
      </c>
      <c r="H910">
        <v>4602</v>
      </c>
      <c r="I910">
        <v>27612</v>
      </c>
      <c r="J910" s="2">
        <v>3164.14</v>
      </c>
      <c r="K910" s="16">
        <f>Table13[[#This Row],[Profit]]/Table13[[#This Row],[Sales]]</f>
        <v>0.11459293060987975</v>
      </c>
      <c r="L910" s="17" t="str">
        <f t="shared" si="98"/>
        <v>High</v>
      </c>
      <c r="M910" s="17" t="str">
        <f t="shared" si="99"/>
        <v>Jan</v>
      </c>
      <c r="N910" s="18">
        <f>YEAR(Table13[[#This Row],[Order_Date]])</f>
        <v>2023</v>
      </c>
      <c r="O910" s="18">
        <f>Table13[[#This Row],[Price]]*0.7</f>
        <v>3221.3999999999996</v>
      </c>
      <c r="P910" s="18">
        <f t="shared" si="100"/>
        <v>8283.6000000000022</v>
      </c>
      <c r="Q910" s="18">
        <f t="shared" si="101"/>
        <v>0.1</v>
      </c>
      <c r="R910" s="18">
        <f t="shared" si="102"/>
        <v>24447.86</v>
      </c>
      <c r="S910" s="18" t="str">
        <f>IF(Table13[[#This Row],[Quantity]]&lt;=3,"Small",IF(Table13[[#This Row],[Quantity]]&lt;=6,"Medium","Bulk"))</f>
        <v>Medium</v>
      </c>
      <c r="T910" s="18" t="str">
        <f t="shared" si="103"/>
        <v>Normal</v>
      </c>
      <c r="U910" s="18" t="str">
        <f t="shared" si="104"/>
        <v>High Value</v>
      </c>
    </row>
    <row r="911" spans="1:21" x14ac:dyDescent="0.3">
      <c r="A911" t="s">
        <v>919</v>
      </c>
      <c r="B911" s="1">
        <v>45027</v>
      </c>
      <c r="C911" t="s">
        <v>1210</v>
      </c>
      <c r="D911" t="s">
        <v>1218</v>
      </c>
      <c r="E911" t="s">
        <v>1221</v>
      </c>
      <c r="F911" t="s">
        <v>1226</v>
      </c>
      <c r="G911" s="6">
        <v>4</v>
      </c>
      <c r="H911">
        <v>4510</v>
      </c>
      <c r="I911">
        <v>18040</v>
      </c>
      <c r="J911" s="2">
        <v>2600</v>
      </c>
      <c r="K911" s="16">
        <f>Table13[[#This Row],[Profit]]/Table13[[#This Row],[Sales]]</f>
        <v>0.14412416851441243</v>
      </c>
      <c r="L911" s="17" t="str">
        <f t="shared" si="98"/>
        <v>Medium</v>
      </c>
      <c r="M911" s="17" t="str">
        <f t="shared" si="99"/>
        <v>Apr</v>
      </c>
      <c r="N911" s="18">
        <f>YEAR(Table13[[#This Row],[Order_Date]])</f>
        <v>2023</v>
      </c>
      <c r="O911" s="18">
        <f>Table13[[#This Row],[Price]]*0.7</f>
        <v>3157</v>
      </c>
      <c r="P911" s="18">
        <f t="shared" si="100"/>
        <v>5412</v>
      </c>
      <c r="Q911" s="18">
        <f t="shared" si="101"/>
        <v>0.05</v>
      </c>
      <c r="R911" s="18">
        <f t="shared" si="102"/>
        <v>15440</v>
      </c>
      <c r="S911" s="18" t="str">
        <f>IF(Table13[[#This Row],[Quantity]]&lt;=3,"Small",IF(Table13[[#This Row],[Quantity]]&lt;=6,"Medium","Bulk"))</f>
        <v>Medium</v>
      </c>
      <c r="T911" s="18" t="str">
        <f t="shared" si="103"/>
        <v>Normal</v>
      </c>
      <c r="U911" s="18" t="str">
        <f t="shared" si="104"/>
        <v>Medium Value</v>
      </c>
    </row>
    <row r="912" spans="1:21" x14ac:dyDescent="0.3">
      <c r="A912" t="s">
        <v>920</v>
      </c>
      <c r="B912" s="1">
        <v>45047</v>
      </c>
      <c r="C912" t="s">
        <v>1210</v>
      </c>
      <c r="D912" t="s">
        <v>1217</v>
      </c>
      <c r="E912" t="s">
        <v>1222</v>
      </c>
      <c r="F912" t="s">
        <v>1234</v>
      </c>
      <c r="G912" s="6">
        <v>2</v>
      </c>
      <c r="H912">
        <v>4202</v>
      </c>
      <c r="I912">
        <v>8404</v>
      </c>
      <c r="J912" s="2">
        <v>1447.48</v>
      </c>
      <c r="K912" s="16">
        <f>Table13[[#This Row],[Profit]]/Table13[[#This Row],[Sales]]</f>
        <v>0.17223702998572107</v>
      </c>
      <c r="L912" s="17" t="str">
        <f t="shared" si="98"/>
        <v>Low</v>
      </c>
      <c r="M912" s="17" t="str">
        <f t="shared" si="99"/>
        <v>May</v>
      </c>
      <c r="N912" s="18">
        <f>YEAR(Table13[[#This Row],[Order_Date]])</f>
        <v>2023</v>
      </c>
      <c r="O912" s="18">
        <f>Table13[[#This Row],[Price]]*0.7</f>
        <v>2941.3999999999996</v>
      </c>
      <c r="P912" s="18">
        <f t="shared" si="100"/>
        <v>2521.2000000000007</v>
      </c>
      <c r="Q912" s="18">
        <f t="shared" si="101"/>
        <v>0.05</v>
      </c>
      <c r="R912" s="18">
        <f t="shared" si="102"/>
        <v>6956.5199999999995</v>
      </c>
      <c r="S912" s="18" t="str">
        <f>IF(Table13[[#This Row],[Quantity]]&lt;=3,"Small",IF(Table13[[#This Row],[Quantity]]&lt;=6,"Medium","Bulk"))</f>
        <v>Small</v>
      </c>
      <c r="T912" s="18" t="str">
        <f t="shared" si="103"/>
        <v>Normal</v>
      </c>
      <c r="U912" s="18" t="str">
        <f t="shared" si="104"/>
        <v>low Value</v>
      </c>
    </row>
    <row r="913" spans="1:21" x14ac:dyDescent="0.3">
      <c r="A913" t="s">
        <v>921</v>
      </c>
      <c r="B913" s="1">
        <v>44954</v>
      </c>
      <c r="C913" t="s">
        <v>1211</v>
      </c>
      <c r="D913" t="s">
        <v>1216</v>
      </c>
      <c r="E913" t="s">
        <v>1222</v>
      </c>
      <c r="F913" t="s">
        <v>1230</v>
      </c>
      <c r="G913" s="6">
        <v>4</v>
      </c>
      <c r="H913">
        <v>4724</v>
      </c>
      <c r="I913">
        <v>18896</v>
      </c>
      <c r="J913" s="2">
        <v>2290.81</v>
      </c>
      <c r="K913" s="16">
        <f>Table13[[#This Row],[Profit]]/Table13[[#This Row],[Sales]]</f>
        <v>0.12123253598645216</v>
      </c>
      <c r="L913" s="17" t="str">
        <f t="shared" si="98"/>
        <v>Medium</v>
      </c>
      <c r="M913" s="17" t="str">
        <f t="shared" si="99"/>
        <v>Jan</v>
      </c>
      <c r="N913" s="18">
        <f>YEAR(Table13[[#This Row],[Order_Date]])</f>
        <v>2023</v>
      </c>
      <c r="O913" s="18">
        <f>Table13[[#This Row],[Price]]*0.7</f>
        <v>3306.7999999999997</v>
      </c>
      <c r="P913" s="18">
        <f t="shared" si="100"/>
        <v>5668.8000000000011</v>
      </c>
      <c r="Q913" s="18">
        <f t="shared" si="101"/>
        <v>0.05</v>
      </c>
      <c r="R913" s="18">
        <f t="shared" si="102"/>
        <v>16605.190000000002</v>
      </c>
      <c r="S913" s="18" t="str">
        <f>IF(Table13[[#This Row],[Quantity]]&lt;=3,"Small",IF(Table13[[#This Row],[Quantity]]&lt;=6,"Medium","Bulk"))</f>
        <v>Medium</v>
      </c>
      <c r="T913" s="18" t="str">
        <f t="shared" si="103"/>
        <v>Normal</v>
      </c>
      <c r="U913" s="18" t="str">
        <f t="shared" si="104"/>
        <v>Medium Value</v>
      </c>
    </row>
    <row r="914" spans="1:21" x14ac:dyDescent="0.3">
      <c r="A914" t="s">
        <v>922</v>
      </c>
      <c r="B914" s="1">
        <v>45278</v>
      </c>
      <c r="C914" t="s">
        <v>1211</v>
      </c>
      <c r="D914" t="s">
        <v>1218</v>
      </c>
      <c r="E914" t="s">
        <v>1221</v>
      </c>
      <c r="F914" t="s">
        <v>1231</v>
      </c>
      <c r="G914" s="6">
        <v>2</v>
      </c>
      <c r="H914">
        <v>2993</v>
      </c>
      <c r="I914">
        <v>5986</v>
      </c>
      <c r="J914" s="2">
        <v>854.74</v>
      </c>
      <c r="K914" s="16">
        <f>Table13[[#This Row],[Profit]]/Table13[[#This Row],[Sales]]</f>
        <v>0.14278984296692282</v>
      </c>
      <c r="L914" s="17" t="str">
        <f t="shared" si="98"/>
        <v>Low</v>
      </c>
      <c r="M914" s="17" t="str">
        <f t="shared" si="99"/>
        <v>Dec</v>
      </c>
      <c r="N914" s="18">
        <f>YEAR(Table13[[#This Row],[Order_Date]])</f>
        <v>2023</v>
      </c>
      <c r="O914" s="18">
        <f>Table13[[#This Row],[Price]]*0.7</f>
        <v>2095.1</v>
      </c>
      <c r="P914" s="18">
        <f t="shared" si="100"/>
        <v>1795.8000000000002</v>
      </c>
      <c r="Q914" s="18">
        <f t="shared" si="101"/>
        <v>0.05</v>
      </c>
      <c r="R914" s="18">
        <f t="shared" si="102"/>
        <v>5131.26</v>
      </c>
      <c r="S914" s="18" t="str">
        <f>IF(Table13[[#This Row],[Quantity]]&lt;=3,"Small",IF(Table13[[#This Row],[Quantity]]&lt;=6,"Medium","Bulk"))</f>
        <v>Small</v>
      </c>
      <c r="T914" s="18" t="str">
        <f t="shared" si="103"/>
        <v>Normal</v>
      </c>
      <c r="U914" s="18" t="str">
        <f t="shared" si="104"/>
        <v>low Value</v>
      </c>
    </row>
    <row r="915" spans="1:21" x14ac:dyDescent="0.3">
      <c r="A915" t="s">
        <v>923</v>
      </c>
      <c r="B915" s="1">
        <v>45016</v>
      </c>
      <c r="C915" t="s">
        <v>1212</v>
      </c>
      <c r="D915" t="s">
        <v>1216</v>
      </c>
      <c r="E915" t="s">
        <v>1221</v>
      </c>
      <c r="F915" t="s">
        <v>1235</v>
      </c>
      <c r="G915" s="6">
        <v>8</v>
      </c>
      <c r="H915">
        <v>3957</v>
      </c>
      <c r="I915">
        <v>31656</v>
      </c>
      <c r="J915" s="2">
        <v>7291.59</v>
      </c>
      <c r="K915" s="16">
        <f>Table13[[#This Row],[Profit]]/Table13[[#This Row],[Sales]]</f>
        <v>0.23033832448824867</v>
      </c>
      <c r="L915" s="17" t="str">
        <f t="shared" si="98"/>
        <v>High</v>
      </c>
      <c r="M915" s="17" t="str">
        <f t="shared" si="99"/>
        <v>Mar</v>
      </c>
      <c r="N915" s="18">
        <f>YEAR(Table13[[#This Row],[Order_Date]])</f>
        <v>2023</v>
      </c>
      <c r="O915" s="18">
        <f>Table13[[#This Row],[Price]]*0.7</f>
        <v>2769.8999999999996</v>
      </c>
      <c r="P915" s="18">
        <f t="shared" si="100"/>
        <v>9496.8000000000029</v>
      </c>
      <c r="Q915" s="18">
        <f t="shared" si="101"/>
        <v>0.1</v>
      </c>
      <c r="R915" s="18">
        <f t="shared" si="102"/>
        <v>24364.41</v>
      </c>
      <c r="S915" s="18" t="str">
        <f>IF(Table13[[#This Row],[Quantity]]&lt;=3,"Small",IF(Table13[[#This Row],[Quantity]]&lt;=6,"Medium","Bulk"))</f>
        <v>Bulk</v>
      </c>
      <c r="T915" s="18" t="str">
        <f t="shared" si="103"/>
        <v>High Demand</v>
      </c>
      <c r="U915" s="18" t="str">
        <f t="shared" si="104"/>
        <v>High Value</v>
      </c>
    </row>
    <row r="916" spans="1:21" x14ac:dyDescent="0.3">
      <c r="A916" t="s">
        <v>924</v>
      </c>
      <c r="B916" s="1">
        <v>44975</v>
      </c>
      <c r="C916" t="s">
        <v>1213</v>
      </c>
      <c r="D916" t="s">
        <v>1214</v>
      </c>
      <c r="E916" t="s">
        <v>1222</v>
      </c>
      <c r="F916" t="s">
        <v>1227</v>
      </c>
      <c r="G916" s="6">
        <v>9</v>
      </c>
      <c r="H916">
        <v>1035</v>
      </c>
      <c r="I916">
        <v>9315</v>
      </c>
      <c r="J916" s="2">
        <v>1544.32</v>
      </c>
      <c r="K916" s="16">
        <f>Table13[[#This Row],[Profit]]/Table13[[#This Row],[Sales]]</f>
        <v>0.16578851315083198</v>
      </c>
      <c r="L916" s="17" t="str">
        <f t="shared" si="98"/>
        <v>Low</v>
      </c>
      <c r="M916" s="17" t="str">
        <f t="shared" si="99"/>
        <v>Feb</v>
      </c>
      <c r="N916" s="18">
        <f>YEAR(Table13[[#This Row],[Order_Date]])</f>
        <v>2023</v>
      </c>
      <c r="O916" s="18">
        <f>Table13[[#This Row],[Price]]*0.7</f>
        <v>724.5</v>
      </c>
      <c r="P916" s="18">
        <f t="shared" si="100"/>
        <v>2794.5</v>
      </c>
      <c r="Q916" s="18">
        <f t="shared" si="101"/>
        <v>0.1</v>
      </c>
      <c r="R916" s="18">
        <f t="shared" si="102"/>
        <v>7770.68</v>
      </c>
      <c r="S916" s="18" t="str">
        <f>IF(Table13[[#This Row],[Quantity]]&lt;=3,"Small",IF(Table13[[#This Row],[Quantity]]&lt;=6,"Medium","Bulk"))</f>
        <v>Bulk</v>
      </c>
      <c r="T916" s="18" t="str">
        <f t="shared" si="103"/>
        <v>Normal</v>
      </c>
      <c r="U916" s="18" t="str">
        <f t="shared" si="104"/>
        <v>low Value</v>
      </c>
    </row>
    <row r="917" spans="1:21" x14ac:dyDescent="0.3">
      <c r="A917" t="s">
        <v>925</v>
      </c>
      <c r="B917" s="1">
        <v>45006</v>
      </c>
      <c r="C917" t="s">
        <v>1212</v>
      </c>
      <c r="D917" t="s">
        <v>1215</v>
      </c>
      <c r="E917" t="s">
        <v>1219</v>
      </c>
      <c r="F917" t="s">
        <v>1233</v>
      </c>
      <c r="G917" s="6">
        <v>7</v>
      </c>
      <c r="H917">
        <v>3999</v>
      </c>
      <c r="I917">
        <v>27993</v>
      </c>
      <c r="J917" s="2">
        <v>4461.22</v>
      </c>
      <c r="K917" s="16">
        <f>Table13[[#This Row],[Profit]]/Table13[[#This Row],[Sales]]</f>
        <v>0.1593691279962848</v>
      </c>
      <c r="L917" s="17" t="str">
        <f t="shared" si="98"/>
        <v>High</v>
      </c>
      <c r="M917" s="17" t="str">
        <f t="shared" si="99"/>
        <v>Mar</v>
      </c>
      <c r="N917" s="18">
        <f>YEAR(Table13[[#This Row],[Order_Date]])</f>
        <v>2023</v>
      </c>
      <c r="O917" s="18">
        <f>Table13[[#This Row],[Price]]*0.7</f>
        <v>2799.2999999999997</v>
      </c>
      <c r="P917" s="18">
        <f t="shared" si="100"/>
        <v>8397.9000000000015</v>
      </c>
      <c r="Q917" s="18">
        <f t="shared" si="101"/>
        <v>0.1</v>
      </c>
      <c r="R917" s="18">
        <f t="shared" si="102"/>
        <v>23531.78</v>
      </c>
      <c r="S917" s="18" t="str">
        <f>IF(Table13[[#This Row],[Quantity]]&lt;=3,"Small",IF(Table13[[#This Row],[Quantity]]&lt;=6,"Medium","Bulk"))</f>
        <v>Bulk</v>
      </c>
      <c r="T917" s="18" t="str">
        <f t="shared" si="103"/>
        <v>High Demand</v>
      </c>
      <c r="U917" s="18" t="str">
        <f t="shared" si="104"/>
        <v>High Value</v>
      </c>
    </row>
    <row r="918" spans="1:21" x14ac:dyDescent="0.3">
      <c r="A918" t="s">
        <v>926</v>
      </c>
      <c r="B918" s="1">
        <v>45121</v>
      </c>
      <c r="C918" t="s">
        <v>1211</v>
      </c>
      <c r="D918" t="s">
        <v>1218</v>
      </c>
      <c r="E918" t="s">
        <v>1219</v>
      </c>
      <c r="F918" t="s">
        <v>1238</v>
      </c>
      <c r="G918" s="6">
        <v>4</v>
      </c>
      <c r="H918">
        <v>4773</v>
      </c>
      <c r="I918">
        <v>19092</v>
      </c>
      <c r="J918" s="2">
        <v>2780.34</v>
      </c>
      <c r="K918" s="16">
        <f>Table13[[#This Row],[Profit]]/Table13[[#This Row],[Sales]]</f>
        <v>0.14562853551225646</v>
      </c>
      <c r="L918" s="17" t="str">
        <f t="shared" si="98"/>
        <v>Medium</v>
      </c>
      <c r="M918" s="17" t="str">
        <f t="shared" si="99"/>
        <v>Jul</v>
      </c>
      <c r="N918" s="18">
        <f>YEAR(Table13[[#This Row],[Order_Date]])</f>
        <v>2023</v>
      </c>
      <c r="O918" s="18">
        <f>Table13[[#This Row],[Price]]*0.7</f>
        <v>3341.1</v>
      </c>
      <c r="P918" s="18">
        <f t="shared" si="100"/>
        <v>5727.6</v>
      </c>
      <c r="Q918" s="18">
        <f t="shared" si="101"/>
        <v>0.05</v>
      </c>
      <c r="R918" s="18">
        <f t="shared" si="102"/>
        <v>16311.66</v>
      </c>
      <c r="S918" s="18" t="str">
        <f>IF(Table13[[#This Row],[Quantity]]&lt;=3,"Small",IF(Table13[[#This Row],[Quantity]]&lt;=6,"Medium","Bulk"))</f>
        <v>Medium</v>
      </c>
      <c r="T918" s="18" t="str">
        <f t="shared" si="103"/>
        <v>Normal</v>
      </c>
      <c r="U918" s="18" t="str">
        <f t="shared" si="104"/>
        <v>Medium Value</v>
      </c>
    </row>
    <row r="919" spans="1:21" x14ac:dyDescent="0.3">
      <c r="A919" t="s">
        <v>927</v>
      </c>
      <c r="B919" s="1">
        <v>45231</v>
      </c>
      <c r="C919" t="s">
        <v>1213</v>
      </c>
      <c r="D919" t="s">
        <v>1215</v>
      </c>
      <c r="E919" t="s">
        <v>1220</v>
      </c>
      <c r="F919" t="s">
        <v>1225</v>
      </c>
      <c r="G919" s="6">
        <v>9</v>
      </c>
      <c r="H919">
        <v>953</v>
      </c>
      <c r="I919">
        <v>8577</v>
      </c>
      <c r="J919" s="2">
        <v>1386.86</v>
      </c>
      <c r="K919" s="16">
        <f>Table13[[#This Row],[Profit]]/Table13[[#This Row],[Sales]]</f>
        <v>0.16169523143290193</v>
      </c>
      <c r="L919" s="17" t="str">
        <f t="shared" si="98"/>
        <v>Low</v>
      </c>
      <c r="M919" s="17" t="str">
        <f t="shared" si="99"/>
        <v>Nov</v>
      </c>
      <c r="N919" s="18">
        <f>YEAR(Table13[[#This Row],[Order_Date]])</f>
        <v>2023</v>
      </c>
      <c r="O919" s="18">
        <f>Table13[[#This Row],[Price]]*0.7</f>
        <v>667.09999999999991</v>
      </c>
      <c r="P919" s="18">
        <f t="shared" si="100"/>
        <v>2573.1000000000004</v>
      </c>
      <c r="Q919" s="18">
        <f t="shared" si="101"/>
        <v>0.1</v>
      </c>
      <c r="R919" s="18">
        <f t="shared" si="102"/>
        <v>7190.14</v>
      </c>
      <c r="S919" s="18" t="str">
        <f>IF(Table13[[#This Row],[Quantity]]&lt;=3,"Small",IF(Table13[[#This Row],[Quantity]]&lt;=6,"Medium","Bulk"))</f>
        <v>Bulk</v>
      </c>
      <c r="T919" s="18" t="str">
        <f t="shared" si="103"/>
        <v>Normal</v>
      </c>
      <c r="U919" s="18" t="str">
        <f t="shared" si="104"/>
        <v>low Value</v>
      </c>
    </row>
    <row r="920" spans="1:21" x14ac:dyDescent="0.3">
      <c r="A920" t="s">
        <v>928</v>
      </c>
      <c r="B920" s="1">
        <v>45133</v>
      </c>
      <c r="C920" t="s">
        <v>1210</v>
      </c>
      <c r="D920" t="s">
        <v>1216</v>
      </c>
      <c r="E920" t="s">
        <v>1221</v>
      </c>
      <c r="F920" t="s">
        <v>1226</v>
      </c>
      <c r="G920" s="6">
        <v>7</v>
      </c>
      <c r="H920">
        <v>3517</v>
      </c>
      <c r="I920">
        <v>24619</v>
      </c>
      <c r="J920" s="2">
        <v>4303.58</v>
      </c>
      <c r="K920" s="16">
        <f>Table13[[#This Row],[Profit]]/Table13[[#This Row],[Sales]]</f>
        <v>0.17480726268329339</v>
      </c>
      <c r="L920" s="17" t="str">
        <f t="shared" si="98"/>
        <v>High</v>
      </c>
      <c r="M920" s="17" t="str">
        <f t="shared" si="99"/>
        <v>Jul</v>
      </c>
      <c r="N920" s="18">
        <f>YEAR(Table13[[#This Row],[Order_Date]])</f>
        <v>2023</v>
      </c>
      <c r="O920" s="18">
        <f>Table13[[#This Row],[Price]]*0.7</f>
        <v>2461.8999999999996</v>
      </c>
      <c r="P920" s="18">
        <f t="shared" si="100"/>
        <v>7385.7000000000044</v>
      </c>
      <c r="Q920" s="18">
        <f t="shared" si="101"/>
        <v>0.1</v>
      </c>
      <c r="R920" s="18">
        <f t="shared" si="102"/>
        <v>20315.420000000002</v>
      </c>
      <c r="S920" s="18" t="str">
        <f>IF(Table13[[#This Row],[Quantity]]&lt;=3,"Small",IF(Table13[[#This Row],[Quantity]]&lt;=6,"Medium","Bulk"))</f>
        <v>Bulk</v>
      </c>
      <c r="T920" s="18" t="str">
        <f t="shared" si="103"/>
        <v>Normal</v>
      </c>
      <c r="U920" s="18" t="str">
        <f t="shared" si="104"/>
        <v>High Value</v>
      </c>
    </row>
    <row r="921" spans="1:21" x14ac:dyDescent="0.3">
      <c r="A921" t="s">
        <v>929</v>
      </c>
      <c r="B921" s="1">
        <v>44963</v>
      </c>
      <c r="C921" t="s">
        <v>1212</v>
      </c>
      <c r="D921" t="s">
        <v>1214</v>
      </c>
      <c r="E921" t="s">
        <v>1221</v>
      </c>
      <c r="F921" t="s">
        <v>1231</v>
      </c>
      <c r="G921" s="6">
        <v>5</v>
      </c>
      <c r="H921">
        <v>2198</v>
      </c>
      <c r="I921">
        <v>10990</v>
      </c>
      <c r="J921" s="2">
        <v>1818.49</v>
      </c>
      <c r="K921" s="16">
        <f>Table13[[#This Row],[Profit]]/Table13[[#This Row],[Sales]]</f>
        <v>0.16546769790718835</v>
      </c>
      <c r="L921" s="17" t="str">
        <f t="shared" si="98"/>
        <v>Medium</v>
      </c>
      <c r="M921" s="17" t="str">
        <f t="shared" si="99"/>
        <v>Feb</v>
      </c>
      <c r="N921" s="18">
        <f>YEAR(Table13[[#This Row],[Order_Date]])</f>
        <v>2023</v>
      </c>
      <c r="O921" s="18">
        <f>Table13[[#This Row],[Price]]*0.7</f>
        <v>1538.6</v>
      </c>
      <c r="P921" s="18">
        <f t="shared" si="100"/>
        <v>3297</v>
      </c>
      <c r="Q921" s="18">
        <f t="shared" si="101"/>
        <v>0.05</v>
      </c>
      <c r="R921" s="18">
        <f t="shared" si="102"/>
        <v>9171.51</v>
      </c>
      <c r="S921" s="18" t="str">
        <f>IF(Table13[[#This Row],[Quantity]]&lt;=3,"Small",IF(Table13[[#This Row],[Quantity]]&lt;=6,"Medium","Bulk"))</f>
        <v>Medium</v>
      </c>
      <c r="T921" s="18" t="str">
        <f t="shared" si="103"/>
        <v>High Demand</v>
      </c>
      <c r="U921" s="18" t="str">
        <f t="shared" si="104"/>
        <v>Medium Value</v>
      </c>
    </row>
    <row r="922" spans="1:21" x14ac:dyDescent="0.3">
      <c r="A922" t="s">
        <v>930</v>
      </c>
      <c r="B922" s="1">
        <v>45234</v>
      </c>
      <c r="C922" t="s">
        <v>1210</v>
      </c>
      <c r="D922" t="s">
        <v>1215</v>
      </c>
      <c r="E922" t="s">
        <v>1220</v>
      </c>
      <c r="F922" t="s">
        <v>1228</v>
      </c>
      <c r="G922" s="6">
        <v>2</v>
      </c>
      <c r="H922">
        <v>4357</v>
      </c>
      <c r="I922">
        <v>8714</v>
      </c>
      <c r="J922" s="2">
        <v>1457.35</v>
      </c>
      <c r="K922" s="16">
        <f>Table13[[#This Row],[Profit]]/Table13[[#This Row],[Sales]]</f>
        <v>0.16724236860224925</v>
      </c>
      <c r="L922" s="17" t="str">
        <f t="shared" si="98"/>
        <v>Low</v>
      </c>
      <c r="M922" s="17" t="str">
        <f t="shared" si="99"/>
        <v>Nov</v>
      </c>
      <c r="N922" s="18">
        <f>YEAR(Table13[[#This Row],[Order_Date]])</f>
        <v>2023</v>
      </c>
      <c r="O922" s="18">
        <f>Table13[[#This Row],[Price]]*0.7</f>
        <v>3049.8999999999996</v>
      </c>
      <c r="P922" s="18">
        <f t="shared" si="100"/>
        <v>2614.2000000000007</v>
      </c>
      <c r="Q922" s="18">
        <f t="shared" si="101"/>
        <v>0.05</v>
      </c>
      <c r="R922" s="18">
        <f t="shared" si="102"/>
        <v>7256.65</v>
      </c>
      <c r="S922" s="18" t="str">
        <f>IF(Table13[[#This Row],[Quantity]]&lt;=3,"Small",IF(Table13[[#This Row],[Quantity]]&lt;=6,"Medium","Bulk"))</f>
        <v>Small</v>
      </c>
      <c r="T922" s="18" t="str">
        <f t="shared" si="103"/>
        <v>Normal</v>
      </c>
      <c r="U922" s="18" t="str">
        <f t="shared" si="104"/>
        <v>low Value</v>
      </c>
    </row>
    <row r="923" spans="1:21" x14ac:dyDescent="0.3">
      <c r="A923" t="s">
        <v>931</v>
      </c>
      <c r="B923" s="1">
        <v>45120</v>
      </c>
      <c r="C923" t="s">
        <v>1212</v>
      </c>
      <c r="D923" t="s">
        <v>1217</v>
      </c>
      <c r="E923" t="s">
        <v>1221</v>
      </c>
      <c r="F923" t="s">
        <v>1235</v>
      </c>
      <c r="G923" s="6">
        <v>9</v>
      </c>
      <c r="H923">
        <v>779</v>
      </c>
      <c r="I923">
        <v>7011</v>
      </c>
      <c r="J923" s="2">
        <v>1008.85</v>
      </c>
      <c r="K923" s="16">
        <f>Table13[[#This Row],[Profit]]/Table13[[#This Row],[Sales]]</f>
        <v>0.14389530737412637</v>
      </c>
      <c r="L923" s="17" t="str">
        <f t="shared" si="98"/>
        <v>Low</v>
      </c>
      <c r="M923" s="17" t="str">
        <f t="shared" si="99"/>
        <v>Jul</v>
      </c>
      <c r="N923" s="18">
        <f>YEAR(Table13[[#This Row],[Order_Date]])</f>
        <v>2023</v>
      </c>
      <c r="O923" s="18">
        <f>Table13[[#This Row],[Price]]*0.7</f>
        <v>545.29999999999995</v>
      </c>
      <c r="P923" s="18">
        <f t="shared" si="100"/>
        <v>2103.3000000000002</v>
      </c>
      <c r="Q923" s="18">
        <f t="shared" si="101"/>
        <v>0.1</v>
      </c>
      <c r="R923" s="18">
        <f t="shared" si="102"/>
        <v>6002.15</v>
      </c>
      <c r="S923" s="18" t="str">
        <f>IF(Table13[[#This Row],[Quantity]]&lt;=3,"Small",IF(Table13[[#This Row],[Quantity]]&lt;=6,"Medium","Bulk"))</f>
        <v>Bulk</v>
      </c>
      <c r="T923" s="18" t="str">
        <f t="shared" si="103"/>
        <v>High Demand</v>
      </c>
      <c r="U923" s="18" t="str">
        <f t="shared" si="104"/>
        <v>low Value</v>
      </c>
    </row>
    <row r="924" spans="1:21" x14ac:dyDescent="0.3">
      <c r="A924" t="s">
        <v>932</v>
      </c>
      <c r="B924" s="1">
        <v>44936</v>
      </c>
      <c r="C924" t="s">
        <v>1211</v>
      </c>
      <c r="D924" t="s">
        <v>1214</v>
      </c>
      <c r="E924" t="s">
        <v>1221</v>
      </c>
      <c r="F924" t="s">
        <v>1229</v>
      </c>
      <c r="G924" s="6">
        <v>9</v>
      </c>
      <c r="H924">
        <v>4244</v>
      </c>
      <c r="I924">
        <v>38196</v>
      </c>
      <c r="J924" s="2">
        <v>3396.46</v>
      </c>
      <c r="K924" s="16">
        <f>Table13[[#This Row],[Profit]]/Table13[[#This Row],[Sales]]</f>
        <v>8.8921876636296998E-2</v>
      </c>
      <c r="L924" s="17" t="str">
        <f t="shared" si="98"/>
        <v>High</v>
      </c>
      <c r="M924" s="17" t="str">
        <f t="shared" si="99"/>
        <v>Jan</v>
      </c>
      <c r="N924" s="18">
        <f>YEAR(Table13[[#This Row],[Order_Date]])</f>
        <v>2023</v>
      </c>
      <c r="O924" s="18">
        <f>Table13[[#This Row],[Price]]*0.7</f>
        <v>2970.7999999999997</v>
      </c>
      <c r="P924" s="18">
        <f t="shared" si="100"/>
        <v>11458.800000000003</v>
      </c>
      <c r="Q924" s="18">
        <f t="shared" si="101"/>
        <v>0.1</v>
      </c>
      <c r="R924" s="18">
        <f t="shared" si="102"/>
        <v>34799.54</v>
      </c>
      <c r="S924" s="18" t="str">
        <f>IF(Table13[[#This Row],[Quantity]]&lt;=3,"Small",IF(Table13[[#This Row],[Quantity]]&lt;=6,"Medium","Bulk"))</f>
        <v>Bulk</v>
      </c>
      <c r="T924" s="18" t="str">
        <f t="shared" si="103"/>
        <v>Normal</v>
      </c>
      <c r="U924" s="18" t="str">
        <f t="shared" si="104"/>
        <v>High Value</v>
      </c>
    </row>
    <row r="925" spans="1:21" x14ac:dyDescent="0.3">
      <c r="A925" t="s">
        <v>933</v>
      </c>
      <c r="B925" s="1">
        <v>45157</v>
      </c>
      <c r="C925" t="s">
        <v>1211</v>
      </c>
      <c r="D925" t="s">
        <v>1215</v>
      </c>
      <c r="E925" t="s">
        <v>1221</v>
      </c>
      <c r="F925" t="s">
        <v>1226</v>
      </c>
      <c r="G925" s="6">
        <v>3</v>
      </c>
      <c r="H925">
        <v>1416</v>
      </c>
      <c r="I925">
        <v>4248</v>
      </c>
      <c r="J925" s="2">
        <v>860.13</v>
      </c>
      <c r="K925" s="16">
        <f>Table13[[#This Row],[Profit]]/Table13[[#This Row],[Sales]]</f>
        <v>0.20247881355932204</v>
      </c>
      <c r="L925" s="17" t="str">
        <f t="shared" si="98"/>
        <v>Low</v>
      </c>
      <c r="M925" s="17" t="str">
        <f t="shared" si="99"/>
        <v>Aug</v>
      </c>
      <c r="N925" s="18">
        <f>YEAR(Table13[[#This Row],[Order_Date]])</f>
        <v>2023</v>
      </c>
      <c r="O925" s="18">
        <f>Table13[[#This Row],[Price]]*0.7</f>
        <v>991.19999999999993</v>
      </c>
      <c r="P925" s="18">
        <f t="shared" si="100"/>
        <v>1274.4000000000001</v>
      </c>
      <c r="Q925" s="18">
        <f t="shared" si="101"/>
        <v>0.05</v>
      </c>
      <c r="R925" s="18">
        <f t="shared" si="102"/>
        <v>3387.87</v>
      </c>
      <c r="S925" s="18" t="str">
        <f>IF(Table13[[#This Row],[Quantity]]&lt;=3,"Small",IF(Table13[[#This Row],[Quantity]]&lt;=6,"Medium","Bulk"))</f>
        <v>Small</v>
      </c>
      <c r="T925" s="18" t="str">
        <f t="shared" si="103"/>
        <v>Normal</v>
      </c>
      <c r="U925" s="18" t="str">
        <f t="shared" si="104"/>
        <v>low Value</v>
      </c>
    </row>
    <row r="926" spans="1:21" x14ac:dyDescent="0.3">
      <c r="A926" t="s">
        <v>934</v>
      </c>
      <c r="B926" s="1">
        <v>45111</v>
      </c>
      <c r="C926" t="s">
        <v>1211</v>
      </c>
      <c r="D926" t="s">
        <v>1216</v>
      </c>
      <c r="E926" t="s">
        <v>1220</v>
      </c>
      <c r="F926" t="s">
        <v>1228</v>
      </c>
      <c r="G926" s="6">
        <v>1</v>
      </c>
      <c r="H926">
        <v>1368</v>
      </c>
      <c r="I926">
        <v>1368</v>
      </c>
      <c r="J926" s="2">
        <v>289.55</v>
      </c>
      <c r="K926" s="16">
        <f>Table13[[#This Row],[Profit]]/Table13[[#This Row],[Sales]]</f>
        <v>0.21165935672514621</v>
      </c>
      <c r="L926" s="17" t="str">
        <f t="shared" si="98"/>
        <v>Low</v>
      </c>
      <c r="M926" s="17" t="str">
        <f t="shared" si="99"/>
        <v>Jul</v>
      </c>
      <c r="N926" s="18">
        <f>YEAR(Table13[[#This Row],[Order_Date]])</f>
        <v>2023</v>
      </c>
      <c r="O926" s="18">
        <f>Table13[[#This Row],[Price]]*0.7</f>
        <v>957.59999999999991</v>
      </c>
      <c r="P926" s="18">
        <f t="shared" si="100"/>
        <v>410.40000000000009</v>
      </c>
      <c r="Q926" s="18">
        <f t="shared" si="101"/>
        <v>0.05</v>
      </c>
      <c r="R926" s="18">
        <f t="shared" si="102"/>
        <v>1078.45</v>
      </c>
      <c r="S926" s="18" t="str">
        <f>IF(Table13[[#This Row],[Quantity]]&lt;=3,"Small",IF(Table13[[#This Row],[Quantity]]&lt;=6,"Medium","Bulk"))</f>
        <v>Small</v>
      </c>
      <c r="T926" s="18" t="str">
        <f t="shared" si="103"/>
        <v>Normal</v>
      </c>
      <c r="U926" s="18" t="str">
        <f t="shared" si="104"/>
        <v>low Value</v>
      </c>
    </row>
    <row r="927" spans="1:21" x14ac:dyDescent="0.3">
      <c r="A927" t="s">
        <v>935</v>
      </c>
      <c r="B927" s="1">
        <v>45087</v>
      </c>
      <c r="C927" t="s">
        <v>1212</v>
      </c>
      <c r="D927" t="s">
        <v>1218</v>
      </c>
      <c r="E927" t="s">
        <v>1222</v>
      </c>
      <c r="F927" t="s">
        <v>1236</v>
      </c>
      <c r="G927" s="6">
        <v>6</v>
      </c>
      <c r="H927">
        <v>2394</v>
      </c>
      <c r="I927">
        <v>14364</v>
      </c>
      <c r="J927" s="2">
        <v>3062.34</v>
      </c>
      <c r="K927" s="16">
        <f>Table13[[#This Row],[Profit]]/Table13[[#This Row],[Sales]]</f>
        <v>0.21319548872180452</v>
      </c>
      <c r="L927" s="17" t="str">
        <f t="shared" si="98"/>
        <v>Medium</v>
      </c>
      <c r="M927" s="17" t="str">
        <f t="shared" si="99"/>
        <v>Jun</v>
      </c>
      <c r="N927" s="18">
        <f>YEAR(Table13[[#This Row],[Order_Date]])</f>
        <v>2023</v>
      </c>
      <c r="O927" s="18">
        <f>Table13[[#This Row],[Price]]*0.7</f>
        <v>1675.8</v>
      </c>
      <c r="P927" s="18">
        <f t="shared" si="100"/>
        <v>4309.2000000000007</v>
      </c>
      <c r="Q927" s="18">
        <f t="shared" si="101"/>
        <v>0.1</v>
      </c>
      <c r="R927" s="18">
        <f t="shared" si="102"/>
        <v>11301.66</v>
      </c>
      <c r="S927" s="18" t="str">
        <f>IF(Table13[[#This Row],[Quantity]]&lt;=3,"Small",IF(Table13[[#This Row],[Quantity]]&lt;=6,"Medium","Bulk"))</f>
        <v>Medium</v>
      </c>
      <c r="T927" s="18" t="str">
        <f t="shared" si="103"/>
        <v>High Demand</v>
      </c>
      <c r="U927" s="18" t="str">
        <f t="shared" si="104"/>
        <v>Medium Value</v>
      </c>
    </row>
    <row r="928" spans="1:21" x14ac:dyDescent="0.3">
      <c r="A928" t="s">
        <v>936</v>
      </c>
      <c r="B928" s="1">
        <v>45192</v>
      </c>
      <c r="C928" t="s">
        <v>1210</v>
      </c>
      <c r="D928" t="s">
        <v>1218</v>
      </c>
      <c r="E928" t="s">
        <v>1220</v>
      </c>
      <c r="F928" t="s">
        <v>1228</v>
      </c>
      <c r="G928" s="6">
        <v>1</v>
      </c>
      <c r="H928">
        <v>4075</v>
      </c>
      <c r="I928">
        <v>4075</v>
      </c>
      <c r="J928" s="2">
        <v>656.43</v>
      </c>
      <c r="K928" s="16">
        <f>Table13[[#This Row],[Profit]]/Table13[[#This Row],[Sales]]</f>
        <v>0.16108711656441715</v>
      </c>
      <c r="L928" s="17" t="str">
        <f t="shared" si="98"/>
        <v>Low</v>
      </c>
      <c r="M928" s="17" t="str">
        <f t="shared" si="99"/>
        <v>Sep</v>
      </c>
      <c r="N928" s="18">
        <f>YEAR(Table13[[#This Row],[Order_Date]])</f>
        <v>2023</v>
      </c>
      <c r="O928" s="18">
        <f>Table13[[#This Row],[Price]]*0.7</f>
        <v>2852.5</v>
      </c>
      <c r="P928" s="18">
        <f t="shared" si="100"/>
        <v>1222.5</v>
      </c>
      <c r="Q928" s="18">
        <f t="shared" si="101"/>
        <v>0.05</v>
      </c>
      <c r="R928" s="18">
        <f t="shared" si="102"/>
        <v>3418.5699999999997</v>
      </c>
      <c r="S928" s="18" t="str">
        <f>IF(Table13[[#This Row],[Quantity]]&lt;=3,"Small",IF(Table13[[#This Row],[Quantity]]&lt;=6,"Medium","Bulk"))</f>
        <v>Small</v>
      </c>
      <c r="T928" s="18" t="str">
        <f t="shared" si="103"/>
        <v>Normal</v>
      </c>
      <c r="U928" s="18" t="str">
        <f t="shared" si="104"/>
        <v>low Value</v>
      </c>
    </row>
    <row r="929" spans="1:21" x14ac:dyDescent="0.3">
      <c r="A929" t="s">
        <v>937</v>
      </c>
      <c r="B929" s="1">
        <v>45238</v>
      </c>
      <c r="C929" t="s">
        <v>1211</v>
      </c>
      <c r="D929" t="s">
        <v>1216</v>
      </c>
      <c r="E929" t="s">
        <v>1222</v>
      </c>
      <c r="F929" t="s">
        <v>1227</v>
      </c>
      <c r="G929" s="6">
        <v>5</v>
      </c>
      <c r="H929">
        <v>291</v>
      </c>
      <c r="I929">
        <v>1455</v>
      </c>
      <c r="J929" s="2">
        <v>345.67</v>
      </c>
      <c r="K929" s="16">
        <f>Table13[[#This Row],[Profit]]/Table13[[#This Row],[Sales]]</f>
        <v>0.23757388316151204</v>
      </c>
      <c r="L929" s="17" t="str">
        <f t="shared" si="98"/>
        <v>Low</v>
      </c>
      <c r="M929" s="17" t="str">
        <f t="shared" si="99"/>
        <v>Nov</v>
      </c>
      <c r="N929" s="18">
        <f>YEAR(Table13[[#This Row],[Order_Date]])</f>
        <v>2023</v>
      </c>
      <c r="O929" s="18">
        <f>Table13[[#This Row],[Price]]*0.7</f>
        <v>203.7</v>
      </c>
      <c r="P929" s="18">
        <f t="shared" si="100"/>
        <v>436.5</v>
      </c>
      <c r="Q929" s="18">
        <f t="shared" si="101"/>
        <v>0.05</v>
      </c>
      <c r="R929" s="18">
        <f t="shared" si="102"/>
        <v>1109.33</v>
      </c>
      <c r="S929" s="18" t="str">
        <f>IF(Table13[[#This Row],[Quantity]]&lt;=3,"Small",IF(Table13[[#This Row],[Quantity]]&lt;=6,"Medium","Bulk"))</f>
        <v>Medium</v>
      </c>
      <c r="T929" s="18" t="str">
        <f t="shared" si="103"/>
        <v>Normal</v>
      </c>
      <c r="U929" s="18" t="str">
        <f t="shared" si="104"/>
        <v>low Value</v>
      </c>
    </row>
    <row r="930" spans="1:21" x14ac:dyDescent="0.3">
      <c r="A930" t="s">
        <v>938</v>
      </c>
      <c r="B930" s="1">
        <v>45046</v>
      </c>
      <c r="C930" t="s">
        <v>1212</v>
      </c>
      <c r="D930" t="s">
        <v>1217</v>
      </c>
      <c r="E930" t="s">
        <v>1221</v>
      </c>
      <c r="F930" t="s">
        <v>1229</v>
      </c>
      <c r="G930" s="6">
        <v>6</v>
      </c>
      <c r="H930">
        <v>4320</v>
      </c>
      <c r="I930">
        <v>25920</v>
      </c>
      <c r="J930" s="2">
        <v>6298.77</v>
      </c>
      <c r="K930" s="16">
        <f>Table13[[#This Row],[Profit]]/Table13[[#This Row],[Sales]]</f>
        <v>0.24300810185185187</v>
      </c>
      <c r="L930" s="17" t="str">
        <f t="shared" si="98"/>
        <v>High</v>
      </c>
      <c r="M930" s="17" t="str">
        <f t="shared" si="99"/>
        <v>Apr</v>
      </c>
      <c r="N930" s="18">
        <f>YEAR(Table13[[#This Row],[Order_Date]])</f>
        <v>2023</v>
      </c>
      <c r="O930" s="18">
        <f>Table13[[#This Row],[Price]]*0.7</f>
        <v>3024</v>
      </c>
      <c r="P930" s="18">
        <f t="shared" si="100"/>
        <v>7776</v>
      </c>
      <c r="Q930" s="18">
        <f t="shared" si="101"/>
        <v>0.1</v>
      </c>
      <c r="R930" s="18">
        <f t="shared" si="102"/>
        <v>19621.23</v>
      </c>
      <c r="S930" s="18" t="str">
        <f>IF(Table13[[#This Row],[Quantity]]&lt;=3,"Small",IF(Table13[[#This Row],[Quantity]]&lt;=6,"Medium","Bulk"))</f>
        <v>Medium</v>
      </c>
      <c r="T930" s="18" t="str">
        <f t="shared" si="103"/>
        <v>High Demand</v>
      </c>
      <c r="U930" s="18" t="str">
        <f t="shared" si="104"/>
        <v>High Value</v>
      </c>
    </row>
    <row r="931" spans="1:21" x14ac:dyDescent="0.3">
      <c r="A931" t="s">
        <v>939</v>
      </c>
      <c r="B931" s="1">
        <v>45119</v>
      </c>
      <c r="C931" t="s">
        <v>1212</v>
      </c>
      <c r="D931" t="s">
        <v>1214</v>
      </c>
      <c r="E931" t="s">
        <v>1219</v>
      </c>
      <c r="F931" t="s">
        <v>1233</v>
      </c>
      <c r="G931" s="6">
        <v>9</v>
      </c>
      <c r="H931">
        <v>4314</v>
      </c>
      <c r="I931">
        <v>38826</v>
      </c>
      <c r="J931" s="2">
        <v>5779.04</v>
      </c>
      <c r="K931" s="16">
        <f>Table13[[#This Row],[Profit]]/Table13[[#This Row],[Sales]]</f>
        <v>0.14884458867769021</v>
      </c>
      <c r="L931" s="17" t="str">
        <f t="shared" si="98"/>
        <v>High</v>
      </c>
      <c r="M931" s="17" t="str">
        <f t="shared" si="99"/>
        <v>Jul</v>
      </c>
      <c r="N931" s="18">
        <f>YEAR(Table13[[#This Row],[Order_Date]])</f>
        <v>2023</v>
      </c>
      <c r="O931" s="18">
        <f>Table13[[#This Row],[Price]]*0.7</f>
        <v>3019.7999999999997</v>
      </c>
      <c r="P931" s="18">
        <f t="shared" si="100"/>
        <v>11647.800000000003</v>
      </c>
      <c r="Q931" s="18">
        <f t="shared" si="101"/>
        <v>0.1</v>
      </c>
      <c r="R931" s="18">
        <f t="shared" si="102"/>
        <v>33046.959999999999</v>
      </c>
      <c r="S931" s="18" t="str">
        <f>IF(Table13[[#This Row],[Quantity]]&lt;=3,"Small",IF(Table13[[#This Row],[Quantity]]&lt;=6,"Medium","Bulk"))</f>
        <v>Bulk</v>
      </c>
      <c r="T931" s="18" t="str">
        <f t="shared" si="103"/>
        <v>High Demand</v>
      </c>
      <c r="U931" s="18" t="str">
        <f t="shared" si="104"/>
        <v>High Value</v>
      </c>
    </row>
    <row r="932" spans="1:21" x14ac:dyDescent="0.3">
      <c r="A932" t="s">
        <v>940</v>
      </c>
      <c r="B932" s="1">
        <v>45053</v>
      </c>
      <c r="C932" t="s">
        <v>1212</v>
      </c>
      <c r="D932" t="s">
        <v>1215</v>
      </c>
      <c r="E932" t="s">
        <v>1220</v>
      </c>
      <c r="F932" t="s">
        <v>1228</v>
      </c>
      <c r="G932" s="6">
        <v>3</v>
      </c>
      <c r="H932">
        <v>751</v>
      </c>
      <c r="I932">
        <v>2253</v>
      </c>
      <c r="J932" s="2">
        <v>239.42</v>
      </c>
      <c r="K932" s="16">
        <f>Table13[[#This Row],[Profit]]/Table13[[#This Row],[Sales]]</f>
        <v>0.10626719928983577</v>
      </c>
      <c r="L932" s="17" t="str">
        <f t="shared" si="98"/>
        <v>Low</v>
      </c>
      <c r="M932" s="17" t="str">
        <f t="shared" si="99"/>
        <v>May</v>
      </c>
      <c r="N932" s="18">
        <f>YEAR(Table13[[#This Row],[Order_Date]])</f>
        <v>2023</v>
      </c>
      <c r="O932" s="18">
        <f>Table13[[#This Row],[Price]]*0.7</f>
        <v>525.69999999999993</v>
      </c>
      <c r="P932" s="18">
        <f t="shared" si="100"/>
        <v>675.90000000000009</v>
      </c>
      <c r="Q932" s="18">
        <f t="shared" si="101"/>
        <v>0.05</v>
      </c>
      <c r="R932" s="18">
        <f t="shared" si="102"/>
        <v>2013.5800000000002</v>
      </c>
      <c r="S932" s="18" t="str">
        <f>IF(Table13[[#This Row],[Quantity]]&lt;=3,"Small",IF(Table13[[#This Row],[Quantity]]&lt;=6,"Medium","Bulk"))</f>
        <v>Small</v>
      </c>
      <c r="T932" s="18" t="str">
        <f t="shared" si="103"/>
        <v>High Demand</v>
      </c>
      <c r="U932" s="18" t="str">
        <f t="shared" si="104"/>
        <v>low Value</v>
      </c>
    </row>
    <row r="933" spans="1:21" x14ac:dyDescent="0.3">
      <c r="A933" t="s">
        <v>941</v>
      </c>
      <c r="B933" s="1">
        <v>45110</v>
      </c>
      <c r="C933" t="s">
        <v>1210</v>
      </c>
      <c r="D933" t="s">
        <v>1214</v>
      </c>
      <c r="E933" t="s">
        <v>1219</v>
      </c>
      <c r="F933" t="s">
        <v>1223</v>
      </c>
      <c r="G933" s="6">
        <v>4</v>
      </c>
      <c r="H933">
        <v>2931</v>
      </c>
      <c r="I933">
        <v>11724</v>
      </c>
      <c r="J933" s="2">
        <v>1111.25</v>
      </c>
      <c r="K933" s="16">
        <f>Table13[[#This Row],[Profit]]/Table13[[#This Row],[Sales]]</f>
        <v>9.4784203343568754E-2</v>
      </c>
      <c r="L933" s="17" t="str">
        <f t="shared" si="98"/>
        <v>Medium</v>
      </c>
      <c r="M933" s="17" t="str">
        <f t="shared" si="99"/>
        <v>Jul</v>
      </c>
      <c r="N933" s="18">
        <f>YEAR(Table13[[#This Row],[Order_Date]])</f>
        <v>2023</v>
      </c>
      <c r="O933" s="18">
        <f>Table13[[#This Row],[Price]]*0.7</f>
        <v>2051.6999999999998</v>
      </c>
      <c r="P933" s="18">
        <f t="shared" si="100"/>
        <v>3517.2000000000007</v>
      </c>
      <c r="Q933" s="18">
        <f t="shared" si="101"/>
        <v>0.05</v>
      </c>
      <c r="R933" s="18">
        <f t="shared" si="102"/>
        <v>10612.75</v>
      </c>
      <c r="S933" s="18" t="str">
        <f>IF(Table13[[#This Row],[Quantity]]&lt;=3,"Small",IF(Table13[[#This Row],[Quantity]]&lt;=6,"Medium","Bulk"))</f>
        <v>Medium</v>
      </c>
      <c r="T933" s="18" t="str">
        <f t="shared" si="103"/>
        <v>Normal</v>
      </c>
      <c r="U933" s="18" t="str">
        <f t="shared" si="104"/>
        <v>Medium Value</v>
      </c>
    </row>
    <row r="934" spans="1:21" x14ac:dyDescent="0.3">
      <c r="A934" t="s">
        <v>942</v>
      </c>
      <c r="B934" s="1">
        <v>45248</v>
      </c>
      <c r="C934" t="s">
        <v>1210</v>
      </c>
      <c r="D934" t="s">
        <v>1214</v>
      </c>
      <c r="E934" t="s">
        <v>1222</v>
      </c>
      <c r="F934" t="s">
        <v>1234</v>
      </c>
      <c r="G934" s="6">
        <v>1</v>
      </c>
      <c r="H934">
        <v>2448</v>
      </c>
      <c r="I934">
        <v>2448</v>
      </c>
      <c r="J934" s="2">
        <v>198.41</v>
      </c>
      <c r="K934" s="16">
        <f>Table13[[#This Row],[Profit]]/Table13[[#This Row],[Sales]]</f>
        <v>8.1049836601307185E-2</v>
      </c>
      <c r="L934" s="17" t="str">
        <f t="shared" si="98"/>
        <v>Low</v>
      </c>
      <c r="M934" s="17" t="str">
        <f t="shared" si="99"/>
        <v>Nov</v>
      </c>
      <c r="N934" s="18">
        <f>YEAR(Table13[[#This Row],[Order_Date]])</f>
        <v>2023</v>
      </c>
      <c r="O934" s="18">
        <f>Table13[[#This Row],[Price]]*0.7</f>
        <v>1713.6</v>
      </c>
      <c r="P934" s="18">
        <f t="shared" si="100"/>
        <v>734.40000000000009</v>
      </c>
      <c r="Q934" s="18">
        <f t="shared" si="101"/>
        <v>0.05</v>
      </c>
      <c r="R934" s="18">
        <f t="shared" si="102"/>
        <v>2249.59</v>
      </c>
      <c r="S934" s="18" t="str">
        <f>IF(Table13[[#This Row],[Quantity]]&lt;=3,"Small",IF(Table13[[#This Row],[Quantity]]&lt;=6,"Medium","Bulk"))</f>
        <v>Small</v>
      </c>
      <c r="T934" s="18" t="str">
        <f t="shared" si="103"/>
        <v>Normal</v>
      </c>
      <c r="U934" s="18" t="str">
        <f t="shared" si="104"/>
        <v>low Value</v>
      </c>
    </row>
    <row r="935" spans="1:21" x14ac:dyDescent="0.3">
      <c r="A935" t="s">
        <v>943</v>
      </c>
      <c r="B935" s="1">
        <v>45241</v>
      </c>
      <c r="C935" t="s">
        <v>1213</v>
      </c>
      <c r="D935" t="s">
        <v>1218</v>
      </c>
      <c r="E935" t="s">
        <v>1221</v>
      </c>
      <c r="F935" t="s">
        <v>1235</v>
      </c>
      <c r="G935" s="6">
        <v>6</v>
      </c>
      <c r="H935">
        <v>902</v>
      </c>
      <c r="I935">
        <v>5412</v>
      </c>
      <c r="J935" s="2">
        <v>994.36</v>
      </c>
      <c r="K935" s="16">
        <f>Table13[[#This Row],[Profit]]/Table13[[#This Row],[Sales]]</f>
        <v>0.18373244641537326</v>
      </c>
      <c r="L935" s="17" t="str">
        <f t="shared" si="98"/>
        <v>Low</v>
      </c>
      <c r="M935" s="17" t="str">
        <f t="shared" si="99"/>
        <v>Nov</v>
      </c>
      <c r="N935" s="18">
        <f>YEAR(Table13[[#This Row],[Order_Date]])</f>
        <v>2023</v>
      </c>
      <c r="O935" s="18">
        <f>Table13[[#This Row],[Price]]*0.7</f>
        <v>631.4</v>
      </c>
      <c r="P935" s="18">
        <f t="shared" si="100"/>
        <v>1623.6000000000004</v>
      </c>
      <c r="Q935" s="18">
        <f t="shared" si="101"/>
        <v>0.1</v>
      </c>
      <c r="R935" s="18">
        <f t="shared" si="102"/>
        <v>4417.6400000000003</v>
      </c>
      <c r="S935" s="18" t="str">
        <f>IF(Table13[[#This Row],[Quantity]]&lt;=3,"Small",IF(Table13[[#This Row],[Quantity]]&lt;=6,"Medium","Bulk"))</f>
        <v>Medium</v>
      </c>
      <c r="T935" s="18" t="str">
        <f t="shared" si="103"/>
        <v>Normal</v>
      </c>
      <c r="U935" s="18" t="str">
        <f t="shared" si="104"/>
        <v>low Value</v>
      </c>
    </row>
    <row r="936" spans="1:21" x14ac:dyDescent="0.3">
      <c r="A936" t="s">
        <v>944</v>
      </c>
      <c r="B936" s="1">
        <v>44945</v>
      </c>
      <c r="C936" t="s">
        <v>1212</v>
      </c>
      <c r="D936" t="s">
        <v>1215</v>
      </c>
      <c r="E936" t="s">
        <v>1222</v>
      </c>
      <c r="F936" t="s">
        <v>1227</v>
      </c>
      <c r="G936" s="6">
        <v>2</v>
      </c>
      <c r="H936">
        <v>774</v>
      </c>
      <c r="I936">
        <v>1548</v>
      </c>
      <c r="J936" s="2">
        <v>304.98</v>
      </c>
      <c r="K936" s="16">
        <f>Table13[[#This Row],[Profit]]/Table13[[#This Row],[Sales]]</f>
        <v>0.197015503875969</v>
      </c>
      <c r="L936" s="17" t="str">
        <f t="shared" si="98"/>
        <v>Low</v>
      </c>
      <c r="M936" s="17" t="str">
        <f t="shared" si="99"/>
        <v>Jan</v>
      </c>
      <c r="N936" s="18">
        <f>YEAR(Table13[[#This Row],[Order_Date]])</f>
        <v>2023</v>
      </c>
      <c r="O936" s="18">
        <f>Table13[[#This Row],[Price]]*0.7</f>
        <v>541.79999999999995</v>
      </c>
      <c r="P936" s="18">
        <f t="shared" si="100"/>
        <v>464.40000000000009</v>
      </c>
      <c r="Q936" s="18">
        <f t="shared" si="101"/>
        <v>0.05</v>
      </c>
      <c r="R936" s="18">
        <f t="shared" si="102"/>
        <v>1243.02</v>
      </c>
      <c r="S936" s="18" t="str">
        <f>IF(Table13[[#This Row],[Quantity]]&lt;=3,"Small",IF(Table13[[#This Row],[Quantity]]&lt;=6,"Medium","Bulk"))</f>
        <v>Small</v>
      </c>
      <c r="T936" s="18" t="str">
        <f t="shared" si="103"/>
        <v>High Demand</v>
      </c>
      <c r="U936" s="18" t="str">
        <f t="shared" si="104"/>
        <v>low Value</v>
      </c>
    </row>
    <row r="937" spans="1:21" x14ac:dyDescent="0.3">
      <c r="A937" t="s">
        <v>945</v>
      </c>
      <c r="B937" s="1">
        <v>45007</v>
      </c>
      <c r="C937" t="s">
        <v>1210</v>
      </c>
      <c r="D937" t="s">
        <v>1216</v>
      </c>
      <c r="E937" t="s">
        <v>1219</v>
      </c>
      <c r="F937" t="s">
        <v>1233</v>
      </c>
      <c r="G937" s="6">
        <v>5</v>
      </c>
      <c r="H937">
        <v>957</v>
      </c>
      <c r="I937">
        <v>4785</v>
      </c>
      <c r="J937" s="2">
        <v>820.62</v>
      </c>
      <c r="K937" s="16">
        <f>Table13[[#This Row],[Profit]]/Table13[[#This Row],[Sales]]</f>
        <v>0.17149843260188088</v>
      </c>
      <c r="L937" s="17" t="str">
        <f t="shared" si="98"/>
        <v>Low</v>
      </c>
      <c r="M937" s="17" t="str">
        <f t="shared" si="99"/>
        <v>Mar</v>
      </c>
      <c r="N937" s="18">
        <f>YEAR(Table13[[#This Row],[Order_Date]])</f>
        <v>2023</v>
      </c>
      <c r="O937" s="18">
        <f>Table13[[#This Row],[Price]]*0.7</f>
        <v>669.9</v>
      </c>
      <c r="P937" s="18">
        <f t="shared" si="100"/>
        <v>1435.5</v>
      </c>
      <c r="Q937" s="18">
        <f t="shared" si="101"/>
        <v>0.05</v>
      </c>
      <c r="R937" s="18">
        <f t="shared" si="102"/>
        <v>3964.3799999999997</v>
      </c>
      <c r="S937" s="18" t="str">
        <f>IF(Table13[[#This Row],[Quantity]]&lt;=3,"Small",IF(Table13[[#This Row],[Quantity]]&lt;=6,"Medium","Bulk"))</f>
        <v>Medium</v>
      </c>
      <c r="T937" s="18" t="str">
        <f t="shared" si="103"/>
        <v>Normal</v>
      </c>
      <c r="U937" s="18" t="str">
        <f t="shared" si="104"/>
        <v>low Value</v>
      </c>
    </row>
    <row r="938" spans="1:21" x14ac:dyDescent="0.3">
      <c r="A938" t="s">
        <v>946</v>
      </c>
      <c r="B938" s="1">
        <v>45130</v>
      </c>
      <c r="C938" t="s">
        <v>1213</v>
      </c>
      <c r="D938" t="s">
        <v>1215</v>
      </c>
      <c r="E938" t="s">
        <v>1221</v>
      </c>
      <c r="F938" t="s">
        <v>1231</v>
      </c>
      <c r="G938" s="6">
        <v>4</v>
      </c>
      <c r="H938">
        <v>4192</v>
      </c>
      <c r="I938">
        <v>16768</v>
      </c>
      <c r="J938" s="2">
        <v>3773.87</v>
      </c>
      <c r="K938" s="16">
        <f>Table13[[#This Row],[Profit]]/Table13[[#This Row],[Sales]]</f>
        <v>0.22506381202290077</v>
      </c>
      <c r="L938" s="17" t="str">
        <f t="shared" si="98"/>
        <v>Medium</v>
      </c>
      <c r="M938" s="17" t="str">
        <f t="shared" si="99"/>
        <v>Jul</v>
      </c>
      <c r="N938" s="18">
        <f>YEAR(Table13[[#This Row],[Order_Date]])</f>
        <v>2023</v>
      </c>
      <c r="O938" s="18">
        <f>Table13[[#This Row],[Price]]*0.7</f>
        <v>2934.3999999999996</v>
      </c>
      <c r="P938" s="18">
        <f t="shared" si="100"/>
        <v>5030.4000000000015</v>
      </c>
      <c r="Q938" s="18">
        <f t="shared" si="101"/>
        <v>0.05</v>
      </c>
      <c r="R938" s="18">
        <f t="shared" si="102"/>
        <v>12994.130000000001</v>
      </c>
      <c r="S938" s="18" t="str">
        <f>IF(Table13[[#This Row],[Quantity]]&lt;=3,"Small",IF(Table13[[#This Row],[Quantity]]&lt;=6,"Medium","Bulk"))</f>
        <v>Medium</v>
      </c>
      <c r="T938" s="18" t="str">
        <f t="shared" si="103"/>
        <v>Normal</v>
      </c>
      <c r="U938" s="18" t="str">
        <f t="shared" si="104"/>
        <v>Medium Value</v>
      </c>
    </row>
    <row r="939" spans="1:21" x14ac:dyDescent="0.3">
      <c r="A939" t="s">
        <v>947</v>
      </c>
      <c r="B939" s="1">
        <v>45072</v>
      </c>
      <c r="C939" t="s">
        <v>1211</v>
      </c>
      <c r="D939" t="s">
        <v>1218</v>
      </c>
      <c r="E939" t="s">
        <v>1222</v>
      </c>
      <c r="F939" t="s">
        <v>1236</v>
      </c>
      <c r="G939" s="6">
        <v>3</v>
      </c>
      <c r="H939">
        <v>1887</v>
      </c>
      <c r="I939">
        <v>5661</v>
      </c>
      <c r="J939" s="2">
        <v>1121.7</v>
      </c>
      <c r="K939" s="16">
        <f>Table13[[#This Row],[Profit]]/Table13[[#This Row],[Sales]]</f>
        <v>0.19814520402755698</v>
      </c>
      <c r="L939" s="17" t="str">
        <f t="shared" si="98"/>
        <v>Low</v>
      </c>
      <c r="M939" s="17" t="str">
        <f t="shared" si="99"/>
        <v>May</v>
      </c>
      <c r="N939" s="18">
        <f>YEAR(Table13[[#This Row],[Order_Date]])</f>
        <v>2023</v>
      </c>
      <c r="O939" s="18">
        <f>Table13[[#This Row],[Price]]*0.7</f>
        <v>1320.8999999999999</v>
      </c>
      <c r="P939" s="18">
        <f t="shared" si="100"/>
        <v>1698.3000000000002</v>
      </c>
      <c r="Q939" s="18">
        <f t="shared" si="101"/>
        <v>0.05</v>
      </c>
      <c r="R939" s="18">
        <f t="shared" si="102"/>
        <v>4539.3</v>
      </c>
      <c r="S939" s="18" t="str">
        <f>IF(Table13[[#This Row],[Quantity]]&lt;=3,"Small",IF(Table13[[#This Row],[Quantity]]&lt;=6,"Medium","Bulk"))</f>
        <v>Small</v>
      </c>
      <c r="T939" s="18" t="str">
        <f t="shared" si="103"/>
        <v>Normal</v>
      </c>
      <c r="U939" s="18" t="str">
        <f t="shared" si="104"/>
        <v>low Value</v>
      </c>
    </row>
    <row r="940" spans="1:21" x14ac:dyDescent="0.3">
      <c r="A940" t="s">
        <v>948</v>
      </c>
      <c r="B940" s="1">
        <v>45129</v>
      </c>
      <c r="C940" t="s">
        <v>1210</v>
      </c>
      <c r="D940" t="s">
        <v>1218</v>
      </c>
      <c r="E940" t="s">
        <v>1219</v>
      </c>
      <c r="F940" t="s">
        <v>1223</v>
      </c>
      <c r="G940" s="6">
        <v>2</v>
      </c>
      <c r="H940">
        <v>728</v>
      </c>
      <c r="I940">
        <v>1456</v>
      </c>
      <c r="J940" s="2">
        <v>327.33</v>
      </c>
      <c r="K940" s="16">
        <f>Table13[[#This Row],[Profit]]/Table13[[#This Row],[Sales]]</f>
        <v>0.22481456043956044</v>
      </c>
      <c r="L940" s="17" t="str">
        <f t="shared" si="98"/>
        <v>Low</v>
      </c>
      <c r="M940" s="17" t="str">
        <f t="shared" si="99"/>
        <v>Jul</v>
      </c>
      <c r="N940" s="18">
        <f>YEAR(Table13[[#This Row],[Order_Date]])</f>
        <v>2023</v>
      </c>
      <c r="O940" s="18">
        <f>Table13[[#This Row],[Price]]*0.7</f>
        <v>509.59999999999997</v>
      </c>
      <c r="P940" s="18">
        <f t="shared" si="100"/>
        <v>436.80000000000007</v>
      </c>
      <c r="Q940" s="18">
        <f t="shared" si="101"/>
        <v>0.05</v>
      </c>
      <c r="R940" s="18">
        <f t="shared" si="102"/>
        <v>1128.67</v>
      </c>
      <c r="S940" s="18" t="str">
        <f>IF(Table13[[#This Row],[Quantity]]&lt;=3,"Small",IF(Table13[[#This Row],[Quantity]]&lt;=6,"Medium","Bulk"))</f>
        <v>Small</v>
      </c>
      <c r="T940" s="18" t="str">
        <f t="shared" si="103"/>
        <v>Normal</v>
      </c>
      <c r="U940" s="18" t="str">
        <f t="shared" si="104"/>
        <v>low Value</v>
      </c>
    </row>
    <row r="941" spans="1:21" x14ac:dyDescent="0.3">
      <c r="A941" t="s">
        <v>949</v>
      </c>
      <c r="B941" s="1">
        <v>45140</v>
      </c>
      <c r="C941" t="s">
        <v>1210</v>
      </c>
      <c r="D941" t="s">
        <v>1214</v>
      </c>
      <c r="E941" t="s">
        <v>1222</v>
      </c>
      <c r="F941" t="s">
        <v>1227</v>
      </c>
      <c r="G941" s="6">
        <v>9</v>
      </c>
      <c r="H941">
        <v>2147</v>
      </c>
      <c r="I941">
        <v>19323</v>
      </c>
      <c r="J941" s="2">
        <v>3136.3</v>
      </c>
      <c r="K941" s="16">
        <f>Table13[[#This Row],[Profit]]/Table13[[#This Row],[Sales]]</f>
        <v>0.16230916524349223</v>
      </c>
      <c r="L941" s="17" t="str">
        <f t="shared" si="98"/>
        <v>Medium</v>
      </c>
      <c r="M941" s="17" t="str">
        <f t="shared" si="99"/>
        <v>Aug</v>
      </c>
      <c r="N941" s="18">
        <f>YEAR(Table13[[#This Row],[Order_Date]])</f>
        <v>2023</v>
      </c>
      <c r="O941" s="18">
        <f>Table13[[#This Row],[Price]]*0.7</f>
        <v>1502.8999999999999</v>
      </c>
      <c r="P941" s="18">
        <f t="shared" si="100"/>
        <v>5796.9000000000015</v>
      </c>
      <c r="Q941" s="18">
        <f t="shared" si="101"/>
        <v>0.1</v>
      </c>
      <c r="R941" s="18">
        <f t="shared" si="102"/>
        <v>16186.699999999999</v>
      </c>
      <c r="S941" s="18" t="str">
        <f>IF(Table13[[#This Row],[Quantity]]&lt;=3,"Small",IF(Table13[[#This Row],[Quantity]]&lt;=6,"Medium","Bulk"))</f>
        <v>Bulk</v>
      </c>
      <c r="T941" s="18" t="str">
        <f t="shared" si="103"/>
        <v>Normal</v>
      </c>
      <c r="U941" s="18" t="str">
        <f t="shared" si="104"/>
        <v>Medium Value</v>
      </c>
    </row>
    <row r="942" spans="1:21" x14ac:dyDescent="0.3">
      <c r="A942" t="s">
        <v>950</v>
      </c>
      <c r="B942" s="1">
        <v>45035</v>
      </c>
      <c r="C942" t="s">
        <v>1212</v>
      </c>
      <c r="D942" t="s">
        <v>1217</v>
      </c>
      <c r="E942" t="s">
        <v>1222</v>
      </c>
      <c r="F942" t="s">
        <v>1236</v>
      </c>
      <c r="G942" s="6">
        <v>4</v>
      </c>
      <c r="H942">
        <v>3592</v>
      </c>
      <c r="I942">
        <v>14368</v>
      </c>
      <c r="J942" s="2">
        <v>1607.43</v>
      </c>
      <c r="K942" s="16">
        <f>Table13[[#This Row],[Profit]]/Table13[[#This Row],[Sales]]</f>
        <v>0.11187569599109132</v>
      </c>
      <c r="L942" s="17" t="str">
        <f t="shared" si="98"/>
        <v>Medium</v>
      </c>
      <c r="M942" s="17" t="str">
        <f t="shared" si="99"/>
        <v>Apr</v>
      </c>
      <c r="N942" s="18">
        <f>YEAR(Table13[[#This Row],[Order_Date]])</f>
        <v>2023</v>
      </c>
      <c r="O942" s="18">
        <f>Table13[[#This Row],[Price]]*0.7</f>
        <v>2514.3999999999996</v>
      </c>
      <c r="P942" s="18">
        <f t="shared" si="100"/>
        <v>4310.4000000000015</v>
      </c>
      <c r="Q942" s="18">
        <f t="shared" si="101"/>
        <v>0.05</v>
      </c>
      <c r="R942" s="18">
        <f t="shared" si="102"/>
        <v>12760.57</v>
      </c>
      <c r="S942" s="18" t="str">
        <f>IF(Table13[[#This Row],[Quantity]]&lt;=3,"Small",IF(Table13[[#This Row],[Quantity]]&lt;=6,"Medium","Bulk"))</f>
        <v>Medium</v>
      </c>
      <c r="T942" s="18" t="str">
        <f t="shared" si="103"/>
        <v>High Demand</v>
      </c>
      <c r="U942" s="18" t="str">
        <f t="shared" si="104"/>
        <v>Medium Value</v>
      </c>
    </row>
    <row r="943" spans="1:21" x14ac:dyDescent="0.3">
      <c r="A943" t="s">
        <v>951</v>
      </c>
      <c r="B943" s="1">
        <v>44953</v>
      </c>
      <c r="C943" t="s">
        <v>1213</v>
      </c>
      <c r="D943" t="s">
        <v>1217</v>
      </c>
      <c r="E943" t="s">
        <v>1219</v>
      </c>
      <c r="F943" t="s">
        <v>1238</v>
      </c>
      <c r="G943" s="6">
        <v>7</v>
      </c>
      <c r="H943">
        <v>3139</v>
      </c>
      <c r="I943">
        <v>21973</v>
      </c>
      <c r="J943" s="2">
        <v>3673.59</v>
      </c>
      <c r="K943" s="16">
        <f>Table13[[#This Row],[Profit]]/Table13[[#This Row],[Sales]]</f>
        <v>0.1671865471260183</v>
      </c>
      <c r="L943" s="17" t="str">
        <f t="shared" si="98"/>
        <v>High</v>
      </c>
      <c r="M943" s="17" t="str">
        <f t="shared" si="99"/>
        <v>Jan</v>
      </c>
      <c r="N943" s="18">
        <f>YEAR(Table13[[#This Row],[Order_Date]])</f>
        <v>2023</v>
      </c>
      <c r="O943" s="18">
        <f>Table13[[#This Row],[Price]]*0.7</f>
        <v>2197.2999999999997</v>
      </c>
      <c r="P943" s="18">
        <f t="shared" si="100"/>
        <v>6591.9000000000015</v>
      </c>
      <c r="Q943" s="18">
        <f t="shared" si="101"/>
        <v>0.1</v>
      </c>
      <c r="R943" s="18">
        <f t="shared" si="102"/>
        <v>18299.41</v>
      </c>
      <c r="S943" s="18" t="str">
        <f>IF(Table13[[#This Row],[Quantity]]&lt;=3,"Small",IF(Table13[[#This Row],[Quantity]]&lt;=6,"Medium","Bulk"))</f>
        <v>Bulk</v>
      </c>
      <c r="T943" s="18" t="str">
        <f t="shared" si="103"/>
        <v>Normal</v>
      </c>
      <c r="U943" s="18" t="str">
        <f t="shared" si="104"/>
        <v>High Value</v>
      </c>
    </row>
    <row r="944" spans="1:21" x14ac:dyDescent="0.3">
      <c r="A944" t="s">
        <v>952</v>
      </c>
      <c r="B944" s="1">
        <v>44998</v>
      </c>
      <c r="C944" t="s">
        <v>1211</v>
      </c>
      <c r="D944" t="s">
        <v>1217</v>
      </c>
      <c r="E944" t="s">
        <v>1219</v>
      </c>
      <c r="F944" t="s">
        <v>1238</v>
      </c>
      <c r="G944" s="6">
        <v>1</v>
      </c>
      <c r="H944">
        <v>1188</v>
      </c>
      <c r="I944">
        <v>1188</v>
      </c>
      <c r="J944" s="2">
        <v>144.35</v>
      </c>
      <c r="K944" s="16">
        <f>Table13[[#This Row],[Profit]]/Table13[[#This Row],[Sales]]</f>
        <v>0.12150673400673401</v>
      </c>
      <c r="L944" s="17" t="str">
        <f t="shared" si="98"/>
        <v>Low</v>
      </c>
      <c r="M944" s="17" t="str">
        <f t="shared" si="99"/>
        <v>Mar</v>
      </c>
      <c r="N944" s="18">
        <f>YEAR(Table13[[#This Row],[Order_Date]])</f>
        <v>2023</v>
      </c>
      <c r="O944" s="18">
        <f>Table13[[#This Row],[Price]]*0.7</f>
        <v>831.59999999999991</v>
      </c>
      <c r="P944" s="18">
        <f t="shared" si="100"/>
        <v>356.40000000000009</v>
      </c>
      <c r="Q944" s="18">
        <f t="shared" si="101"/>
        <v>0.05</v>
      </c>
      <c r="R944" s="18">
        <f t="shared" si="102"/>
        <v>1043.6500000000001</v>
      </c>
      <c r="S944" s="18" t="str">
        <f>IF(Table13[[#This Row],[Quantity]]&lt;=3,"Small",IF(Table13[[#This Row],[Quantity]]&lt;=6,"Medium","Bulk"))</f>
        <v>Small</v>
      </c>
      <c r="T944" s="18" t="str">
        <f t="shared" si="103"/>
        <v>Normal</v>
      </c>
      <c r="U944" s="18" t="str">
        <f t="shared" si="104"/>
        <v>low Value</v>
      </c>
    </row>
    <row r="945" spans="1:21" x14ac:dyDescent="0.3">
      <c r="A945" t="s">
        <v>953</v>
      </c>
      <c r="B945" s="1">
        <v>45126</v>
      </c>
      <c r="C945" t="s">
        <v>1210</v>
      </c>
      <c r="D945" t="s">
        <v>1214</v>
      </c>
      <c r="E945" t="s">
        <v>1219</v>
      </c>
      <c r="F945" t="s">
        <v>1223</v>
      </c>
      <c r="G945" s="6">
        <v>2</v>
      </c>
      <c r="H945">
        <v>2640</v>
      </c>
      <c r="I945">
        <v>5280</v>
      </c>
      <c r="J945" s="2">
        <v>1200.67</v>
      </c>
      <c r="K945" s="16">
        <f>Table13[[#This Row],[Profit]]/Table13[[#This Row],[Sales]]</f>
        <v>0.22739962121212123</v>
      </c>
      <c r="L945" s="17" t="str">
        <f t="shared" si="98"/>
        <v>Low</v>
      </c>
      <c r="M945" s="17" t="str">
        <f t="shared" si="99"/>
        <v>Jul</v>
      </c>
      <c r="N945" s="18">
        <f>YEAR(Table13[[#This Row],[Order_Date]])</f>
        <v>2023</v>
      </c>
      <c r="O945" s="18">
        <f>Table13[[#This Row],[Price]]*0.7</f>
        <v>1847.9999999999998</v>
      </c>
      <c r="P945" s="18">
        <f t="shared" si="100"/>
        <v>1584.0000000000005</v>
      </c>
      <c r="Q945" s="18">
        <f t="shared" si="101"/>
        <v>0.05</v>
      </c>
      <c r="R945" s="18">
        <f t="shared" si="102"/>
        <v>4079.33</v>
      </c>
      <c r="S945" s="18" t="str">
        <f>IF(Table13[[#This Row],[Quantity]]&lt;=3,"Small",IF(Table13[[#This Row],[Quantity]]&lt;=6,"Medium","Bulk"))</f>
        <v>Small</v>
      </c>
      <c r="T945" s="18" t="str">
        <f t="shared" si="103"/>
        <v>Normal</v>
      </c>
      <c r="U945" s="18" t="str">
        <f t="shared" si="104"/>
        <v>low Value</v>
      </c>
    </row>
    <row r="946" spans="1:21" x14ac:dyDescent="0.3">
      <c r="A946" t="s">
        <v>954</v>
      </c>
      <c r="B946" s="1">
        <v>45093</v>
      </c>
      <c r="C946" t="s">
        <v>1213</v>
      </c>
      <c r="D946" t="s">
        <v>1218</v>
      </c>
      <c r="E946" t="s">
        <v>1219</v>
      </c>
      <c r="F946" t="s">
        <v>1233</v>
      </c>
      <c r="G946" s="6">
        <v>5</v>
      </c>
      <c r="H946">
        <v>4003</v>
      </c>
      <c r="I946">
        <v>20015</v>
      </c>
      <c r="J946" s="2">
        <v>3949.38</v>
      </c>
      <c r="K946" s="16">
        <f>Table13[[#This Row],[Profit]]/Table13[[#This Row],[Sales]]</f>
        <v>0.1973210092430677</v>
      </c>
      <c r="L946" s="17" t="str">
        <f t="shared" si="98"/>
        <v>High</v>
      </c>
      <c r="M946" s="17" t="str">
        <f t="shared" si="99"/>
        <v>Jun</v>
      </c>
      <c r="N946" s="18">
        <f>YEAR(Table13[[#This Row],[Order_Date]])</f>
        <v>2023</v>
      </c>
      <c r="O946" s="18">
        <f>Table13[[#This Row],[Price]]*0.7</f>
        <v>2802.1</v>
      </c>
      <c r="P946" s="18">
        <f t="shared" si="100"/>
        <v>6004.5</v>
      </c>
      <c r="Q946" s="18">
        <f t="shared" si="101"/>
        <v>0.05</v>
      </c>
      <c r="R946" s="18">
        <f t="shared" si="102"/>
        <v>16065.619999999999</v>
      </c>
      <c r="S946" s="18" t="str">
        <f>IF(Table13[[#This Row],[Quantity]]&lt;=3,"Small",IF(Table13[[#This Row],[Quantity]]&lt;=6,"Medium","Bulk"))</f>
        <v>Medium</v>
      </c>
      <c r="T946" s="18" t="str">
        <f t="shared" si="103"/>
        <v>Normal</v>
      </c>
      <c r="U946" s="18" t="str">
        <f t="shared" si="104"/>
        <v>High Value</v>
      </c>
    </row>
    <row r="947" spans="1:21" x14ac:dyDescent="0.3">
      <c r="A947" t="s">
        <v>955</v>
      </c>
      <c r="B947" s="1">
        <v>45205</v>
      </c>
      <c r="C947" t="s">
        <v>1213</v>
      </c>
      <c r="D947" t="s">
        <v>1216</v>
      </c>
      <c r="E947" t="s">
        <v>1221</v>
      </c>
      <c r="F947" t="s">
        <v>1226</v>
      </c>
      <c r="G947" s="6">
        <v>2</v>
      </c>
      <c r="H947">
        <v>2965</v>
      </c>
      <c r="I947">
        <v>5930</v>
      </c>
      <c r="J947" s="2">
        <v>1167.74</v>
      </c>
      <c r="K947" s="16">
        <f>Table13[[#This Row],[Profit]]/Table13[[#This Row],[Sales]]</f>
        <v>0.19692074198988196</v>
      </c>
      <c r="L947" s="17" t="str">
        <f t="shared" si="98"/>
        <v>Low</v>
      </c>
      <c r="M947" s="17" t="str">
        <f t="shared" si="99"/>
        <v>Oct</v>
      </c>
      <c r="N947" s="18">
        <f>YEAR(Table13[[#This Row],[Order_Date]])</f>
        <v>2023</v>
      </c>
      <c r="O947" s="18">
        <f>Table13[[#This Row],[Price]]*0.7</f>
        <v>2075.5</v>
      </c>
      <c r="P947" s="18">
        <f t="shared" si="100"/>
        <v>1779</v>
      </c>
      <c r="Q947" s="18">
        <f t="shared" si="101"/>
        <v>0.05</v>
      </c>
      <c r="R947" s="18">
        <f t="shared" si="102"/>
        <v>4762.26</v>
      </c>
      <c r="S947" s="18" t="str">
        <f>IF(Table13[[#This Row],[Quantity]]&lt;=3,"Small",IF(Table13[[#This Row],[Quantity]]&lt;=6,"Medium","Bulk"))</f>
        <v>Small</v>
      </c>
      <c r="T947" s="18" t="str">
        <f t="shared" si="103"/>
        <v>Normal</v>
      </c>
      <c r="U947" s="18" t="str">
        <f t="shared" si="104"/>
        <v>low Value</v>
      </c>
    </row>
    <row r="948" spans="1:21" x14ac:dyDescent="0.3">
      <c r="A948" t="s">
        <v>956</v>
      </c>
      <c r="B948" s="1">
        <v>45143</v>
      </c>
      <c r="C948" t="s">
        <v>1212</v>
      </c>
      <c r="D948" t="s">
        <v>1218</v>
      </c>
      <c r="E948" t="s">
        <v>1222</v>
      </c>
      <c r="F948" t="s">
        <v>1230</v>
      </c>
      <c r="G948" s="6">
        <v>7</v>
      </c>
      <c r="H948">
        <v>4363</v>
      </c>
      <c r="I948">
        <v>30541</v>
      </c>
      <c r="J948" s="2">
        <v>6709.79</v>
      </c>
      <c r="K948" s="16">
        <f>Table13[[#This Row],[Profit]]/Table13[[#This Row],[Sales]]</f>
        <v>0.21969778330768475</v>
      </c>
      <c r="L948" s="17" t="str">
        <f t="shared" si="98"/>
        <v>High</v>
      </c>
      <c r="M948" s="17" t="str">
        <f t="shared" si="99"/>
        <v>Aug</v>
      </c>
      <c r="N948" s="18">
        <f>YEAR(Table13[[#This Row],[Order_Date]])</f>
        <v>2023</v>
      </c>
      <c r="O948" s="18">
        <f>Table13[[#This Row],[Price]]*0.7</f>
        <v>3054.1</v>
      </c>
      <c r="P948" s="18">
        <f t="shared" si="100"/>
        <v>9162.2999999999993</v>
      </c>
      <c r="Q948" s="18">
        <f t="shared" si="101"/>
        <v>0.1</v>
      </c>
      <c r="R948" s="18">
        <f t="shared" si="102"/>
        <v>23831.21</v>
      </c>
      <c r="S948" s="18" t="str">
        <f>IF(Table13[[#This Row],[Quantity]]&lt;=3,"Small",IF(Table13[[#This Row],[Quantity]]&lt;=6,"Medium","Bulk"))</f>
        <v>Bulk</v>
      </c>
      <c r="T948" s="18" t="str">
        <f t="shared" si="103"/>
        <v>High Demand</v>
      </c>
      <c r="U948" s="18" t="str">
        <f t="shared" si="104"/>
        <v>High Value</v>
      </c>
    </row>
    <row r="949" spans="1:21" x14ac:dyDescent="0.3">
      <c r="A949" t="s">
        <v>957</v>
      </c>
      <c r="B949" s="1">
        <v>45285</v>
      </c>
      <c r="C949" t="s">
        <v>1211</v>
      </c>
      <c r="D949" t="s">
        <v>1217</v>
      </c>
      <c r="E949" t="s">
        <v>1219</v>
      </c>
      <c r="F949" t="s">
        <v>1223</v>
      </c>
      <c r="G949" s="6">
        <v>5</v>
      </c>
      <c r="H949">
        <v>4473</v>
      </c>
      <c r="I949">
        <v>22365</v>
      </c>
      <c r="J949" s="2">
        <v>1815.04</v>
      </c>
      <c r="K949" s="16">
        <f>Table13[[#This Row],[Profit]]/Table13[[#This Row],[Sales]]</f>
        <v>8.1155376704672474E-2</v>
      </c>
      <c r="L949" s="17" t="str">
        <f t="shared" si="98"/>
        <v>High</v>
      </c>
      <c r="M949" s="17" t="str">
        <f t="shared" si="99"/>
        <v>Dec</v>
      </c>
      <c r="N949" s="18">
        <f>YEAR(Table13[[#This Row],[Order_Date]])</f>
        <v>2023</v>
      </c>
      <c r="O949" s="18">
        <f>Table13[[#This Row],[Price]]*0.7</f>
        <v>3131.1</v>
      </c>
      <c r="P949" s="18">
        <f t="shared" si="100"/>
        <v>6709.5</v>
      </c>
      <c r="Q949" s="18">
        <f t="shared" si="101"/>
        <v>0.05</v>
      </c>
      <c r="R949" s="18">
        <f t="shared" si="102"/>
        <v>20549.960000000003</v>
      </c>
      <c r="S949" s="18" t="str">
        <f>IF(Table13[[#This Row],[Quantity]]&lt;=3,"Small",IF(Table13[[#This Row],[Quantity]]&lt;=6,"Medium","Bulk"))</f>
        <v>Medium</v>
      </c>
      <c r="T949" s="18" t="str">
        <f t="shared" si="103"/>
        <v>Normal</v>
      </c>
      <c r="U949" s="18" t="str">
        <f t="shared" si="104"/>
        <v>High Value</v>
      </c>
    </row>
    <row r="950" spans="1:21" x14ac:dyDescent="0.3">
      <c r="A950" t="s">
        <v>958</v>
      </c>
      <c r="B950" s="1">
        <v>45178</v>
      </c>
      <c r="C950" t="s">
        <v>1210</v>
      </c>
      <c r="D950" t="s">
        <v>1217</v>
      </c>
      <c r="E950" t="s">
        <v>1220</v>
      </c>
      <c r="F950" t="s">
        <v>1237</v>
      </c>
      <c r="G950" s="6">
        <v>1</v>
      </c>
      <c r="H950">
        <v>2574</v>
      </c>
      <c r="I950">
        <v>2574</v>
      </c>
      <c r="J950" s="2">
        <v>504.04</v>
      </c>
      <c r="K950" s="16">
        <f>Table13[[#This Row],[Profit]]/Table13[[#This Row],[Sales]]</f>
        <v>0.19581973581973583</v>
      </c>
      <c r="L950" s="17" t="str">
        <f t="shared" si="98"/>
        <v>Low</v>
      </c>
      <c r="M950" s="17" t="str">
        <f t="shared" si="99"/>
        <v>Sep</v>
      </c>
      <c r="N950" s="18">
        <f>YEAR(Table13[[#This Row],[Order_Date]])</f>
        <v>2023</v>
      </c>
      <c r="O950" s="18">
        <f>Table13[[#This Row],[Price]]*0.7</f>
        <v>1801.8</v>
      </c>
      <c r="P950" s="18">
        <f t="shared" si="100"/>
        <v>772.2</v>
      </c>
      <c r="Q950" s="18">
        <f t="shared" si="101"/>
        <v>0.05</v>
      </c>
      <c r="R950" s="18">
        <f t="shared" si="102"/>
        <v>2069.96</v>
      </c>
      <c r="S950" s="18" t="str">
        <f>IF(Table13[[#This Row],[Quantity]]&lt;=3,"Small",IF(Table13[[#This Row],[Quantity]]&lt;=6,"Medium","Bulk"))</f>
        <v>Small</v>
      </c>
      <c r="T950" s="18" t="str">
        <f t="shared" si="103"/>
        <v>Normal</v>
      </c>
      <c r="U950" s="18" t="str">
        <f t="shared" si="104"/>
        <v>low Value</v>
      </c>
    </row>
    <row r="951" spans="1:21" x14ac:dyDescent="0.3">
      <c r="A951" t="s">
        <v>959</v>
      </c>
      <c r="B951" s="1">
        <v>44970</v>
      </c>
      <c r="C951" t="s">
        <v>1210</v>
      </c>
      <c r="D951" t="s">
        <v>1217</v>
      </c>
      <c r="E951" t="s">
        <v>1220</v>
      </c>
      <c r="F951" t="s">
        <v>1225</v>
      </c>
      <c r="G951" s="6">
        <v>6</v>
      </c>
      <c r="H951">
        <v>4340</v>
      </c>
      <c r="I951">
        <v>26040</v>
      </c>
      <c r="J951" s="2">
        <v>5357.18</v>
      </c>
      <c r="K951" s="16">
        <f>Table13[[#This Row],[Profit]]/Table13[[#This Row],[Sales]]</f>
        <v>0.2057288786482335</v>
      </c>
      <c r="L951" s="17" t="str">
        <f t="shared" si="98"/>
        <v>High</v>
      </c>
      <c r="M951" s="17" t="str">
        <f t="shared" si="99"/>
        <v>Feb</v>
      </c>
      <c r="N951" s="18">
        <f>YEAR(Table13[[#This Row],[Order_Date]])</f>
        <v>2023</v>
      </c>
      <c r="O951" s="18">
        <f>Table13[[#This Row],[Price]]*0.7</f>
        <v>3038</v>
      </c>
      <c r="P951" s="18">
        <f t="shared" si="100"/>
        <v>7812</v>
      </c>
      <c r="Q951" s="18">
        <f t="shared" si="101"/>
        <v>0.1</v>
      </c>
      <c r="R951" s="18">
        <f t="shared" si="102"/>
        <v>20682.82</v>
      </c>
      <c r="S951" s="18" t="str">
        <f>IF(Table13[[#This Row],[Quantity]]&lt;=3,"Small",IF(Table13[[#This Row],[Quantity]]&lt;=6,"Medium","Bulk"))</f>
        <v>Medium</v>
      </c>
      <c r="T951" s="18" t="str">
        <f t="shared" si="103"/>
        <v>Normal</v>
      </c>
      <c r="U951" s="18" t="str">
        <f t="shared" si="104"/>
        <v>High Value</v>
      </c>
    </row>
    <row r="952" spans="1:21" x14ac:dyDescent="0.3">
      <c r="A952" t="s">
        <v>960</v>
      </c>
      <c r="B952" s="1">
        <v>44977</v>
      </c>
      <c r="C952" t="s">
        <v>1210</v>
      </c>
      <c r="D952" t="s">
        <v>1215</v>
      </c>
      <c r="E952" t="s">
        <v>1222</v>
      </c>
      <c r="F952" t="s">
        <v>1230</v>
      </c>
      <c r="G952" s="6">
        <v>3</v>
      </c>
      <c r="H952">
        <v>2461</v>
      </c>
      <c r="I952">
        <v>7383</v>
      </c>
      <c r="J952" s="2">
        <v>1440.53</v>
      </c>
      <c r="K952" s="16">
        <f>Table13[[#This Row],[Profit]]/Table13[[#This Row],[Sales]]</f>
        <v>0.19511445211973452</v>
      </c>
      <c r="L952" s="17" t="str">
        <f t="shared" si="98"/>
        <v>Low</v>
      </c>
      <c r="M952" s="17" t="str">
        <f t="shared" si="99"/>
        <v>Feb</v>
      </c>
      <c r="N952" s="18">
        <f>YEAR(Table13[[#This Row],[Order_Date]])</f>
        <v>2023</v>
      </c>
      <c r="O952" s="18">
        <f>Table13[[#This Row],[Price]]*0.7</f>
        <v>1722.6999999999998</v>
      </c>
      <c r="P952" s="18">
        <f t="shared" si="100"/>
        <v>2214.9000000000005</v>
      </c>
      <c r="Q952" s="18">
        <f t="shared" si="101"/>
        <v>0.05</v>
      </c>
      <c r="R952" s="18">
        <f t="shared" si="102"/>
        <v>5942.47</v>
      </c>
      <c r="S952" s="18" t="str">
        <f>IF(Table13[[#This Row],[Quantity]]&lt;=3,"Small",IF(Table13[[#This Row],[Quantity]]&lt;=6,"Medium","Bulk"))</f>
        <v>Small</v>
      </c>
      <c r="T952" s="18" t="str">
        <f t="shared" si="103"/>
        <v>Normal</v>
      </c>
      <c r="U952" s="18" t="str">
        <f t="shared" si="104"/>
        <v>low Value</v>
      </c>
    </row>
    <row r="953" spans="1:21" x14ac:dyDescent="0.3">
      <c r="A953" t="s">
        <v>961</v>
      </c>
      <c r="B953" s="1">
        <v>44930</v>
      </c>
      <c r="C953" t="s">
        <v>1211</v>
      </c>
      <c r="D953" t="s">
        <v>1218</v>
      </c>
      <c r="E953" t="s">
        <v>1221</v>
      </c>
      <c r="F953" t="s">
        <v>1231</v>
      </c>
      <c r="G953" s="6">
        <v>1</v>
      </c>
      <c r="H953">
        <v>1492</v>
      </c>
      <c r="I953">
        <v>1492</v>
      </c>
      <c r="J953" s="2">
        <v>257.54000000000002</v>
      </c>
      <c r="K953" s="16">
        <f>Table13[[#This Row],[Profit]]/Table13[[#This Row],[Sales]]</f>
        <v>0.17261394101876676</v>
      </c>
      <c r="L953" s="17" t="str">
        <f t="shared" si="98"/>
        <v>Low</v>
      </c>
      <c r="M953" s="17" t="str">
        <f t="shared" si="99"/>
        <v>Jan</v>
      </c>
      <c r="N953" s="18">
        <f>YEAR(Table13[[#This Row],[Order_Date]])</f>
        <v>2023</v>
      </c>
      <c r="O953" s="18">
        <f>Table13[[#This Row],[Price]]*0.7</f>
        <v>1044.3999999999999</v>
      </c>
      <c r="P953" s="18">
        <f t="shared" si="100"/>
        <v>447.60000000000014</v>
      </c>
      <c r="Q953" s="18">
        <f t="shared" si="101"/>
        <v>0.05</v>
      </c>
      <c r="R953" s="18">
        <f t="shared" si="102"/>
        <v>1234.4599999999998</v>
      </c>
      <c r="S953" s="18" t="str">
        <f>IF(Table13[[#This Row],[Quantity]]&lt;=3,"Small",IF(Table13[[#This Row],[Quantity]]&lt;=6,"Medium","Bulk"))</f>
        <v>Small</v>
      </c>
      <c r="T953" s="18" t="str">
        <f t="shared" si="103"/>
        <v>Normal</v>
      </c>
      <c r="U953" s="18" t="str">
        <f t="shared" si="104"/>
        <v>low Value</v>
      </c>
    </row>
    <row r="954" spans="1:21" x14ac:dyDescent="0.3">
      <c r="A954" t="s">
        <v>962</v>
      </c>
      <c r="B954" s="1">
        <v>45145</v>
      </c>
      <c r="C954" t="s">
        <v>1212</v>
      </c>
      <c r="D954" t="s">
        <v>1214</v>
      </c>
      <c r="E954" t="s">
        <v>1221</v>
      </c>
      <c r="F954" t="s">
        <v>1229</v>
      </c>
      <c r="G954" s="6">
        <v>3</v>
      </c>
      <c r="H954">
        <v>524</v>
      </c>
      <c r="I954">
        <v>1572</v>
      </c>
      <c r="J954" s="2">
        <v>318.82</v>
      </c>
      <c r="K954" s="16">
        <f>Table13[[#This Row],[Profit]]/Table13[[#This Row],[Sales]]</f>
        <v>0.20281170483460559</v>
      </c>
      <c r="L954" s="17" t="str">
        <f t="shared" si="98"/>
        <v>Low</v>
      </c>
      <c r="M954" s="17" t="str">
        <f t="shared" si="99"/>
        <v>Aug</v>
      </c>
      <c r="N954" s="18">
        <f>YEAR(Table13[[#This Row],[Order_Date]])</f>
        <v>2023</v>
      </c>
      <c r="O954" s="18">
        <f>Table13[[#This Row],[Price]]*0.7</f>
        <v>366.79999999999995</v>
      </c>
      <c r="P954" s="18">
        <f t="shared" si="100"/>
        <v>471.60000000000014</v>
      </c>
      <c r="Q954" s="18">
        <f t="shared" si="101"/>
        <v>0.05</v>
      </c>
      <c r="R954" s="18">
        <f t="shared" si="102"/>
        <v>1253.1799999999998</v>
      </c>
      <c r="S954" s="18" t="str">
        <f>IF(Table13[[#This Row],[Quantity]]&lt;=3,"Small",IF(Table13[[#This Row],[Quantity]]&lt;=6,"Medium","Bulk"))</f>
        <v>Small</v>
      </c>
      <c r="T954" s="18" t="str">
        <f t="shared" si="103"/>
        <v>High Demand</v>
      </c>
      <c r="U954" s="18" t="str">
        <f t="shared" si="104"/>
        <v>low Value</v>
      </c>
    </row>
    <row r="955" spans="1:21" x14ac:dyDescent="0.3">
      <c r="A955" t="s">
        <v>963</v>
      </c>
      <c r="B955" s="1">
        <v>45185</v>
      </c>
      <c r="C955" t="s">
        <v>1213</v>
      </c>
      <c r="D955" t="s">
        <v>1218</v>
      </c>
      <c r="E955" t="s">
        <v>1222</v>
      </c>
      <c r="F955" t="s">
        <v>1236</v>
      </c>
      <c r="G955" s="6">
        <v>6</v>
      </c>
      <c r="H955">
        <v>3787</v>
      </c>
      <c r="I955">
        <v>22722</v>
      </c>
      <c r="J955" s="2">
        <v>5184.47</v>
      </c>
      <c r="K955" s="16">
        <f>Table13[[#This Row],[Profit]]/Table13[[#This Row],[Sales]]</f>
        <v>0.22816961535076138</v>
      </c>
      <c r="L955" s="17" t="str">
        <f t="shared" si="98"/>
        <v>High</v>
      </c>
      <c r="M955" s="17" t="str">
        <f t="shared" si="99"/>
        <v>Sep</v>
      </c>
      <c r="N955" s="18">
        <f>YEAR(Table13[[#This Row],[Order_Date]])</f>
        <v>2023</v>
      </c>
      <c r="O955" s="18">
        <f>Table13[[#This Row],[Price]]*0.7</f>
        <v>2650.8999999999996</v>
      </c>
      <c r="P955" s="18">
        <f t="shared" si="100"/>
        <v>6816.6000000000022</v>
      </c>
      <c r="Q955" s="18">
        <f t="shared" si="101"/>
        <v>0.1</v>
      </c>
      <c r="R955" s="18">
        <f t="shared" si="102"/>
        <v>17537.53</v>
      </c>
      <c r="S955" s="18" t="str">
        <f>IF(Table13[[#This Row],[Quantity]]&lt;=3,"Small",IF(Table13[[#This Row],[Quantity]]&lt;=6,"Medium","Bulk"))</f>
        <v>Medium</v>
      </c>
      <c r="T955" s="18" t="str">
        <f t="shared" si="103"/>
        <v>Normal</v>
      </c>
      <c r="U955" s="18" t="str">
        <f t="shared" si="104"/>
        <v>High Value</v>
      </c>
    </row>
    <row r="956" spans="1:21" x14ac:dyDescent="0.3">
      <c r="A956" t="s">
        <v>964</v>
      </c>
      <c r="B956" s="1">
        <v>45222</v>
      </c>
      <c r="C956" t="s">
        <v>1212</v>
      </c>
      <c r="D956" t="s">
        <v>1216</v>
      </c>
      <c r="E956" t="s">
        <v>1222</v>
      </c>
      <c r="F956" t="s">
        <v>1236</v>
      </c>
      <c r="G956" s="6">
        <v>6</v>
      </c>
      <c r="H956">
        <v>1702</v>
      </c>
      <c r="I956">
        <v>10212</v>
      </c>
      <c r="J956" s="2">
        <v>1281.8599999999999</v>
      </c>
      <c r="K956" s="16">
        <f>Table13[[#This Row],[Profit]]/Table13[[#This Row],[Sales]]</f>
        <v>0.12552487269878573</v>
      </c>
      <c r="L956" s="17" t="str">
        <f t="shared" si="98"/>
        <v>Medium</v>
      </c>
      <c r="M956" s="17" t="str">
        <f t="shared" si="99"/>
        <v>Oct</v>
      </c>
      <c r="N956" s="18">
        <f>YEAR(Table13[[#This Row],[Order_Date]])</f>
        <v>2023</v>
      </c>
      <c r="O956" s="18">
        <f>Table13[[#This Row],[Price]]*0.7</f>
        <v>1191.3999999999999</v>
      </c>
      <c r="P956" s="18">
        <f t="shared" si="100"/>
        <v>3063.6000000000004</v>
      </c>
      <c r="Q956" s="18">
        <f t="shared" si="101"/>
        <v>0.1</v>
      </c>
      <c r="R956" s="18">
        <f t="shared" si="102"/>
        <v>8930.14</v>
      </c>
      <c r="S956" s="18" t="str">
        <f>IF(Table13[[#This Row],[Quantity]]&lt;=3,"Small",IF(Table13[[#This Row],[Quantity]]&lt;=6,"Medium","Bulk"))</f>
        <v>Medium</v>
      </c>
      <c r="T956" s="18" t="str">
        <f t="shared" si="103"/>
        <v>High Demand</v>
      </c>
      <c r="U956" s="18" t="str">
        <f t="shared" si="104"/>
        <v>Medium Value</v>
      </c>
    </row>
    <row r="957" spans="1:21" x14ac:dyDescent="0.3">
      <c r="A957" t="s">
        <v>965</v>
      </c>
      <c r="B957" s="1">
        <v>45263</v>
      </c>
      <c r="C957" t="s">
        <v>1212</v>
      </c>
      <c r="D957" t="s">
        <v>1217</v>
      </c>
      <c r="E957" t="s">
        <v>1220</v>
      </c>
      <c r="F957" t="s">
        <v>1225</v>
      </c>
      <c r="G957" s="6">
        <v>6</v>
      </c>
      <c r="H957">
        <v>1967</v>
      </c>
      <c r="I957">
        <v>11802</v>
      </c>
      <c r="J957" s="2">
        <v>1410.44</v>
      </c>
      <c r="K957" s="16">
        <f>Table13[[#This Row],[Profit]]/Table13[[#This Row],[Sales]]</f>
        <v>0.1195085578715472</v>
      </c>
      <c r="L957" s="17" t="str">
        <f t="shared" si="98"/>
        <v>Medium</v>
      </c>
      <c r="M957" s="17" t="str">
        <f t="shared" si="99"/>
        <v>Dec</v>
      </c>
      <c r="N957" s="18">
        <f>YEAR(Table13[[#This Row],[Order_Date]])</f>
        <v>2023</v>
      </c>
      <c r="O957" s="18">
        <f>Table13[[#This Row],[Price]]*0.7</f>
        <v>1376.8999999999999</v>
      </c>
      <c r="P957" s="18">
        <f t="shared" si="100"/>
        <v>3540.6000000000004</v>
      </c>
      <c r="Q957" s="18">
        <f t="shared" si="101"/>
        <v>0.1</v>
      </c>
      <c r="R957" s="18">
        <f t="shared" si="102"/>
        <v>10391.56</v>
      </c>
      <c r="S957" s="18" t="str">
        <f>IF(Table13[[#This Row],[Quantity]]&lt;=3,"Small",IF(Table13[[#This Row],[Quantity]]&lt;=6,"Medium","Bulk"))</f>
        <v>Medium</v>
      </c>
      <c r="T957" s="18" t="str">
        <f t="shared" si="103"/>
        <v>High Demand</v>
      </c>
      <c r="U957" s="18" t="str">
        <f t="shared" si="104"/>
        <v>Medium Value</v>
      </c>
    </row>
    <row r="958" spans="1:21" x14ac:dyDescent="0.3">
      <c r="A958" t="s">
        <v>966</v>
      </c>
      <c r="B958" s="1">
        <v>45097</v>
      </c>
      <c r="C958" t="s">
        <v>1210</v>
      </c>
      <c r="D958" t="s">
        <v>1217</v>
      </c>
      <c r="E958" t="s">
        <v>1222</v>
      </c>
      <c r="F958" t="s">
        <v>1234</v>
      </c>
      <c r="G958" s="6">
        <v>4</v>
      </c>
      <c r="H958">
        <v>265</v>
      </c>
      <c r="I958">
        <v>1060</v>
      </c>
      <c r="J958" s="2">
        <v>144.15</v>
      </c>
      <c r="K958" s="16">
        <f>Table13[[#This Row],[Profit]]/Table13[[#This Row],[Sales]]</f>
        <v>0.13599056603773585</v>
      </c>
      <c r="L958" s="17" t="str">
        <f t="shared" si="98"/>
        <v>Low</v>
      </c>
      <c r="M958" s="17" t="str">
        <f t="shared" si="99"/>
        <v>Jun</v>
      </c>
      <c r="N958" s="18">
        <f>YEAR(Table13[[#This Row],[Order_Date]])</f>
        <v>2023</v>
      </c>
      <c r="O958" s="18">
        <f>Table13[[#This Row],[Price]]*0.7</f>
        <v>185.5</v>
      </c>
      <c r="P958" s="18">
        <f t="shared" si="100"/>
        <v>318</v>
      </c>
      <c r="Q958" s="18">
        <f t="shared" si="101"/>
        <v>0.05</v>
      </c>
      <c r="R958" s="18">
        <f t="shared" si="102"/>
        <v>915.85</v>
      </c>
      <c r="S958" s="18" t="str">
        <f>IF(Table13[[#This Row],[Quantity]]&lt;=3,"Small",IF(Table13[[#This Row],[Quantity]]&lt;=6,"Medium","Bulk"))</f>
        <v>Medium</v>
      </c>
      <c r="T958" s="18" t="str">
        <f t="shared" si="103"/>
        <v>Normal</v>
      </c>
      <c r="U958" s="18" t="str">
        <f t="shared" si="104"/>
        <v>low Value</v>
      </c>
    </row>
    <row r="959" spans="1:21" x14ac:dyDescent="0.3">
      <c r="A959" t="s">
        <v>967</v>
      </c>
      <c r="B959" s="1">
        <v>45142</v>
      </c>
      <c r="C959" t="s">
        <v>1212</v>
      </c>
      <c r="D959" t="s">
        <v>1216</v>
      </c>
      <c r="E959" t="s">
        <v>1220</v>
      </c>
      <c r="F959" t="s">
        <v>1237</v>
      </c>
      <c r="G959" s="6">
        <v>7</v>
      </c>
      <c r="H959">
        <v>1034</v>
      </c>
      <c r="I959">
        <v>7238</v>
      </c>
      <c r="J959" s="2">
        <v>940.69</v>
      </c>
      <c r="K959" s="16">
        <f>Table13[[#This Row],[Profit]]/Table13[[#This Row],[Sales]]</f>
        <v>0.12996546007184306</v>
      </c>
      <c r="L959" s="17" t="str">
        <f t="shared" si="98"/>
        <v>Low</v>
      </c>
      <c r="M959" s="17" t="str">
        <f t="shared" si="99"/>
        <v>Aug</v>
      </c>
      <c r="N959" s="18">
        <f>YEAR(Table13[[#This Row],[Order_Date]])</f>
        <v>2023</v>
      </c>
      <c r="O959" s="18">
        <f>Table13[[#This Row],[Price]]*0.7</f>
        <v>723.8</v>
      </c>
      <c r="P959" s="18">
        <f t="shared" si="100"/>
        <v>2171.4000000000005</v>
      </c>
      <c r="Q959" s="18">
        <f t="shared" si="101"/>
        <v>0.1</v>
      </c>
      <c r="R959" s="18">
        <f t="shared" si="102"/>
        <v>6297.3099999999995</v>
      </c>
      <c r="S959" s="18" t="str">
        <f>IF(Table13[[#This Row],[Quantity]]&lt;=3,"Small",IF(Table13[[#This Row],[Quantity]]&lt;=6,"Medium","Bulk"))</f>
        <v>Bulk</v>
      </c>
      <c r="T959" s="18" t="str">
        <f t="shared" si="103"/>
        <v>High Demand</v>
      </c>
      <c r="U959" s="18" t="str">
        <f t="shared" si="104"/>
        <v>low Value</v>
      </c>
    </row>
    <row r="960" spans="1:21" x14ac:dyDescent="0.3">
      <c r="A960" t="s">
        <v>968</v>
      </c>
      <c r="B960" s="1">
        <v>44939</v>
      </c>
      <c r="C960" t="s">
        <v>1213</v>
      </c>
      <c r="D960" t="s">
        <v>1217</v>
      </c>
      <c r="E960" t="s">
        <v>1219</v>
      </c>
      <c r="F960" t="s">
        <v>1238</v>
      </c>
      <c r="G960" s="6">
        <v>9</v>
      </c>
      <c r="H960">
        <v>2940</v>
      </c>
      <c r="I960">
        <v>26460</v>
      </c>
      <c r="J960" s="2">
        <v>4676.2</v>
      </c>
      <c r="K960" s="16">
        <f>Table13[[#This Row],[Profit]]/Table13[[#This Row],[Sales]]</f>
        <v>0.17672713529856388</v>
      </c>
      <c r="L960" s="17" t="str">
        <f t="shared" si="98"/>
        <v>High</v>
      </c>
      <c r="M960" s="17" t="str">
        <f t="shared" si="99"/>
        <v>Jan</v>
      </c>
      <c r="N960" s="18">
        <f>YEAR(Table13[[#This Row],[Order_Date]])</f>
        <v>2023</v>
      </c>
      <c r="O960" s="18">
        <f>Table13[[#This Row],[Price]]*0.7</f>
        <v>2058</v>
      </c>
      <c r="P960" s="18">
        <f t="shared" si="100"/>
        <v>7938</v>
      </c>
      <c r="Q960" s="18">
        <f t="shared" si="101"/>
        <v>0.1</v>
      </c>
      <c r="R960" s="18">
        <f t="shared" si="102"/>
        <v>21783.8</v>
      </c>
      <c r="S960" s="18" t="str">
        <f>IF(Table13[[#This Row],[Quantity]]&lt;=3,"Small",IF(Table13[[#This Row],[Quantity]]&lt;=6,"Medium","Bulk"))</f>
        <v>Bulk</v>
      </c>
      <c r="T960" s="18" t="str">
        <f t="shared" si="103"/>
        <v>Normal</v>
      </c>
      <c r="U960" s="18" t="str">
        <f t="shared" si="104"/>
        <v>High Value</v>
      </c>
    </row>
    <row r="961" spans="1:21" x14ac:dyDescent="0.3">
      <c r="A961" t="s">
        <v>969</v>
      </c>
      <c r="B961" s="1">
        <v>45099</v>
      </c>
      <c r="C961" t="s">
        <v>1210</v>
      </c>
      <c r="D961" t="s">
        <v>1214</v>
      </c>
      <c r="E961" t="s">
        <v>1222</v>
      </c>
      <c r="F961" t="s">
        <v>1234</v>
      </c>
      <c r="G961" s="6">
        <v>8</v>
      </c>
      <c r="H961">
        <v>4157</v>
      </c>
      <c r="I961">
        <v>33256</v>
      </c>
      <c r="J961" s="2">
        <v>5873.2</v>
      </c>
      <c r="K961" s="16">
        <f>Table13[[#This Row],[Profit]]/Table13[[#This Row],[Sales]]</f>
        <v>0.17660572528265575</v>
      </c>
      <c r="L961" s="17" t="str">
        <f t="shared" si="98"/>
        <v>High</v>
      </c>
      <c r="M961" s="17" t="str">
        <f t="shared" si="99"/>
        <v>Jun</v>
      </c>
      <c r="N961" s="18">
        <f>YEAR(Table13[[#This Row],[Order_Date]])</f>
        <v>2023</v>
      </c>
      <c r="O961" s="18">
        <f>Table13[[#This Row],[Price]]*0.7</f>
        <v>2909.8999999999996</v>
      </c>
      <c r="P961" s="18">
        <f t="shared" si="100"/>
        <v>9976.8000000000029</v>
      </c>
      <c r="Q961" s="18">
        <f t="shared" si="101"/>
        <v>0.1</v>
      </c>
      <c r="R961" s="18">
        <f t="shared" si="102"/>
        <v>27382.800000000003</v>
      </c>
      <c r="S961" s="18" t="str">
        <f>IF(Table13[[#This Row],[Quantity]]&lt;=3,"Small",IF(Table13[[#This Row],[Quantity]]&lt;=6,"Medium","Bulk"))</f>
        <v>Bulk</v>
      </c>
      <c r="T961" s="18" t="str">
        <f t="shared" si="103"/>
        <v>Normal</v>
      </c>
      <c r="U961" s="18" t="str">
        <f t="shared" si="104"/>
        <v>High Value</v>
      </c>
    </row>
    <row r="962" spans="1:21" x14ac:dyDescent="0.3">
      <c r="A962" t="s">
        <v>970</v>
      </c>
      <c r="B962" s="1">
        <v>45288</v>
      </c>
      <c r="C962" t="s">
        <v>1213</v>
      </c>
      <c r="D962" t="s">
        <v>1217</v>
      </c>
      <c r="E962" t="s">
        <v>1221</v>
      </c>
      <c r="F962" t="s">
        <v>1231</v>
      </c>
      <c r="G962" s="6">
        <v>7</v>
      </c>
      <c r="H962">
        <v>2364</v>
      </c>
      <c r="I962">
        <v>16548</v>
      </c>
      <c r="J962" s="2">
        <v>2925.39</v>
      </c>
      <c r="K962" s="16">
        <f>Table13[[#This Row],[Profit]]/Table13[[#This Row],[Sales]]</f>
        <v>0.17678208846990573</v>
      </c>
      <c r="L962" s="17" t="str">
        <f t="shared" ref="L962:L1025" si="105">IF(I962&gt;20000,"High",IF(I962&gt;10000,"Medium","Low"))</f>
        <v>Medium</v>
      </c>
      <c r="M962" s="17" t="str">
        <f t="shared" ref="M962:M1025" si="106">TEXT(B962,"mmm")</f>
        <v>Dec</v>
      </c>
      <c r="N962" s="18">
        <f>YEAR(Table13[[#This Row],[Order_Date]])</f>
        <v>2023</v>
      </c>
      <c r="O962" s="18">
        <f>Table13[[#This Row],[Price]]*0.7</f>
        <v>1654.8</v>
      </c>
      <c r="P962" s="18">
        <f t="shared" ref="P962:P1025" si="107">I962 - (G962 *O962)</f>
        <v>4964.3999999999996</v>
      </c>
      <c r="Q962" s="18">
        <f t="shared" ref="Q962:Q1025" si="108">IF(G962&gt;5,0.1,0.05)</f>
        <v>0.1</v>
      </c>
      <c r="R962" s="18">
        <f t="shared" ref="R962:R1025" si="109">I962*(1-K962)</f>
        <v>13622.61</v>
      </c>
      <c r="S962" s="18" t="str">
        <f>IF(Table13[[#This Row],[Quantity]]&lt;=3,"Small",IF(Table13[[#This Row],[Quantity]]&lt;=6,"Medium","Bulk"))</f>
        <v>Bulk</v>
      </c>
      <c r="T962" s="18" t="str">
        <f t="shared" ref="T962:T1025" si="110">IF(C962="North","High Demand","Normal")</f>
        <v>Normal</v>
      </c>
      <c r="U962" s="18" t="str">
        <f t="shared" ref="U962:U1025" si="111">IF(I962&gt;20000,"High Value",IF(I962&gt;10000,"Medium Value","low Value"))</f>
        <v>Medium Value</v>
      </c>
    </row>
    <row r="963" spans="1:21" x14ac:dyDescent="0.3">
      <c r="A963" t="s">
        <v>971</v>
      </c>
      <c r="B963" s="1">
        <v>45223</v>
      </c>
      <c r="C963" t="s">
        <v>1210</v>
      </c>
      <c r="D963" t="s">
        <v>1216</v>
      </c>
      <c r="E963" t="s">
        <v>1219</v>
      </c>
      <c r="F963" t="s">
        <v>1223</v>
      </c>
      <c r="G963" s="6">
        <v>7</v>
      </c>
      <c r="H963">
        <v>4276</v>
      </c>
      <c r="I963">
        <v>29932</v>
      </c>
      <c r="J963" s="2">
        <v>3973.17</v>
      </c>
      <c r="K963" s="16">
        <f>Table13[[#This Row],[Profit]]/Table13[[#This Row],[Sales]]</f>
        <v>0.13273987705465723</v>
      </c>
      <c r="L963" s="17" t="str">
        <f t="shared" si="105"/>
        <v>High</v>
      </c>
      <c r="M963" s="17" t="str">
        <f t="shared" si="106"/>
        <v>Oct</v>
      </c>
      <c r="N963" s="18">
        <f>YEAR(Table13[[#This Row],[Order_Date]])</f>
        <v>2023</v>
      </c>
      <c r="O963" s="18">
        <f>Table13[[#This Row],[Price]]*0.7</f>
        <v>2993.2</v>
      </c>
      <c r="P963" s="18">
        <f t="shared" si="107"/>
        <v>8979.6000000000022</v>
      </c>
      <c r="Q963" s="18">
        <f t="shared" si="108"/>
        <v>0.1</v>
      </c>
      <c r="R963" s="18">
        <f t="shared" si="109"/>
        <v>25958.829999999998</v>
      </c>
      <c r="S963" s="18" t="str">
        <f>IF(Table13[[#This Row],[Quantity]]&lt;=3,"Small",IF(Table13[[#This Row],[Quantity]]&lt;=6,"Medium","Bulk"))</f>
        <v>Bulk</v>
      </c>
      <c r="T963" s="18" t="str">
        <f t="shared" si="110"/>
        <v>Normal</v>
      </c>
      <c r="U963" s="18" t="str">
        <f t="shared" si="111"/>
        <v>High Value</v>
      </c>
    </row>
    <row r="964" spans="1:21" x14ac:dyDescent="0.3">
      <c r="A964" t="s">
        <v>972</v>
      </c>
      <c r="B964" s="1">
        <v>44971</v>
      </c>
      <c r="C964" t="s">
        <v>1210</v>
      </c>
      <c r="D964" t="s">
        <v>1215</v>
      </c>
      <c r="E964" t="s">
        <v>1222</v>
      </c>
      <c r="F964" t="s">
        <v>1230</v>
      </c>
      <c r="G964" s="6">
        <v>2</v>
      </c>
      <c r="H964">
        <v>2958</v>
      </c>
      <c r="I964">
        <v>5916</v>
      </c>
      <c r="J964" s="2">
        <v>772.94</v>
      </c>
      <c r="K964" s="16">
        <f>Table13[[#This Row],[Profit]]/Table13[[#This Row],[Sales]]</f>
        <v>0.13065246788370521</v>
      </c>
      <c r="L964" s="17" t="str">
        <f t="shared" si="105"/>
        <v>Low</v>
      </c>
      <c r="M964" s="17" t="str">
        <f t="shared" si="106"/>
        <v>Feb</v>
      </c>
      <c r="N964" s="18">
        <f>YEAR(Table13[[#This Row],[Order_Date]])</f>
        <v>2023</v>
      </c>
      <c r="O964" s="18">
        <f>Table13[[#This Row],[Price]]*0.7</f>
        <v>2070.6</v>
      </c>
      <c r="P964" s="18">
        <f t="shared" si="107"/>
        <v>1774.8000000000002</v>
      </c>
      <c r="Q964" s="18">
        <f t="shared" si="108"/>
        <v>0.05</v>
      </c>
      <c r="R964" s="18">
        <f t="shared" si="109"/>
        <v>5143.0600000000004</v>
      </c>
      <c r="S964" s="18" t="str">
        <f>IF(Table13[[#This Row],[Quantity]]&lt;=3,"Small",IF(Table13[[#This Row],[Quantity]]&lt;=6,"Medium","Bulk"))</f>
        <v>Small</v>
      </c>
      <c r="T964" s="18" t="str">
        <f t="shared" si="110"/>
        <v>Normal</v>
      </c>
      <c r="U964" s="18" t="str">
        <f t="shared" si="111"/>
        <v>low Value</v>
      </c>
    </row>
    <row r="965" spans="1:21" x14ac:dyDescent="0.3">
      <c r="A965" t="s">
        <v>973</v>
      </c>
      <c r="B965" s="1">
        <v>45140</v>
      </c>
      <c r="C965" t="s">
        <v>1213</v>
      </c>
      <c r="D965" t="s">
        <v>1218</v>
      </c>
      <c r="E965" t="s">
        <v>1219</v>
      </c>
      <c r="F965" t="s">
        <v>1238</v>
      </c>
      <c r="G965" s="6">
        <v>6</v>
      </c>
      <c r="H965">
        <v>1389</v>
      </c>
      <c r="I965">
        <v>8334</v>
      </c>
      <c r="J965" s="2">
        <v>1811.42</v>
      </c>
      <c r="K965" s="16">
        <f>Table13[[#This Row],[Profit]]/Table13[[#This Row],[Sales]]</f>
        <v>0.21735301175905927</v>
      </c>
      <c r="L965" s="17" t="str">
        <f t="shared" si="105"/>
        <v>Low</v>
      </c>
      <c r="M965" s="17" t="str">
        <f t="shared" si="106"/>
        <v>Aug</v>
      </c>
      <c r="N965" s="18">
        <f>YEAR(Table13[[#This Row],[Order_Date]])</f>
        <v>2023</v>
      </c>
      <c r="O965" s="18">
        <f>Table13[[#This Row],[Price]]*0.7</f>
        <v>972.3</v>
      </c>
      <c r="P965" s="18">
        <f t="shared" si="107"/>
        <v>2500.2000000000007</v>
      </c>
      <c r="Q965" s="18">
        <f t="shared" si="108"/>
        <v>0.1</v>
      </c>
      <c r="R965" s="18">
        <f t="shared" si="109"/>
        <v>6522.58</v>
      </c>
      <c r="S965" s="18" t="str">
        <f>IF(Table13[[#This Row],[Quantity]]&lt;=3,"Small",IF(Table13[[#This Row],[Quantity]]&lt;=6,"Medium","Bulk"))</f>
        <v>Medium</v>
      </c>
      <c r="T965" s="18" t="str">
        <f t="shared" si="110"/>
        <v>Normal</v>
      </c>
      <c r="U965" s="18" t="str">
        <f t="shared" si="111"/>
        <v>low Value</v>
      </c>
    </row>
    <row r="966" spans="1:21" x14ac:dyDescent="0.3">
      <c r="A966" t="s">
        <v>974</v>
      </c>
      <c r="B966" s="1">
        <v>44975</v>
      </c>
      <c r="C966" t="s">
        <v>1213</v>
      </c>
      <c r="D966" t="s">
        <v>1218</v>
      </c>
      <c r="E966" t="s">
        <v>1219</v>
      </c>
      <c r="F966" t="s">
        <v>1223</v>
      </c>
      <c r="G966" s="6">
        <v>1</v>
      </c>
      <c r="H966">
        <v>4132</v>
      </c>
      <c r="I966">
        <v>4132</v>
      </c>
      <c r="J966" s="2">
        <v>681.46</v>
      </c>
      <c r="K966" s="16">
        <f>Table13[[#This Row],[Profit]]/Table13[[#This Row],[Sales]]</f>
        <v>0.16492255566311714</v>
      </c>
      <c r="L966" s="17" t="str">
        <f t="shared" si="105"/>
        <v>Low</v>
      </c>
      <c r="M966" s="17" t="str">
        <f t="shared" si="106"/>
        <v>Feb</v>
      </c>
      <c r="N966" s="18">
        <f>YEAR(Table13[[#This Row],[Order_Date]])</f>
        <v>2023</v>
      </c>
      <c r="O966" s="18">
        <f>Table13[[#This Row],[Price]]*0.7</f>
        <v>2892.3999999999996</v>
      </c>
      <c r="P966" s="18">
        <f t="shared" si="107"/>
        <v>1239.6000000000004</v>
      </c>
      <c r="Q966" s="18">
        <f t="shared" si="108"/>
        <v>0.05</v>
      </c>
      <c r="R966" s="18">
        <f t="shared" si="109"/>
        <v>3450.5400000000004</v>
      </c>
      <c r="S966" s="18" t="str">
        <f>IF(Table13[[#This Row],[Quantity]]&lt;=3,"Small",IF(Table13[[#This Row],[Quantity]]&lt;=6,"Medium","Bulk"))</f>
        <v>Small</v>
      </c>
      <c r="T966" s="18" t="str">
        <f t="shared" si="110"/>
        <v>Normal</v>
      </c>
      <c r="U966" s="18" t="str">
        <f t="shared" si="111"/>
        <v>low Value</v>
      </c>
    </row>
    <row r="967" spans="1:21" x14ac:dyDescent="0.3">
      <c r="A967" t="s">
        <v>975</v>
      </c>
      <c r="B967" s="1">
        <v>45219</v>
      </c>
      <c r="C967" t="s">
        <v>1211</v>
      </c>
      <c r="D967" t="s">
        <v>1214</v>
      </c>
      <c r="E967" t="s">
        <v>1220</v>
      </c>
      <c r="F967" t="s">
        <v>1225</v>
      </c>
      <c r="G967" s="6">
        <v>5</v>
      </c>
      <c r="H967">
        <v>3246</v>
      </c>
      <c r="I967">
        <v>16230</v>
      </c>
      <c r="J967" s="2">
        <v>3571.2</v>
      </c>
      <c r="K967" s="16">
        <f>Table13[[#This Row],[Profit]]/Table13[[#This Row],[Sales]]</f>
        <v>0.22003696857670979</v>
      </c>
      <c r="L967" s="17" t="str">
        <f t="shared" si="105"/>
        <v>Medium</v>
      </c>
      <c r="M967" s="17" t="str">
        <f t="shared" si="106"/>
        <v>Oct</v>
      </c>
      <c r="N967" s="18">
        <f>YEAR(Table13[[#This Row],[Order_Date]])</f>
        <v>2023</v>
      </c>
      <c r="O967" s="18">
        <f>Table13[[#This Row],[Price]]*0.7</f>
        <v>2272.1999999999998</v>
      </c>
      <c r="P967" s="18">
        <f t="shared" si="107"/>
        <v>4869</v>
      </c>
      <c r="Q967" s="18">
        <f t="shared" si="108"/>
        <v>0.05</v>
      </c>
      <c r="R967" s="18">
        <f t="shared" si="109"/>
        <v>12658.8</v>
      </c>
      <c r="S967" s="18" t="str">
        <f>IF(Table13[[#This Row],[Quantity]]&lt;=3,"Small",IF(Table13[[#This Row],[Quantity]]&lt;=6,"Medium","Bulk"))</f>
        <v>Medium</v>
      </c>
      <c r="T967" s="18" t="str">
        <f t="shared" si="110"/>
        <v>Normal</v>
      </c>
      <c r="U967" s="18" t="str">
        <f t="shared" si="111"/>
        <v>Medium Value</v>
      </c>
    </row>
    <row r="968" spans="1:21" x14ac:dyDescent="0.3">
      <c r="A968" t="s">
        <v>976</v>
      </c>
      <c r="B968" s="1">
        <v>45236</v>
      </c>
      <c r="C968" t="s">
        <v>1211</v>
      </c>
      <c r="D968" t="s">
        <v>1214</v>
      </c>
      <c r="E968" t="s">
        <v>1219</v>
      </c>
      <c r="F968" t="s">
        <v>1223</v>
      </c>
      <c r="G968" s="6">
        <v>2</v>
      </c>
      <c r="H968">
        <v>286</v>
      </c>
      <c r="I968">
        <v>572</v>
      </c>
      <c r="J968" s="2">
        <v>61.64</v>
      </c>
      <c r="K968" s="16">
        <f>Table13[[#This Row],[Profit]]/Table13[[#This Row],[Sales]]</f>
        <v>0.10776223776223777</v>
      </c>
      <c r="L968" s="17" t="str">
        <f t="shared" si="105"/>
        <v>Low</v>
      </c>
      <c r="M968" s="17" t="str">
        <f t="shared" si="106"/>
        <v>Nov</v>
      </c>
      <c r="N968" s="18">
        <f>YEAR(Table13[[#This Row],[Order_Date]])</f>
        <v>2023</v>
      </c>
      <c r="O968" s="18">
        <f>Table13[[#This Row],[Price]]*0.7</f>
        <v>200.2</v>
      </c>
      <c r="P968" s="18">
        <f t="shared" si="107"/>
        <v>171.60000000000002</v>
      </c>
      <c r="Q968" s="18">
        <f t="shared" si="108"/>
        <v>0.05</v>
      </c>
      <c r="R968" s="18">
        <f t="shared" si="109"/>
        <v>510.35999999999996</v>
      </c>
      <c r="S968" s="18" t="str">
        <f>IF(Table13[[#This Row],[Quantity]]&lt;=3,"Small",IF(Table13[[#This Row],[Quantity]]&lt;=6,"Medium","Bulk"))</f>
        <v>Small</v>
      </c>
      <c r="T968" s="18" t="str">
        <f t="shared" si="110"/>
        <v>Normal</v>
      </c>
      <c r="U968" s="18" t="str">
        <f t="shared" si="111"/>
        <v>low Value</v>
      </c>
    </row>
    <row r="969" spans="1:21" x14ac:dyDescent="0.3">
      <c r="A969" t="s">
        <v>977</v>
      </c>
      <c r="B969" s="1">
        <v>45241</v>
      </c>
      <c r="C969" t="s">
        <v>1212</v>
      </c>
      <c r="D969" t="s">
        <v>1216</v>
      </c>
      <c r="E969" t="s">
        <v>1220</v>
      </c>
      <c r="F969" t="s">
        <v>1224</v>
      </c>
      <c r="G969" s="6">
        <v>2</v>
      </c>
      <c r="H969">
        <v>2597</v>
      </c>
      <c r="I969">
        <v>5194</v>
      </c>
      <c r="J969" s="2">
        <v>1004.41</v>
      </c>
      <c r="K969" s="16">
        <f>Table13[[#This Row],[Profit]]/Table13[[#This Row],[Sales]]</f>
        <v>0.19337889872930303</v>
      </c>
      <c r="L969" s="17" t="str">
        <f t="shared" si="105"/>
        <v>Low</v>
      </c>
      <c r="M969" s="17" t="str">
        <f t="shared" si="106"/>
        <v>Nov</v>
      </c>
      <c r="N969" s="18">
        <f>YEAR(Table13[[#This Row],[Order_Date]])</f>
        <v>2023</v>
      </c>
      <c r="O969" s="18">
        <f>Table13[[#This Row],[Price]]*0.7</f>
        <v>1817.8999999999999</v>
      </c>
      <c r="P969" s="18">
        <f t="shared" si="107"/>
        <v>1558.2000000000003</v>
      </c>
      <c r="Q969" s="18">
        <f t="shared" si="108"/>
        <v>0.05</v>
      </c>
      <c r="R969" s="18">
        <f t="shared" si="109"/>
        <v>4189.59</v>
      </c>
      <c r="S969" s="18" t="str">
        <f>IF(Table13[[#This Row],[Quantity]]&lt;=3,"Small",IF(Table13[[#This Row],[Quantity]]&lt;=6,"Medium","Bulk"))</f>
        <v>Small</v>
      </c>
      <c r="T969" s="18" t="str">
        <f t="shared" si="110"/>
        <v>High Demand</v>
      </c>
      <c r="U969" s="18" t="str">
        <f t="shared" si="111"/>
        <v>low Value</v>
      </c>
    </row>
    <row r="970" spans="1:21" x14ac:dyDescent="0.3">
      <c r="A970" t="s">
        <v>978</v>
      </c>
      <c r="B970" s="1">
        <v>45054</v>
      </c>
      <c r="C970" t="s">
        <v>1210</v>
      </c>
      <c r="D970" t="s">
        <v>1217</v>
      </c>
      <c r="E970" t="s">
        <v>1222</v>
      </c>
      <c r="F970" t="s">
        <v>1227</v>
      </c>
      <c r="G970" s="6">
        <v>4</v>
      </c>
      <c r="H970">
        <v>4133</v>
      </c>
      <c r="I970">
        <v>16532</v>
      </c>
      <c r="J970" s="2">
        <v>1638.45</v>
      </c>
      <c r="K970" s="16">
        <f>Table13[[#This Row],[Profit]]/Table13[[#This Row],[Sales]]</f>
        <v>9.9107790950883137E-2</v>
      </c>
      <c r="L970" s="17" t="str">
        <f t="shared" si="105"/>
        <v>Medium</v>
      </c>
      <c r="M970" s="17" t="str">
        <f t="shared" si="106"/>
        <v>May</v>
      </c>
      <c r="N970" s="18">
        <f>YEAR(Table13[[#This Row],[Order_Date]])</f>
        <v>2023</v>
      </c>
      <c r="O970" s="18">
        <f>Table13[[#This Row],[Price]]*0.7</f>
        <v>2893.1</v>
      </c>
      <c r="P970" s="18">
        <f t="shared" si="107"/>
        <v>4959.6000000000004</v>
      </c>
      <c r="Q970" s="18">
        <f t="shared" si="108"/>
        <v>0.05</v>
      </c>
      <c r="R970" s="18">
        <f t="shared" si="109"/>
        <v>14893.55</v>
      </c>
      <c r="S970" s="18" t="str">
        <f>IF(Table13[[#This Row],[Quantity]]&lt;=3,"Small",IF(Table13[[#This Row],[Quantity]]&lt;=6,"Medium","Bulk"))</f>
        <v>Medium</v>
      </c>
      <c r="T970" s="18" t="str">
        <f t="shared" si="110"/>
        <v>Normal</v>
      </c>
      <c r="U970" s="18" t="str">
        <f t="shared" si="111"/>
        <v>Medium Value</v>
      </c>
    </row>
    <row r="971" spans="1:21" x14ac:dyDescent="0.3">
      <c r="A971" t="s">
        <v>979</v>
      </c>
      <c r="B971" s="1">
        <v>45152</v>
      </c>
      <c r="C971" t="s">
        <v>1212</v>
      </c>
      <c r="D971" t="s">
        <v>1217</v>
      </c>
      <c r="E971" t="s">
        <v>1219</v>
      </c>
      <c r="F971" t="s">
        <v>1232</v>
      </c>
      <c r="G971" s="6">
        <v>6</v>
      </c>
      <c r="H971">
        <v>2700</v>
      </c>
      <c r="I971">
        <v>16200</v>
      </c>
      <c r="J971" s="2">
        <v>3892.97</v>
      </c>
      <c r="K971" s="16">
        <f>Table13[[#This Row],[Profit]]/Table13[[#This Row],[Sales]]</f>
        <v>0.24030679012345676</v>
      </c>
      <c r="L971" s="17" t="str">
        <f t="shared" si="105"/>
        <v>Medium</v>
      </c>
      <c r="M971" s="17" t="str">
        <f t="shared" si="106"/>
        <v>Aug</v>
      </c>
      <c r="N971" s="18">
        <f>YEAR(Table13[[#This Row],[Order_Date]])</f>
        <v>2023</v>
      </c>
      <c r="O971" s="18">
        <f>Table13[[#This Row],[Price]]*0.7</f>
        <v>1889.9999999999998</v>
      </c>
      <c r="P971" s="18">
        <f t="shared" si="107"/>
        <v>4860.0000000000018</v>
      </c>
      <c r="Q971" s="18">
        <f t="shared" si="108"/>
        <v>0.1</v>
      </c>
      <c r="R971" s="18">
        <f t="shared" si="109"/>
        <v>12307.03</v>
      </c>
      <c r="S971" s="18" t="str">
        <f>IF(Table13[[#This Row],[Quantity]]&lt;=3,"Small",IF(Table13[[#This Row],[Quantity]]&lt;=6,"Medium","Bulk"))</f>
        <v>Medium</v>
      </c>
      <c r="T971" s="18" t="str">
        <f t="shared" si="110"/>
        <v>High Demand</v>
      </c>
      <c r="U971" s="18" t="str">
        <f t="shared" si="111"/>
        <v>Medium Value</v>
      </c>
    </row>
    <row r="972" spans="1:21" x14ac:dyDescent="0.3">
      <c r="A972" t="s">
        <v>980</v>
      </c>
      <c r="B972" s="1">
        <v>45108</v>
      </c>
      <c r="C972" t="s">
        <v>1212</v>
      </c>
      <c r="D972" t="s">
        <v>1217</v>
      </c>
      <c r="E972" t="s">
        <v>1221</v>
      </c>
      <c r="F972" t="s">
        <v>1235</v>
      </c>
      <c r="G972" s="6">
        <v>3</v>
      </c>
      <c r="H972">
        <v>2128</v>
      </c>
      <c r="I972">
        <v>6384</v>
      </c>
      <c r="J972" s="2">
        <v>1522.58</v>
      </c>
      <c r="K972" s="16">
        <f>Table13[[#This Row],[Profit]]/Table13[[#This Row],[Sales]]</f>
        <v>0.23849937343358396</v>
      </c>
      <c r="L972" s="17" t="str">
        <f t="shared" si="105"/>
        <v>Low</v>
      </c>
      <c r="M972" s="17" t="str">
        <f t="shared" si="106"/>
        <v>Jul</v>
      </c>
      <c r="N972" s="18">
        <f>YEAR(Table13[[#This Row],[Order_Date]])</f>
        <v>2023</v>
      </c>
      <c r="O972" s="18">
        <f>Table13[[#This Row],[Price]]*0.7</f>
        <v>1489.6</v>
      </c>
      <c r="P972" s="18">
        <f t="shared" si="107"/>
        <v>1915.2000000000007</v>
      </c>
      <c r="Q972" s="18">
        <f t="shared" si="108"/>
        <v>0.05</v>
      </c>
      <c r="R972" s="18">
        <f t="shared" si="109"/>
        <v>4861.42</v>
      </c>
      <c r="S972" s="18" t="str">
        <f>IF(Table13[[#This Row],[Quantity]]&lt;=3,"Small",IF(Table13[[#This Row],[Quantity]]&lt;=6,"Medium","Bulk"))</f>
        <v>Small</v>
      </c>
      <c r="T972" s="18" t="str">
        <f t="shared" si="110"/>
        <v>High Demand</v>
      </c>
      <c r="U972" s="18" t="str">
        <f t="shared" si="111"/>
        <v>low Value</v>
      </c>
    </row>
    <row r="973" spans="1:21" x14ac:dyDescent="0.3">
      <c r="A973" t="s">
        <v>981</v>
      </c>
      <c r="B973" s="1">
        <v>45023</v>
      </c>
      <c r="C973" t="s">
        <v>1211</v>
      </c>
      <c r="D973" t="s">
        <v>1217</v>
      </c>
      <c r="E973" t="s">
        <v>1219</v>
      </c>
      <c r="F973" t="s">
        <v>1238</v>
      </c>
      <c r="G973" s="6">
        <v>4</v>
      </c>
      <c r="H973">
        <v>4324</v>
      </c>
      <c r="I973">
        <v>17296</v>
      </c>
      <c r="J973" s="2">
        <v>4120.1499999999996</v>
      </c>
      <c r="K973" s="16">
        <f>Table13[[#This Row],[Profit]]/Table13[[#This Row],[Sales]]</f>
        <v>0.23821403792784457</v>
      </c>
      <c r="L973" s="17" t="str">
        <f t="shared" si="105"/>
        <v>Medium</v>
      </c>
      <c r="M973" s="17" t="str">
        <f t="shared" si="106"/>
        <v>Apr</v>
      </c>
      <c r="N973" s="18">
        <f>YEAR(Table13[[#This Row],[Order_Date]])</f>
        <v>2023</v>
      </c>
      <c r="O973" s="18">
        <f>Table13[[#This Row],[Price]]*0.7</f>
        <v>3026.7999999999997</v>
      </c>
      <c r="P973" s="18">
        <f t="shared" si="107"/>
        <v>5188.8000000000011</v>
      </c>
      <c r="Q973" s="18">
        <f t="shared" si="108"/>
        <v>0.05</v>
      </c>
      <c r="R973" s="18">
        <f t="shared" si="109"/>
        <v>13175.85</v>
      </c>
      <c r="S973" s="18" t="str">
        <f>IF(Table13[[#This Row],[Quantity]]&lt;=3,"Small",IF(Table13[[#This Row],[Quantity]]&lt;=6,"Medium","Bulk"))</f>
        <v>Medium</v>
      </c>
      <c r="T973" s="18" t="str">
        <f t="shared" si="110"/>
        <v>Normal</v>
      </c>
      <c r="U973" s="18" t="str">
        <f t="shared" si="111"/>
        <v>Medium Value</v>
      </c>
    </row>
    <row r="974" spans="1:21" x14ac:dyDescent="0.3">
      <c r="A974" t="s">
        <v>982</v>
      </c>
      <c r="B974" s="1">
        <v>45028</v>
      </c>
      <c r="C974" t="s">
        <v>1211</v>
      </c>
      <c r="D974" t="s">
        <v>1217</v>
      </c>
      <c r="E974" t="s">
        <v>1219</v>
      </c>
      <c r="F974" t="s">
        <v>1238</v>
      </c>
      <c r="G974" s="6">
        <v>1</v>
      </c>
      <c r="H974">
        <v>2268</v>
      </c>
      <c r="I974">
        <v>2268</v>
      </c>
      <c r="J974" s="2">
        <v>338.71</v>
      </c>
      <c r="K974" s="16">
        <f>Table13[[#This Row],[Profit]]/Table13[[#This Row],[Sales]]</f>
        <v>0.14934303350970016</v>
      </c>
      <c r="L974" s="17" t="str">
        <f t="shared" si="105"/>
        <v>Low</v>
      </c>
      <c r="M974" s="17" t="str">
        <f t="shared" si="106"/>
        <v>Apr</v>
      </c>
      <c r="N974" s="18">
        <f>YEAR(Table13[[#This Row],[Order_Date]])</f>
        <v>2023</v>
      </c>
      <c r="O974" s="18">
        <f>Table13[[#This Row],[Price]]*0.7</f>
        <v>1587.6</v>
      </c>
      <c r="P974" s="18">
        <f t="shared" si="107"/>
        <v>680.40000000000009</v>
      </c>
      <c r="Q974" s="18">
        <f t="shared" si="108"/>
        <v>0.05</v>
      </c>
      <c r="R974" s="18">
        <f t="shared" si="109"/>
        <v>1929.2900000000002</v>
      </c>
      <c r="S974" s="18" t="str">
        <f>IF(Table13[[#This Row],[Quantity]]&lt;=3,"Small",IF(Table13[[#This Row],[Quantity]]&lt;=6,"Medium","Bulk"))</f>
        <v>Small</v>
      </c>
      <c r="T974" s="18" t="str">
        <f t="shared" si="110"/>
        <v>Normal</v>
      </c>
      <c r="U974" s="18" t="str">
        <f t="shared" si="111"/>
        <v>low Value</v>
      </c>
    </row>
    <row r="975" spans="1:21" x14ac:dyDescent="0.3">
      <c r="A975" t="s">
        <v>983</v>
      </c>
      <c r="B975" s="1">
        <v>45025</v>
      </c>
      <c r="C975" t="s">
        <v>1210</v>
      </c>
      <c r="D975" t="s">
        <v>1216</v>
      </c>
      <c r="E975" t="s">
        <v>1219</v>
      </c>
      <c r="F975" t="s">
        <v>1223</v>
      </c>
      <c r="G975" s="6">
        <v>2</v>
      </c>
      <c r="H975">
        <v>2370</v>
      </c>
      <c r="I975">
        <v>4740</v>
      </c>
      <c r="J975" s="2">
        <v>900.83</v>
      </c>
      <c r="K975" s="16">
        <f>Table13[[#This Row],[Profit]]/Table13[[#This Row],[Sales]]</f>
        <v>0.19004852320675106</v>
      </c>
      <c r="L975" s="17" t="str">
        <f t="shared" si="105"/>
        <v>Low</v>
      </c>
      <c r="M975" s="17" t="str">
        <f t="shared" si="106"/>
        <v>Apr</v>
      </c>
      <c r="N975" s="18">
        <f>YEAR(Table13[[#This Row],[Order_Date]])</f>
        <v>2023</v>
      </c>
      <c r="O975" s="18">
        <f>Table13[[#This Row],[Price]]*0.7</f>
        <v>1659</v>
      </c>
      <c r="P975" s="18">
        <f t="shared" si="107"/>
        <v>1422</v>
      </c>
      <c r="Q975" s="18">
        <f t="shared" si="108"/>
        <v>0.05</v>
      </c>
      <c r="R975" s="18">
        <f t="shared" si="109"/>
        <v>3839.17</v>
      </c>
      <c r="S975" s="18" t="str">
        <f>IF(Table13[[#This Row],[Quantity]]&lt;=3,"Small",IF(Table13[[#This Row],[Quantity]]&lt;=6,"Medium","Bulk"))</f>
        <v>Small</v>
      </c>
      <c r="T975" s="18" t="str">
        <f t="shared" si="110"/>
        <v>Normal</v>
      </c>
      <c r="U975" s="18" t="str">
        <f t="shared" si="111"/>
        <v>low Value</v>
      </c>
    </row>
    <row r="976" spans="1:21" x14ac:dyDescent="0.3">
      <c r="A976" t="s">
        <v>984</v>
      </c>
      <c r="B976" s="1">
        <v>44977</v>
      </c>
      <c r="C976" t="s">
        <v>1211</v>
      </c>
      <c r="D976" t="s">
        <v>1217</v>
      </c>
      <c r="E976" t="s">
        <v>1219</v>
      </c>
      <c r="F976" t="s">
        <v>1232</v>
      </c>
      <c r="G976" s="6">
        <v>9</v>
      </c>
      <c r="H976">
        <v>795</v>
      </c>
      <c r="I976">
        <v>7155</v>
      </c>
      <c r="J976" s="2">
        <v>620.99</v>
      </c>
      <c r="K976" s="16">
        <f>Table13[[#This Row],[Profit]]/Table13[[#This Row],[Sales]]</f>
        <v>8.6791055206149548E-2</v>
      </c>
      <c r="L976" s="17" t="str">
        <f t="shared" si="105"/>
        <v>Low</v>
      </c>
      <c r="M976" s="17" t="str">
        <f t="shared" si="106"/>
        <v>Feb</v>
      </c>
      <c r="N976" s="18">
        <f>YEAR(Table13[[#This Row],[Order_Date]])</f>
        <v>2023</v>
      </c>
      <c r="O976" s="18">
        <f>Table13[[#This Row],[Price]]*0.7</f>
        <v>556.5</v>
      </c>
      <c r="P976" s="18">
        <f t="shared" si="107"/>
        <v>2146.5</v>
      </c>
      <c r="Q976" s="18">
        <f t="shared" si="108"/>
        <v>0.1</v>
      </c>
      <c r="R976" s="18">
        <f t="shared" si="109"/>
        <v>6534.01</v>
      </c>
      <c r="S976" s="18" t="str">
        <f>IF(Table13[[#This Row],[Quantity]]&lt;=3,"Small",IF(Table13[[#This Row],[Quantity]]&lt;=6,"Medium","Bulk"))</f>
        <v>Bulk</v>
      </c>
      <c r="T976" s="18" t="str">
        <f t="shared" si="110"/>
        <v>Normal</v>
      </c>
      <c r="U976" s="18" t="str">
        <f t="shared" si="111"/>
        <v>low Value</v>
      </c>
    </row>
    <row r="977" spans="1:21" x14ac:dyDescent="0.3">
      <c r="A977" t="s">
        <v>985</v>
      </c>
      <c r="B977" s="1">
        <v>45114</v>
      </c>
      <c r="C977" t="s">
        <v>1211</v>
      </c>
      <c r="D977" t="s">
        <v>1215</v>
      </c>
      <c r="E977" t="s">
        <v>1220</v>
      </c>
      <c r="F977" t="s">
        <v>1224</v>
      </c>
      <c r="G977" s="6">
        <v>5</v>
      </c>
      <c r="H977">
        <v>3024</v>
      </c>
      <c r="I977">
        <v>15120</v>
      </c>
      <c r="J977" s="2">
        <v>2306.89</v>
      </c>
      <c r="K977" s="16">
        <f>Table13[[#This Row],[Profit]]/Table13[[#This Row],[Sales]]</f>
        <v>0.15257208994708993</v>
      </c>
      <c r="L977" s="17" t="str">
        <f t="shared" si="105"/>
        <v>Medium</v>
      </c>
      <c r="M977" s="17" t="str">
        <f t="shared" si="106"/>
        <v>Jul</v>
      </c>
      <c r="N977" s="18">
        <f>YEAR(Table13[[#This Row],[Order_Date]])</f>
        <v>2023</v>
      </c>
      <c r="O977" s="18">
        <f>Table13[[#This Row],[Price]]*0.7</f>
        <v>2116.7999999999997</v>
      </c>
      <c r="P977" s="18">
        <f t="shared" si="107"/>
        <v>4536.0000000000018</v>
      </c>
      <c r="Q977" s="18">
        <f t="shared" si="108"/>
        <v>0.05</v>
      </c>
      <c r="R977" s="18">
        <f t="shared" si="109"/>
        <v>12813.11</v>
      </c>
      <c r="S977" s="18" t="str">
        <f>IF(Table13[[#This Row],[Quantity]]&lt;=3,"Small",IF(Table13[[#This Row],[Quantity]]&lt;=6,"Medium","Bulk"))</f>
        <v>Medium</v>
      </c>
      <c r="T977" s="18" t="str">
        <f t="shared" si="110"/>
        <v>Normal</v>
      </c>
      <c r="U977" s="18" t="str">
        <f t="shared" si="111"/>
        <v>Medium Value</v>
      </c>
    </row>
    <row r="978" spans="1:21" x14ac:dyDescent="0.3">
      <c r="A978" t="s">
        <v>986</v>
      </c>
      <c r="B978" s="1">
        <v>45252</v>
      </c>
      <c r="C978" t="s">
        <v>1213</v>
      </c>
      <c r="D978" t="s">
        <v>1218</v>
      </c>
      <c r="E978" t="s">
        <v>1219</v>
      </c>
      <c r="F978" t="s">
        <v>1233</v>
      </c>
      <c r="G978" s="6">
        <v>2</v>
      </c>
      <c r="H978">
        <v>701</v>
      </c>
      <c r="I978">
        <v>1402</v>
      </c>
      <c r="J978" s="2">
        <v>334.17</v>
      </c>
      <c r="K978" s="16">
        <f>Table13[[#This Row],[Profit]]/Table13[[#This Row],[Sales]]</f>
        <v>0.23835235378031386</v>
      </c>
      <c r="L978" s="17" t="str">
        <f t="shared" si="105"/>
        <v>Low</v>
      </c>
      <c r="M978" s="17" t="str">
        <f t="shared" si="106"/>
        <v>Nov</v>
      </c>
      <c r="N978" s="18">
        <f>YEAR(Table13[[#This Row],[Order_Date]])</f>
        <v>2023</v>
      </c>
      <c r="O978" s="18">
        <f>Table13[[#This Row],[Price]]*0.7</f>
        <v>490.7</v>
      </c>
      <c r="P978" s="18">
        <f t="shared" si="107"/>
        <v>420.6</v>
      </c>
      <c r="Q978" s="18">
        <f t="shared" si="108"/>
        <v>0.05</v>
      </c>
      <c r="R978" s="18">
        <f t="shared" si="109"/>
        <v>1067.83</v>
      </c>
      <c r="S978" s="18" t="str">
        <f>IF(Table13[[#This Row],[Quantity]]&lt;=3,"Small",IF(Table13[[#This Row],[Quantity]]&lt;=6,"Medium","Bulk"))</f>
        <v>Small</v>
      </c>
      <c r="T978" s="18" t="str">
        <f t="shared" si="110"/>
        <v>Normal</v>
      </c>
      <c r="U978" s="18" t="str">
        <f t="shared" si="111"/>
        <v>low Value</v>
      </c>
    </row>
    <row r="979" spans="1:21" x14ac:dyDescent="0.3">
      <c r="A979" t="s">
        <v>987</v>
      </c>
      <c r="B979" s="1">
        <v>45272</v>
      </c>
      <c r="C979" t="s">
        <v>1211</v>
      </c>
      <c r="D979" t="s">
        <v>1216</v>
      </c>
      <c r="E979" t="s">
        <v>1219</v>
      </c>
      <c r="F979" t="s">
        <v>1233</v>
      </c>
      <c r="G979" s="6">
        <v>5</v>
      </c>
      <c r="H979">
        <v>1205</v>
      </c>
      <c r="I979">
        <v>6025</v>
      </c>
      <c r="J979" s="2">
        <v>1318.7</v>
      </c>
      <c r="K979" s="16">
        <f>Table13[[#This Row],[Profit]]/Table13[[#This Row],[Sales]]</f>
        <v>0.21887136929460582</v>
      </c>
      <c r="L979" s="17" t="str">
        <f t="shared" si="105"/>
        <v>Low</v>
      </c>
      <c r="M979" s="17" t="str">
        <f t="shared" si="106"/>
        <v>Dec</v>
      </c>
      <c r="N979" s="18">
        <f>YEAR(Table13[[#This Row],[Order_Date]])</f>
        <v>2023</v>
      </c>
      <c r="O979" s="18">
        <f>Table13[[#This Row],[Price]]*0.7</f>
        <v>843.5</v>
      </c>
      <c r="P979" s="18">
        <f t="shared" si="107"/>
        <v>1807.5</v>
      </c>
      <c r="Q979" s="18">
        <f t="shared" si="108"/>
        <v>0.05</v>
      </c>
      <c r="R979" s="18">
        <f t="shared" si="109"/>
        <v>4706.3</v>
      </c>
      <c r="S979" s="18" t="str">
        <f>IF(Table13[[#This Row],[Quantity]]&lt;=3,"Small",IF(Table13[[#This Row],[Quantity]]&lt;=6,"Medium","Bulk"))</f>
        <v>Medium</v>
      </c>
      <c r="T979" s="18" t="str">
        <f t="shared" si="110"/>
        <v>Normal</v>
      </c>
      <c r="U979" s="18" t="str">
        <f t="shared" si="111"/>
        <v>low Value</v>
      </c>
    </row>
    <row r="980" spans="1:21" x14ac:dyDescent="0.3">
      <c r="A980" t="s">
        <v>988</v>
      </c>
      <c r="B980" s="1">
        <v>45183</v>
      </c>
      <c r="C980" t="s">
        <v>1213</v>
      </c>
      <c r="D980" t="s">
        <v>1215</v>
      </c>
      <c r="E980" t="s">
        <v>1220</v>
      </c>
      <c r="F980" t="s">
        <v>1224</v>
      </c>
      <c r="G980" s="6">
        <v>5</v>
      </c>
      <c r="H980">
        <v>4566</v>
      </c>
      <c r="I980">
        <v>22830</v>
      </c>
      <c r="J980" s="2">
        <v>4370.5</v>
      </c>
      <c r="K980" s="16">
        <f>Table13[[#This Row],[Profit]]/Table13[[#This Row],[Sales]]</f>
        <v>0.19143670608848007</v>
      </c>
      <c r="L980" s="17" t="str">
        <f t="shared" si="105"/>
        <v>High</v>
      </c>
      <c r="M980" s="17" t="str">
        <f t="shared" si="106"/>
        <v>Sep</v>
      </c>
      <c r="N980" s="18">
        <f>YEAR(Table13[[#This Row],[Order_Date]])</f>
        <v>2023</v>
      </c>
      <c r="O980" s="18">
        <f>Table13[[#This Row],[Price]]*0.7</f>
        <v>3196.2</v>
      </c>
      <c r="P980" s="18">
        <f t="shared" si="107"/>
        <v>6849</v>
      </c>
      <c r="Q980" s="18">
        <f t="shared" si="108"/>
        <v>0.05</v>
      </c>
      <c r="R980" s="18">
        <f t="shared" si="109"/>
        <v>18459.5</v>
      </c>
      <c r="S980" s="18" t="str">
        <f>IF(Table13[[#This Row],[Quantity]]&lt;=3,"Small",IF(Table13[[#This Row],[Quantity]]&lt;=6,"Medium","Bulk"))</f>
        <v>Medium</v>
      </c>
      <c r="T980" s="18" t="str">
        <f t="shared" si="110"/>
        <v>Normal</v>
      </c>
      <c r="U980" s="18" t="str">
        <f t="shared" si="111"/>
        <v>High Value</v>
      </c>
    </row>
    <row r="981" spans="1:21" x14ac:dyDescent="0.3">
      <c r="A981" t="s">
        <v>989</v>
      </c>
      <c r="B981" s="1">
        <v>45075</v>
      </c>
      <c r="C981" t="s">
        <v>1211</v>
      </c>
      <c r="D981" t="s">
        <v>1214</v>
      </c>
      <c r="E981" t="s">
        <v>1219</v>
      </c>
      <c r="F981" t="s">
        <v>1223</v>
      </c>
      <c r="G981" s="6">
        <v>8</v>
      </c>
      <c r="H981">
        <v>407</v>
      </c>
      <c r="I981">
        <v>3256</v>
      </c>
      <c r="J981" s="2">
        <v>514.71</v>
      </c>
      <c r="K981" s="16">
        <f>Table13[[#This Row],[Profit]]/Table13[[#This Row],[Sales]]</f>
        <v>0.15808046683046684</v>
      </c>
      <c r="L981" s="17" t="str">
        <f t="shared" si="105"/>
        <v>Low</v>
      </c>
      <c r="M981" s="17" t="str">
        <f t="shared" si="106"/>
        <v>May</v>
      </c>
      <c r="N981" s="18">
        <f>YEAR(Table13[[#This Row],[Order_Date]])</f>
        <v>2023</v>
      </c>
      <c r="O981" s="18">
        <f>Table13[[#This Row],[Price]]*0.7</f>
        <v>284.89999999999998</v>
      </c>
      <c r="P981" s="18">
        <f t="shared" si="107"/>
        <v>976.80000000000018</v>
      </c>
      <c r="Q981" s="18">
        <f t="shared" si="108"/>
        <v>0.1</v>
      </c>
      <c r="R981" s="18">
        <f t="shared" si="109"/>
        <v>2741.29</v>
      </c>
      <c r="S981" s="18" t="str">
        <f>IF(Table13[[#This Row],[Quantity]]&lt;=3,"Small",IF(Table13[[#This Row],[Quantity]]&lt;=6,"Medium","Bulk"))</f>
        <v>Bulk</v>
      </c>
      <c r="T981" s="18" t="str">
        <f t="shared" si="110"/>
        <v>Normal</v>
      </c>
      <c r="U981" s="18" t="str">
        <f t="shared" si="111"/>
        <v>low Value</v>
      </c>
    </row>
    <row r="982" spans="1:21" x14ac:dyDescent="0.3">
      <c r="A982" t="s">
        <v>990</v>
      </c>
      <c r="B982" s="1">
        <v>45190</v>
      </c>
      <c r="C982" t="s">
        <v>1212</v>
      </c>
      <c r="D982" t="s">
        <v>1215</v>
      </c>
      <c r="E982" t="s">
        <v>1220</v>
      </c>
      <c r="F982" t="s">
        <v>1225</v>
      </c>
      <c r="G982" s="6">
        <v>6</v>
      </c>
      <c r="H982">
        <v>3445</v>
      </c>
      <c r="I982">
        <v>20670</v>
      </c>
      <c r="J982" s="2">
        <v>4948.45</v>
      </c>
      <c r="K982" s="16">
        <f>Table13[[#This Row],[Profit]]/Table13[[#This Row],[Sales]]</f>
        <v>0.23940251572327043</v>
      </c>
      <c r="L982" s="17" t="str">
        <f t="shared" si="105"/>
        <v>High</v>
      </c>
      <c r="M982" s="17" t="str">
        <f t="shared" si="106"/>
        <v>Sep</v>
      </c>
      <c r="N982" s="18">
        <f>YEAR(Table13[[#This Row],[Order_Date]])</f>
        <v>2023</v>
      </c>
      <c r="O982" s="18">
        <f>Table13[[#This Row],[Price]]*0.7</f>
        <v>2411.5</v>
      </c>
      <c r="P982" s="18">
        <f t="shared" si="107"/>
        <v>6201</v>
      </c>
      <c r="Q982" s="18">
        <f t="shared" si="108"/>
        <v>0.1</v>
      </c>
      <c r="R982" s="18">
        <f t="shared" si="109"/>
        <v>15721.550000000001</v>
      </c>
      <c r="S982" s="18" t="str">
        <f>IF(Table13[[#This Row],[Quantity]]&lt;=3,"Small",IF(Table13[[#This Row],[Quantity]]&lt;=6,"Medium","Bulk"))</f>
        <v>Medium</v>
      </c>
      <c r="T982" s="18" t="str">
        <f t="shared" si="110"/>
        <v>High Demand</v>
      </c>
      <c r="U982" s="18" t="str">
        <f t="shared" si="111"/>
        <v>High Value</v>
      </c>
    </row>
    <row r="983" spans="1:21" x14ac:dyDescent="0.3">
      <c r="A983" t="s">
        <v>991</v>
      </c>
      <c r="B983" s="1">
        <v>45267</v>
      </c>
      <c r="C983" t="s">
        <v>1213</v>
      </c>
      <c r="D983" t="s">
        <v>1216</v>
      </c>
      <c r="E983" t="s">
        <v>1219</v>
      </c>
      <c r="F983" t="s">
        <v>1223</v>
      </c>
      <c r="G983" s="6">
        <v>6</v>
      </c>
      <c r="H983">
        <v>399</v>
      </c>
      <c r="I983">
        <v>2394</v>
      </c>
      <c r="J983" s="2">
        <v>562.33000000000004</v>
      </c>
      <c r="K983" s="16">
        <f>Table13[[#This Row],[Profit]]/Table13[[#This Row],[Sales]]</f>
        <v>0.23489139515455307</v>
      </c>
      <c r="L983" s="17" t="str">
        <f t="shared" si="105"/>
        <v>Low</v>
      </c>
      <c r="M983" s="17" t="str">
        <f t="shared" si="106"/>
        <v>Dec</v>
      </c>
      <c r="N983" s="18">
        <f>YEAR(Table13[[#This Row],[Order_Date]])</f>
        <v>2023</v>
      </c>
      <c r="O983" s="18">
        <f>Table13[[#This Row],[Price]]*0.7</f>
        <v>279.29999999999995</v>
      </c>
      <c r="P983" s="18">
        <f t="shared" si="107"/>
        <v>718.20000000000027</v>
      </c>
      <c r="Q983" s="18">
        <f t="shared" si="108"/>
        <v>0.1</v>
      </c>
      <c r="R983" s="18">
        <f t="shared" si="109"/>
        <v>1831.67</v>
      </c>
      <c r="S983" s="18" t="str">
        <f>IF(Table13[[#This Row],[Quantity]]&lt;=3,"Small",IF(Table13[[#This Row],[Quantity]]&lt;=6,"Medium","Bulk"))</f>
        <v>Medium</v>
      </c>
      <c r="T983" s="18" t="str">
        <f t="shared" si="110"/>
        <v>Normal</v>
      </c>
      <c r="U983" s="18" t="str">
        <f t="shared" si="111"/>
        <v>low Value</v>
      </c>
    </row>
    <row r="984" spans="1:21" x14ac:dyDescent="0.3">
      <c r="A984" t="s">
        <v>992</v>
      </c>
      <c r="B984" s="1">
        <v>45197</v>
      </c>
      <c r="C984" t="s">
        <v>1211</v>
      </c>
      <c r="D984" t="s">
        <v>1217</v>
      </c>
      <c r="E984" t="s">
        <v>1221</v>
      </c>
      <c r="F984" t="s">
        <v>1229</v>
      </c>
      <c r="G984" s="6">
        <v>2</v>
      </c>
      <c r="H984">
        <v>804</v>
      </c>
      <c r="I984">
        <v>1608</v>
      </c>
      <c r="J984" s="2">
        <v>278.02</v>
      </c>
      <c r="K984" s="16">
        <f>Table13[[#This Row],[Profit]]/Table13[[#This Row],[Sales]]</f>
        <v>0.17289800995024873</v>
      </c>
      <c r="L984" s="17" t="str">
        <f t="shared" si="105"/>
        <v>Low</v>
      </c>
      <c r="M984" s="17" t="str">
        <f t="shared" si="106"/>
        <v>Sep</v>
      </c>
      <c r="N984" s="18">
        <f>YEAR(Table13[[#This Row],[Order_Date]])</f>
        <v>2023</v>
      </c>
      <c r="O984" s="18">
        <f>Table13[[#This Row],[Price]]*0.7</f>
        <v>562.79999999999995</v>
      </c>
      <c r="P984" s="18">
        <f t="shared" si="107"/>
        <v>482.40000000000009</v>
      </c>
      <c r="Q984" s="18">
        <f t="shared" si="108"/>
        <v>0.05</v>
      </c>
      <c r="R984" s="18">
        <f t="shared" si="109"/>
        <v>1329.98</v>
      </c>
      <c r="S984" s="18" t="str">
        <f>IF(Table13[[#This Row],[Quantity]]&lt;=3,"Small",IF(Table13[[#This Row],[Quantity]]&lt;=6,"Medium","Bulk"))</f>
        <v>Small</v>
      </c>
      <c r="T984" s="18" t="str">
        <f t="shared" si="110"/>
        <v>Normal</v>
      </c>
      <c r="U984" s="18" t="str">
        <f t="shared" si="111"/>
        <v>low Value</v>
      </c>
    </row>
    <row r="985" spans="1:21" x14ac:dyDescent="0.3">
      <c r="A985" t="s">
        <v>993</v>
      </c>
      <c r="B985" s="1">
        <v>44963</v>
      </c>
      <c r="C985" t="s">
        <v>1211</v>
      </c>
      <c r="D985" t="s">
        <v>1218</v>
      </c>
      <c r="E985" t="s">
        <v>1220</v>
      </c>
      <c r="F985" t="s">
        <v>1228</v>
      </c>
      <c r="G985" s="6">
        <v>6</v>
      </c>
      <c r="H985">
        <v>4075</v>
      </c>
      <c r="I985">
        <v>24450</v>
      </c>
      <c r="J985" s="2">
        <v>2738.39</v>
      </c>
      <c r="K985" s="16">
        <f>Table13[[#This Row],[Profit]]/Table13[[#This Row],[Sales]]</f>
        <v>0.11199959100204498</v>
      </c>
      <c r="L985" s="17" t="str">
        <f t="shared" si="105"/>
        <v>High</v>
      </c>
      <c r="M985" s="17" t="str">
        <f t="shared" si="106"/>
        <v>Feb</v>
      </c>
      <c r="N985" s="18">
        <f>YEAR(Table13[[#This Row],[Order_Date]])</f>
        <v>2023</v>
      </c>
      <c r="O985" s="18">
        <f>Table13[[#This Row],[Price]]*0.7</f>
        <v>2852.5</v>
      </c>
      <c r="P985" s="18">
        <f t="shared" si="107"/>
        <v>7335</v>
      </c>
      <c r="Q985" s="18">
        <f t="shared" si="108"/>
        <v>0.1</v>
      </c>
      <c r="R985" s="18">
        <f t="shared" si="109"/>
        <v>21711.61</v>
      </c>
      <c r="S985" s="18" t="str">
        <f>IF(Table13[[#This Row],[Quantity]]&lt;=3,"Small",IF(Table13[[#This Row],[Quantity]]&lt;=6,"Medium","Bulk"))</f>
        <v>Medium</v>
      </c>
      <c r="T985" s="18" t="str">
        <f t="shared" si="110"/>
        <v>Normal</v>
      </c>
      <c r="U985" s="18" t="str">
        <f t="shared" si="111"/>
        <v>High Value</v>
      </c>
    </row>
    <row r="986" spans="1:21" x14ac:dyDescent="0.3">
      <c r="A986" t="s">
        <v>994</v>
      </c>
      <c r="B986" s="1">
        <v>45085</v>
      </c>
      <c r="C986" t="s">
        <v>1211</v>
      </c>
      <c r="D986" t="s">
        <v>1215</v>
      </c>
      <c r="E986" t="s">
        <v>1221</v>
      </c>
      <c r="F986" t="s">
        <v>1231</v>
      </c>
      <c r="G986" s="6">
        <v>6</v>
      </c>
      <c r="H986">
        <v>4707</v>
      </c>
      <c r="I986">
        <v>28242</v>
      </c>
      <c r="J986" s="2">
        <v>2785.04</v>
      </c>
      <c r="K986" s="16">
        <f>Table13[[#This Row],[Profit]]/Table13[[#This Row],[Sales]]</f>
        <v>9.8613412647829468E-2</v>
      </c>
      <c r="L986" s="17" t="str">
        <f t="shared" si="105"/>
        <v>High</v>
      </c>
      <c r="M986" s="17" t="str">
        <f t="shared" si="106"/>
        <v>Jun</v>
      </c>
      <c r="N986" s="18">
        <f>YEAR(Table13[[#This Row],[Order_Date]])</f>
        <v>2023</v>
      </c>
      <c r="O986" s="18">
        <f>Table13[[#This Row],[Price]]*0.7</f>
        <v>3294.8999999999996</v>
      </c>
      <c r="P986" s="18">
        <f t="shared" si="107"/>
        <v>8472.6000000000022</v>
      </c>
      <c r="Q986" s="18">
        <f t="shared" si="108"/>
        <v>0.1</v>
      </c>
      <c r="R986" s="18">
        <f t="shared" si="109"/>
        <v>25456.959999999999</v>
      </c>
      <c r="S986" s="18" t="str">
        <f>IF(Table13[[#This Row],[Quantity]]&lt;=3,"Small",IF(Table13[[#This Row],[Quantity]]&lt;=6,"Medium","Bulk"))</f>
        <v>Medium</v>
      </c>
      <c r="T986" s="18" t="str">
        <f t="shared" si="110"/>
        <v>Normal</v>
      </c>
      <c r="U986" s="18" t="str">
        <f t="shared" si="111"/>
        <v>High Value</v>
      </c>
    </row>
    <row r="987" spans="1:21" x14ac:dyDescent="0.3">
      <c r="A987" t="s">
        <v>995</v>
      </c>
      <c r="B987" s="1">
        <v>45142</v>
      </c>
      <c r="C987" t="s">
        <v>1212</v>
      </c>
      <c r="D987" t="s">
        <v>1217</v>
      </c>
      <c r="E987" t="s">
        <v>1222</v>
      </c>
      <c r="F987" t="s">
        <v>1234</v>
      </c>
      <c r="G987" s="6">
        <v>9</v>
      </c>
      <c r="H987">
        <v>3520</v>
      </c>
      <c r="I987">
        <v>31680</v>
      </c>
      <c r="J987" s="2">
        <v>5746.08</v>
      </c>
      <c r="K987" s="16">
        <f>Table13[[#This Row],[Profit]]/Table13[[#This Row],[Sales]]</f>
        <v>0.18137878787878789</v>
      </c>
      <c r="L987" s="17" t="str">
        <f t="shared" si="105"/>
        <v>High</v>
      </c>
      <c r="M987" s="17" t="str">
        <f t="shared" si="106"/>
        <v>Aug</v>
      </c>
      <c r="N987" s="18">
        <f>YEAR(Table13[[#This Row],[Order_Date]])</f>
        <v>2023</v>
      </c>
      <c r="O987" s="18">
        <f>Table13[[#This Row],[Price]]*0.7</f>
        <v>2464</v>
      </c>
      <c r="P987" s="18">
        <f t="shared" si="107"/>
        <v>9504</v>
      </c>
      <c r="Q987" s="18">
        <f t="shared" si="108"/>
        <v>0.1</v>
      </c>
      <c r="R987" s="18">
        <f t="shared" si="109"/>
        <v>25933.919999999998</v>
      </c>
      <c r="S987" s="18" t="str">
        <f>IF(Table13[[#This Row],[Quantity]]&lt;=3,"Small",IF(Table13[[#This Row],[Quantity]]&lt;=6,"Medium","Bulk"))</f>
        <v>Bulk</v>
      </c>
      <c r="T987" s="18" t="str">
        <f t="shared" si="110"/>
        <v>High Demand</v>
      </c>
      <c r="U987" s="18" t="str">
        <f t="shared" si="111"/>
        <v>High Value</v>
      </c>
    </row>
    <row r="988" spans="1:21" x14ac:dyDescent="0.3">
      <c r="A988" t="s">
        <v>996</v>
      </c>
      <c r="B988" s="1">
        <v>45147</v>
      </c>
      <c r="C988" t="s">
        <v>1212</v>
      </c>
      <c r="D988" t="s">
        <v>1217</v>
      </c>
      <c r="E988" t="s">
        <v>1222</v>
      </c>
      <c r="F988" t="s">
        <v>1227</v>
      </c>
      <c r="G988" s="6">
        <v>1</v>
      </c>
      <c r="H988">
        <v>3491</v>
      </c>
      <c r="I988">
        <v>3491</v>
      </c>
      <c r="J988" s="2">
        <v>703.98</v>
      </c>
      <c r="K988" s="16">
        <f>Table13[[#This Row],[Profit]]/Table13[[#This Row],[Sales]]</f>
        <v>0.20165568604984246</v>
      </c>
      <c r="L988" s="17" t="str">
        <f t="shared" si="105"/>
        <v>Low</v>
      </c>
      <c r="M988" s="17" t="str">
        <f t="shared" si="106"/>
        <v>Aug</v>
      </c>
      <c r="N988" s="18">
        <f>YEAR(Table13[[#This Row],[Order_Date]])</f>
        <v>2023</v>
      </c>
      <c r="O988" s="18">
        <f>Table13[[#This Row],[Price]]*0.7</f>
        <v>2443.6999999999998</v>
      </c>
      <c r="P988" s="18">
        <f t="shared" si="107"/>
        <v>1047.3000000000002</v>
      </c>
      <c r="Q988" s="18">
        <f t="shared" si="108"/>
        <v>0.05</v>
      </c>
      <c r="R988" s="18">
        <f t="shared" si="109"/>
        <v>2787.02</v>
      </c>
      <c r="S988" s="18" t="str">
        <f>IF(Table13[[#This Row],[Quantity]]&lt;=3,"Small",IF(Table13[[#This Row],[Quantity]]&lt;=6,"Medium","Bulk"))</f>
        <v>Small</v>
      </c>
      <c r="T988" s="18" t="str">
        <f t="shared" si="110"/>
        <v>High Demand</v>
      </c>
      <c r="U988" s="18" t="str">
        <f t="shared" si="111"/>
        <v>low Value</v>
      </c>
    </row>
    <row r="989" spans="1:21" x14ac:dyDescent="0.3">
      <c r="A989" t="s">
        <v>997</v>
      </c>
      <c r="B989" s="1">
        <v>45248</v>
      </c>
      <c r="C989" t="s">
        <v>1212</v>
      </c>
      <c r="D989" t="s">
        <v>1218</v>
      </c>
      <c r="E989" t="s">
        <v>1219</v>
      </c>
      <c r="F989" t="s">
        <v>1233</v>
      </c>
      <c r="G989" s="6">
        <v>4</v>
      </c>
      <c r="H989">
        <v>482</v>
      </c>
      <c r="I989">
        <v>1928</v>
      </c>
      <c r="J989" s="2">
        <v>381.66</v>
      </c>
      <c r="K989" s="16">
        <f>Table13[[#This Row],[Profit]]/Table13[[#This Row],[Sales]]</f>
        <v>0.19795643153526973</v>
      </c>
      <c r="L989" s="17" t="str">
        <f t="shared" si="105"/>
        <v>Low</v>
      </c>
      <c r="M989" s="17" t="str">
        <f t="shared" si="106"/>
        <v>Nov</v>
      </c>
      <c r="N989" s="18">
        <f>YEAR(Table13[[#This Row],[Order_Date]])</f>
        <v>2023</v>
      </c>
      <c r="O989" s="18">
        <f>Table13[[#This Row],[Price]]*0.7</f>
        <v>337.4</v>
      </c>
      <c r="P989" s="18">
        <f t="shared" si="107"/>
        <v>578.40000000000009</v>
      </c>
      <c r="Q989" s="18">
        <f t="shared" si="108"/>
        <v>0.05</v>
      </c>
      <c r="R989" s="18">
        <f t="shared" si="109"/>
        <v>1546.34</v>
      </c>
      <c r="S989" s="18" t="str">
        <f>IF(Table13[[#This Row],[Quantity]]&lt;=3,"Small",IF(Table13[[#This Row],[Quantity]]&lt;=6,"Medium","Bulk"))</f>
        <v>Medium</v>
      </c>
      <c r="T989" s="18" t="str">
        <f t="shared" si="110"/>
        <v>High Demand</v>
      </c>
      <c r="U989" s="18" t="str">
        <f t="shared" si="111"/>
        <v>low Value</v>
      </c>
    </row>
    <row r="990" spans="1:21" x14ac:dyDescent="0.3">
      <c r="A990" t="s">
        <v>998</v>
      </c>
      <c r="B990" s="1">
        <v>45108</v>
      </c>
      <c r="C990" t="s">
        <v>1212</v>
      </c>
      <c r="D990" t="s">
        <v>1214</v>
      </c>
      <c r="E990" t="s">
        <v>1222</v>
      </c>
      <c r="F990" t="s">
        <v>1227</v>
      </c>
      <c r="G990" s="6">
        <v>1</v>
      </c>
      <c r="H990">
        <v>3697</v>
      </c>
      <c r="I990">
        <v>3697</v>
      </c>
      <c r="J990" s="2">
        <v>411.47</v>
      </c>
      <c r="K990" s="16">
        <f>Table13[[#This Row],[Profit]]/Table13[[#This Row],[Sales]]</f>
        <v>0.11129835001352449</v>
      </c>
      <c r="L990" s="17" t="str">
        <f t="shared" si="105"/>
        <v>Low</v>
      </c>
      <c r="M990" s="17" t="str">
        <f t="shared" si="106"/>
        <v>Jul</v>
      </c>
      <c r="N990" s="18">
        <f>YEAR(Table13[[#This Row],[Order_Date]])</f>
        <v>2023</v>
      </c>
      <c r="O990" s="18">
        <f>Table13[[#This Row],[Price]]*0.7</f>
        <v>2587.8999999999996</v>
      </c>
      <c r="P990" s="18">
        <f t="shared" si="107"/>
        <v>1109.1000000000004</v>
      </c>
      <c r="Q990" s="18">
        <f t="shared" si="108"/>
        <v>0.05</v>
      </c>
      <c r="R990" s="18">
        <f t="shared" si="109"/>
        <v>3285.5299999999997</v>
      </c>
      <c r="S990" s="18" t="str">
        <f>IF(Table13[[#This Row],[Quantity]]&lt;=3,"Small",IF(Table13[[#This Row],[Quantity]]&lt;=6,"Medium","Bulk"))</f>
        <v>Small</v>
      </c>
      <c r="T990" s="18" t="str">
        <f t="shared" si="110"/>
        <v>High Demand</v>
      </c>
      <c r="U990" s="18" t="str">
        <f t="shared" si="111"/>
        <v>low Value</v>
      </c>
    </row>
    <row r="991" spans="1:21" x14ac:dyDescent="0.3">
      <c r="A991" t="s">
        <v>999</v>
      </c>
      <c r="B991" s="1">
        <v>45008</v>
      </c>
      <c r="C991" t="s">
        <v>1210</v>
      </c>
      <c r="D991" t="s">
        <v>1217</v>
      </c>
      <c r="E991" t="s">
        <v>1220</v>
      </c>
      <c r="F991" t="s">
        <v>1228</v>
      </c>
      <c r="G991" s="6">
        <v>6</v>
      </c>
      <c r="H991">
        <v>764</v>
      </c>
      <c r="I991">
        <v>4584</v>
      </c>
      <c r="J991" s="2">
        <v>975.7</v>
      </c>
      <c r="K991" s="16">
        <f>Table13[[#This Row],[Profit]]/Table13[[#This Row],[Sales]]</f>
        <v>0.21284904013961606</v>
      </c>
      <c r="L991" s="17" t="str">
        <f t="shared" si="105"/>
        <v>Low</v>
      </c>
      <c r="M991" s="17" t="str">
        <f t="shared" si="106"/>
        <v>Mar</v>
      </c>
      <c r="N991" s="18">
        <f>YEAR(Table13[[#This Row],[Order_Date]])</f>
        <v>2023</v>
      </c>
      <c r="O991" s="18">
        <f>Table13[[#This Row],[Price]]*0.7</f>
        <v>534.79999999999995</v>
      </c>
      <c r="P991" s="18">
        <f t="shared" si="107"/>
        <v>1375.2000000000003</v>
      </c>
      <c r="Q991" s="18">
        <f t="shared" si="108"/>
        <v>0.1</v>
      </c>
      <c r="R991" s="18">
        <f t="shared" si="109"/>
        <v>3608.3</v>
      </c>
      <c r="S991" s="18" t="str">
        <f>IF(Table13[[#This Row],[Quantity]]&lt;=3,"Small",IF(Table13[[#This Row],[Quantity]]&lt;=6,"Medium","Bulk"))</f>
        <v>Medium</v>
      </c>
      <c r="T991" s="18" t="str">
        <f t="shared" si="110"/>
        <v>Normal</v>
      </c>
      <c r="U991" s="18" t="str">
        <f t="shared" si="111"/>
        <v>low Value</v>
      </c>
    </row>
    <row r="992" spans="1:21" x14ac:dyDescent="0.3">
      <c r="A992" t="s">
        <v>1000</v>
      </c>
      <c r="B992" s="1">
        <v>45138</v>
      </c>
      <c r="C992" t="s">
        <v>1212</v>
      </c>
      <c r="D992" t="s">
        <v>1218</v>
      </c>
      <c r="E992" t="s">
        <v>1221</v>
      </c>
      <c r="F992" t="s">
        <v>1229</v>
      </c>
      <c r="G992" s="6">
        <v>5</v>
      </c>
      <c r="H992">
        <v>2651</v>
      </c>
      <c r="I992">
        <v>13255</v>
      </c>
      <c r="J992" s="2">
        <v>2977.67</v>
      </c>
      <c r="K992" s="16">
        <f>Table13[[#This Row],[Profit]]/Table13[[#This Row],[Sales]]</f>
        <v>0.22464503960769522</v>
      </c>
      <c r="L992" s="17" t="str">
        <f t="shared" si="105"/>
        <v>Medium</v>
      </c>
      <c r="M992" s="17" t="str">
        <f t="shared" si="106"/>
        <v>Jul</v>
      </c>
      <c r="N992" s="18">
        <f>YEAR(Table13[[#This Row],[Order_Date]])</f>
        <v>2023</v>
      </c>
      <c r="O992" s="18">
        <f>Table13[[#This Row],[Price]]*0.7</f>
        <v>1855.6999999999998</v>
      </c>
      <c r="P992" s="18">
        <f t="shared" si="107"/>
        <v>3976.5</v>
      </c>
      <c r="Q992" s="18">
        <f t="shared" si="108"/>
        <v>0.05</v>
      </c>
      <c r="R992" s="18">
        <f t="shared" si="109"/>
        <v>10277.33</v>
      </c>
      <c r="S992" s="18" t="str">
        <f>IF(Table13[[#This Row],[Quantity]]&lt;=3,"Small",IF(Table13[[#This Row],[Quantity]]&lt;=6,"Medium","Bulk"))</f>
        <v>Medium</v>
      </c>
      <c r="T992" s="18" t="str">
        <f t="shared" si="110"/>
        <v>High Demand</v>
      </c>
      <c r="U992" s="18" t="str">
        <f t="shared" si="111"/>
        <v>Medium Value</v>
      </c>
    </row>
    <row r="993" spans="1:21" x14ac:dyDescent="0.3">
      <c r="A993" t="s">
        <v>1001</v>
      </c>
      <c r="B993" s="1">
        <v>45031</v>
      </c>
      <c r="C993" t="s">
        <v>1210</v>
      </c>
      <c r="D993" t="s">
        <v>1214</v>
      </c>
      <c r="E993" t="s">
        <v>1222</v>
      </c>
      <c r="F993" t="s">
        <v>1227</v>
      </c>
      <c r="G993" s="6">
        <v>1</v>
      </c>
      <c r="H993">
        <v>4923</v>
      </c>
      <c r="I993">
        <v>4923</v>
      </c>
      <c r="J993" s="2">
        <v>1192.2</v>
      </c>
      <c r="K993" s="16">
        <f>Table13[[#This Row],[Profit]]/Table13[[#This Row],[Sales]]</f>
        <v>0.24216940889701402</v>
      </c>
      <c r="L993" s="17" t="str">
        <f t="shared" si="105"/>
        <v>Low</v>
      </c>
      <c r="M993" s="17" t="str">
        <f t="shared" si="106"/>
        <v>Apr</v>
      </c>
      <c r="N993" s="18">
        <f>YEAR(Table13[[#This Row],[Order_Date]])</f>
        <v>2023</v>
      </c>
      <c r="O993" s="18">
        <f>Table13[[#This Row],[Price]]*0.7</f>
        <v>3446.1</v>
      </c>
      <c r="P993" s="18">
        <f t="shared" si="107"/>
        <v>1476.9</v>
      </c>
      <c r="Q993" s="18">
        <f t="shared" si="108"/>
        <v>0.05</v>
      </c>
      <c r="R993" s="18">
        <f t="shared" si="109"/>
        <v>3730.8</v>
      </c>
      <c r="S993" s="18" t="str">
        <f>IF(Table13[[#This Row],[Quantity]]&lt;=3,"Small",IF(Table13[[#This Row],[Quantity]]&lt;=6,"Medium","Bulk"))</f>
        <v>Small</v>
      </c>
      <c r="T993" s="18" t="str">
        <f t="shared" si="110"/>
        <v>Normal</v>
      </c>
      <c r="U993" s="18" t="str">
        <f t="shared" si="111"/>
        <v>low Value</v>
      </c>
    </row>
    <row r="994" spans="1:21" x14ac:dyDescent="0.3">
      <c r="A994" t="s">
        <v>1002</v>
      </c>
      <c r="B994" s="1">
        <v>44950</v>
      </c>
      <c r="C994" t="s">
        <v>1210</v>
      </c>
      <c r="D994" t="s">
        <v>1217</v>
      </c>
      <c r="E994" t="s">
        <v>1220</v>
      </c>
      <c r="F994" t="s">
        <v>1239</v>
      </c>
      <c r="G994" s="6">
        <v>8</v>
      </c>
      <c r="H994">
        <v>2036</v>
      </c>
      <c r="I994">
        <v>16288</v>
      </c>
      <c r="J994" s="2">
        <v>3836.18</v>
      </c>
      <c r="K994" s="16">
        <f>Table13[[#This Row],[Profit]]/Table13[[#This Row],[Sales]]</f>
        <v>0.23552185658153241</v>
      </c>
      <c r="L994" s="17" t="str">
        <f t="shared" si="105"/>
        <v>Medium</v>
      </c>
      <c r="M994" s="17" t="str">
        <f t="shared" si="106"/>
        <v>Jan</v>
      </c>
      <c r="N994" s="18">
        <f>YEAR(Table13[[#This Row],[Order_Date]])</f>
        <v>2023</v>
      </c>
      <c r="O994" s="18">
        <f>Table13[[#This Row],[Price]]*0.7</f>
        <v>1425.1999999999998</v>
      </c>
      <c r="P994" s="18">
        <f t="shared" si="107"/>
        <v>4886.4000000000015</v>
      </c>
      <c r="Q994" s="18">
        <f t="shared" si="108"/>
        <v>0.1</v>
      </c>
      <c r="R994" s="18">
        <f t="shared" si="109"/>
        <v>12451.82</v>
      </c>
      <c r="S994" s="18" t="str">
        <f>IF(Table13[[#This Row],[Quantity]]&lt;=3,"Small",IF(Table13[[#This Row],[Quantity]]&lt;=6,"Medium","Bulk"))</f>
        <v>Bulk</v>
      </c>
      <c r="T994" s="18" t="str">
        <f t="shared" si="110"/>
        <v>Normal</v>
      </c>
      <c r="U994" s="18" t="str">
        <f t="shared" si="111"/>
        <v>Medium Value</v>
      </c>
    </row>
    <row r="995" spans="1:21" x14ac:dyDescent="0.3">
      <c r="A995" t="s">
        <v>1003</v>
      </c>
      <c r="B995" s="1">
        <v>45169</v>
      </c>
      <c r="C995" t="s">
        <v>1211</v>
      </c>
      <c r="D995" t="s">
        <v>1218</v>
      </c>
      <c r="E995" t="s">
        <v>1219</v>
      </c>
      <c r="F995" t="s">
        <v>1223</v>
      </c>
      <c r="G995" s="6">
        <v>4</v>
      </c>
      <c r="H995">
        <v>4271</v>
      </c>
      <c r="I995">
        <v>17084</v>
      </c>
      <c r="J995" s="2">
        <v>1792.53</v>
      </c>
      <c r="K995" s="16">
        <f>Table13[[#This Row],[Profit]]/Table13[[#This Row],[Sales]]</f>
        <v>0.10492449075158042</v>
      </c>
      <c r="L995" s="17" t="str">
        <f t="shared" si="105"/>
        <v>Medium</v>
      </c>
      <c r="M995" s="17" t="str">
        <f t="shared" si="106"/>
        <v>Aug</v>
      </c>
      <c r="N995" s="18">
        <f>YEAR(Table13[[#This Row],[Order_Date]])</f>
        <v>2023</v>
      </c>
      <c r="O995" s="18">
        <f>Table13[[#This Row],[Price]]*0.7</f>
        <v>2989.7</v>
      </c>
      <c r="P995" s="18">
        <f t="shared" si="107"/>
        <v>5125.2000000000007</v>
      </c>
      <c r="Q995" s="18">
        <f t="shared" si="108"/>
        <v>0.05</v>
      </c>
      <c r="R995" s="18">
        <f t="shared" si="109"/>
        <v>15291.470000000001</v>
      </c>
      <c r="S995" s="18" t="str">
        <f>IF(Table13[[#This Row],[Quantity]]&lt;=3,"Small",IF(Table13[[#This Row],[Quantity]]&lt;=6,"Medium","Bulk"))</f>
        <v>Medium</v>
      </c>
      <c r="T995" s="18" t="str">
        <f t="shared" si="110"/>
        <v>Normal</v>
      </c>
      <c r="U995" s="18" t="str">
        <f t="shared" si="111"/>
        <v>Medium Value</v>
      </c>
    </row>
    <row r="996" spans="1:21" x14ac:dyDescent="0.3">
      <c r="A996" t="s">
        <v>1004</v>
      </c>
      <c r="B996" s="1">
        <v>45225</v>
      </c>
      <c r="C996" t="s">
        <v>1212</v>
      </c>
      <c r="D996" t="s">
        <v>1214</v>
      </c>
      <c r="E996" t="s">
        <v>1220</v>
      </c>
      <c r="F996" t="s">
        <v>1237</v>
      </c>
      <c r="G996" s="6">
        <v>1</v>
      </c>
      <c r="H996">
        <v>1953</v>
      </c>
      <c r="I996">
        <v>1953</v>
      </c>
      <c r="J996" s="2">
        <v>258.98</v>
      </c>
      <c r="K996" s="16">
        <f>Table13[[#This Row],[Profit]]/Table13[[#This Row],[Sales]]</f>
        <v>0.13260624679979519</v>
      </c>
      <c r="L996" s="17" t="str">
        <f t="shared" si="105"/>
        <v>Low</v>
      </c>
      <c r="M996" s="17" t="str">
        <f t="shared" si="106"/>
        <v>Oct</v>
      </c>
      <c r="N996" s="18">
        <f>YEAR(Table13[[#This Row],[Order_Date]])</f>
        <v>2023</v>
      </c>
      <c r="O996" s="18">
        <f>Table13[[#This Row],[Price]]*0.7</f>
        <v>1367.1</v>
      </c>
      <c r="P996" s="18">
        <f t="shared" si="107"/>
        <v>585.90000000000009</v>
      </c>
      <c r="Q996" s="18">
        <f t="shared" si="108"/>
        <v>0.05</v>
      </c>
      <c r="R996" s="18">
        <f t="shared" si="109"/>
        <v>1694.02</v>
      </c>
      <c r="S996" s="18" t="str">
        <f>IF(Table13[[#This Row],[Quantity]]&lt;=3,"Small",IF(Table13[[#This Row],[Quantity]]&lt;=6,"Medium","Bulk"))</f>
        <v>Small</v>
      </c>
      <c r="T996" s="18" t="str">
        <f t="shared" si="110"/>
        <v>High Demand</v>
      </c>
      <c r="U996" s="18" t="str">
        <f t="shared" si="111"/>
        <v>low Value</v>
      </c>
    </row>
    <row r="997" spans="1:21" x14ac:dyDescent="0.3">
      <c r="A997" t="s">
        <v>1005</v>
      </c>
      <c r="B997" s="1">
        <v>45104</v>
      </c>
      <c r="C997" t="s">
        <v>1210</v>
      </c>
      <c r="D997" t="s">
        <v>1214</v>
      </c>
      <c r="E997" t="s">
        <v>1222</v>
      </c>
      <c r="F997" t="s">
        <v>1230</v>
      </c>
      <c r="G997" s="6">
        <v>2</v>
      </c>
      <c r="H997">
        <v>1705</v>
      </c>
      <c r="I997">
        <v>3410</v>
      </c>
      <c r="J997" s="2">
        <v>443.71</v>
      </c>
      <c r="K997" s="16">
        <f>Table13[[#This Row],[Profit]]/Table13[[#This Row],[Sales]]</f>
        <v>0.13012023460410557</v>
      </c>
      <c r="L997" s="17" t="str">
        <f t="shared" si="105"/>
        <v>Low</v>
      </c>
      <c r="M997" s="17" t="str">
        <f t="shared" si="106"/>
        <v>Jun</v>
      </c>
      <c r="N997" s="18">
        <f>YEAR(Table13[[#This Row],[Order_Date]])</f>
        <v>2023</v>
      </c>
      <c r="O997" s="18">
        <f>Table13[[#This Row],[Price]]*0.7</f>
        <v>1193.5</v>
      </c>
      <c r="P997" s="18">
        <f t="shared" si="107"/>
        <v>1023</v>
      </c>
      <c r="Q997" s="18">
        <f t="shared" si="108"/>
        <v>0.05</v>
      </c>
      <c r="R997" s="18">
        <f t="shared" si="109"/>
        <v>2966.29</v>
      </c>
      <c r="S997" s="18" t="str">
        <f>IF(Table13[[#This Row],[Quantity]]&lt;=3,"Small",IF(Table13[[#This Row],[Quantity]]&lt;=6,"Medium","Bulk"))</f>
        <v>Small</v>
      </c>
      <c r="T997" s="18" t="str">
        <f t="shared" si="110"/>
        <v>Normal</v>
      </c>
      <c r="U997" s="18" t="str">
        <f t="shared" si="111"/>
        <v>low Value</v>
      </c>
    </row>
    <row r="998" spans="1:21" x14ac:dyDescent="0.3">
      <c r="A998" t="s">
        <v>1006</v>
      </c>
      <c r="B998" s="1">
        <v>45283</v>
      </c>
      <c r="C998" t="s">
        <v>1213</v>
      </c>
      <c r="D998" t="s">
        <v>1217</v>
      </c>
      <c r="E998" t="s">
        <v>1219</v>
      </c>
      <c r="F998" t="s">
        <v>1238</v>
      </c>
      <c r="G998" s="6">
        <v>7</v>
      </c>
      <c r="H998">
        <v>2296</v>
      </c>
      <c r="I998">
        <v>16072</v>
      </c>
      <c r="J998" s="2">
        <v>3733.34</v>
      </c>
      <c r="K998" s="16">
        <f>Table13[[#This Row],[Profit]]/Table13[[#This Row],[Sales]]</f>
        <v>0.23228845196615233</v>
      </c>
      <c r="L998" s="17" t="str">
        <f t="shared" si="105"/>
        <v>Medium</v>
      </c>
      <c r="M998" s="17" t="str">
        <f t="shared" si="106"/>
        <v>Dec</v>
      </c>
      <c r="N998" s="18">
        <f>YEAR(Table13[[#This Row],[Order_Date]])</f>
        <v>2023</v>
      </c>
      <c r="O998" s="18">
        <f>Table13[[#This Row],[Price]]*0.7</f>
        <v>1607.1999999999998</v>
      </c>
      <c r="P998" s="18">
        <f t="shared" si="107"/>
        <v>4821.6000000000022</v>
      </c>
      <c r="Q998" s="18">
        <f t="shared" si="108"/>
        <v>0.1</v>
      </c>
      <c r="R998" s="18">
        <f t="shared" si="109"/>
        <v>12338.66</v>
      </c>
      <c r="S998" s="18" t="str">
        <f>IF(Table13[[#This Row],[Quantity]]&lt;=3,"Small",IF(Table13[[#This Row],[Quantity]]&lt;=6,"Medium","Bulk"))</f>
        <v>Bulk</v>
      </c>
      <c r="T998" s="18" t="str">
        <f t="shared" si="110"/>
        <v>Normal</v>
      </c>
      <c r="U998" s="18" t="str">
        <f t="shared" si="111"/>
        <v>Medium Value</v>
      </c>
    </row>
    <row r="999" spans="1:21" x14ac:dyDescent="0.3">
      <c r="A999" t="s">
        <v>1007</v>
      </c>
      <c r="B999" s="1">
        <v>45043</v>
      </c>
      <c r="C999" t="s">
        <v>1213</v>
      </c>
      <c r="D999" t="s">
        <v>1216</v>
      </c>
      <c r="E999" t="s">
        <v>1222</v>
      </c>
      <c r="F999" t="s">
        <v>1227</v>
      </c>
      <c r="G999" s="6">
        <v>7</v>
      </c>
      <c r="H999">
        <v>4199</v>
      </c>
      <c r="I999">
        <v>29393</v>
      </c>
      <c r="J999" s="2">
        <v>7189.99</v>
      </c>
      <c r="K999" s="16">
        <f>Table13[[#This Row],[Profit]]/Table13[[#This Row],[Sales]]</f>
        <v>0.24461572483244309</v>
      </c>
      <c r="L999" s="17" t="str">
        <f t="shared" si="105"/>
        <v>High</v>
      </c>
      <c r="M999" s="17" t="str">
        <f t="shared" si="106"/>
        <v>Apr</v>
      </c>
      <c r="N999" s="18">
        <f>YEAR(Table13[[#This Row],[Order_Date]])</f>
        <v>2023</v>
      </c>
      <c r="O999" s="18">
        <f>Table13[[#This Row],[Price]]*0.7</f>
        <v>2939.2999999999997</v>
      </c>
      <c r="P999" s="18">
        <f t="shared" si="107"/>
        <v>8817.9000000000015</v>
      </c>
      <c r="Q999" s="18">
        <f t="shared" si="108"/>
        <v>0.1</v>
      </c>
      <c r="R999" s="18">
        <f t="shared" si="109"/>
        <v>22203.01</v>
      </c>
      <c r="S999" s="18" t="str">
        <f>IF(Table13[[#This Row],[Quantity]]&lt;=3,"Small",IF(Table13[[#This Row],[Quantity]]&lt;=6,"Medium","Bulk"))</f>
        <v>Bulk</v>
      </c>
      <c r="T999" s="18" t="str">
        <f t="shared" si="110"/>
        <v>Normal</v>
      </c>
      <c r="U999" s="18" t="str">
        <f t="shared" si="111"/>
        <v>High Value</v>
      </c>
    </row>
    <row r="1000" spans="1:21" x14ac:dyDescent="0.3">
      <c r="A1000" t="s">
        <v>1008</v>
      </c>
      <c r="B1000" s="1">
        <v>45236</v>
      </c>
      <c r="C1000" t="s">
        <v>1213</v>
      </c>
      <c r="D1000" t="s">
        <v>1218</v>
      </c>
      <c r="E1000" t="s">
        <v>1222</v>
      </c>
      <c r="F1000" t="s">
        <v>1234</v>
      </c>
      <c r="G1000" s="6">
        <v>8</v>
      </c>
      <c r="H1000">
        <v>746</v>
      </c>
      <c r="I1000">
        <v>5968</v>
      </c>
      <c r="J1000" s="2">
        <v>785.6</v>
      </c>
      <c r="K1000" s="16">
        <f>Table13[[#This Row],[Profit]]/Table13[[#This Row],[Sales]]</f>
        <v>0.13163538873994637</v>
      </c>
      <c r="L1000" s="17" t="str">
        <f t="shared" si="105"/>
        <v>Low</v>
      </c>
      <c r="M1000" s="17" t="str">
        <f t="shared" si="106"/>
        <v>Nov</v>
      </c>
      <c r="N1000" s="18">
        <f>YEAR(Table13[[#This Row],[Order_Date]])</f>
        <v>2023</v>
      </c>
      <c r="O1000" s="18">
        <f>Table13[[#This Row],[Price]]*0.7</f>
        <v>522.19999999999993</v>
      </c>
      <c r="P1000" s="18">
        <f t="shared" si="107"/>
        <v>1790.4000000000005</v>
      </c>
      <c r="Q1000" s="18">
        <f t="shared" si="108"/>
        <v>0.1</v>
      </c>
      <c r="R1000" s="18">
        <f t="shared" si="109"/>
        <v>5182.3999999999996</v>
      </c>
      <c r="S1000" s="18" t="str">
        <f>IF(Table13[[#This Row],[Quantity]]&lt;=3,"Small",IF(Table13[[#This Row],[Quantity]]&lt;=6,"Medium","Bulk"))</f>
        <v>Bulk</v>
      </c>
      <c r="T1000" s="18" t="str">
        <f t="shared" si="110"/>
        <v>Normal</v>
      </c>
      <c r="U1000" s="18" t="str">
        <f t="shared" si="111"/>
        <v>low Value</v>
      </c>
    </row>
    <row r="1001" spans="1:21" x14ac:dyDescent="0.3">
      <c r="A1001" t="s">
        <v>1009</v>
      </c>
      <c r="B1001" s="1">
        <v>45233</v>
      </c>
      <c r="C1001" t="s">
        <v>1211</v>
      </c>
      <c r="D1001" t="s">
        <v>1214</v>
      </c>
      <c r="E1001" t="s">
        <v>1219</v>
      </c>
      <c r="F1001" t="s">
        <v>1232</v>
      </c>
      <c r="G1001" s="6">
        <v>3</v>
      </c>
      <c r="H1001">
        <v>1800</v>
      </c>
      <c r="I1001">
        <v>5400</v>
      </c>
      <c r="J1001" s="2">
        <v>530.42999999999995</v>
      </c>
      <c r="K1001" s="16">
        <f>Table13[[#This Row],[Profit]]/Table13[[#This Row],[Sales]]</f>
        <v>9.8227777777777775E-2</v>
      </c>
      <c r="L1001" s="17" t="str">
        <f t="shared" si="105"/>
        <v>Low</v>
      </c>
      <c r="M1001" s="17" t="str">
        <f t="shared" si="106"/>
        <v>Nov</v>
      </c>
      <c r="N1001" s="18">
        <f>YEAR(Table13[[#This Row],[Order_Date]])</f>
        <v>2023</v>
      </c>
      <c r="O1001" s="18">
        <f>Table13[[#This Row],[Price]]*0.7</f>
        <v>1260</v>
      </c>
      <c r="P1001" s="18">
        <f t="shared" si="107"/>
        <v>1620</v>
      </c>
      <c r="Q1001" s="18">
        <f t="shared" si="108"/>
        <v>0.05</v>
      </c>
      <c r="R1001" s="18">
        <f t="shared" si="109"/>
        <v>4869.57</v>
      </c>
      <c r="S1001" s="18" t="str">
        <f>IF(Table13[[#This Row],[Quantity]]&lt;=3,"Small",IF(Table13[[#This Row],[Quantity]]&lt;=6,"Medium","Bulk"))</f>
        <v>Small</v>
      </c>
      <c r="T1001" s="18" t="str">
        <f t="shared" si="110"/>
        <v>Normal</v>
      </c>
      <c r="U1001" s="18" t="str">
        <f t="shared" si="111"/>
        <v>low Value</v>
      </c>
    </row>
    <row r="1002" spans="1:21" x14ac:dyDescent="0.3">
      <c r="A1002" t="s">
        <v>1010</v>
      </c>
      <c r="B1002" s="1">
        <v>45107</v>
      </c>
      <c r="C1002" t="s">
        <v>1211</v>
      </c>
      <c r="D1002" t="s">
        <v>1217</v>
      </c>
      <c r="E1002" t="s">
        <v>1222</v>
      </c>
      <c r="F1002" t="s">
        <v>1236</v>
      </c>
      <c r="G1002" s="6">
        <v>5</v>
      </c>
      <c r="H1002">
        <v>2315</v>
      </c>
      <c r="I1002">
        <v>11575</v>
      </c>
      <c r="J1002" s="2">
        <v>2743.67</v>
      </c>
      <c r="K1002" s="16">
        <f>Table13[[#This Row],[Profit]]/Table13[[#This Row],[Sales]]</f>
        <v>0.23703412526997841</v>
      </c>
      <c r="L1002" s="17" t="str">
        <f t="shared" si="105"/>
        <v>Medium</v>
      </c>
      <c r="M1002" s="17" t="str">
        <f t="shared" si="106"/>
        <v>Jun</v>
      </c>
      <c r="N1002" s="18">
        <f>YEAR(Table13[[#This Row],[Order_Date]])</f>
        <v>2023</v>
      </c>
      <c r="O1002" s="18">
        <f>Table13[[#This Row],[Price]]*0.7</f>
        <v>1620.5</v>
      </c>
      <c r="P1002" s="18">
        <f t="shared" si="107"/>
        <v>3472.5</v>
      </c>
      <c r="Q1002" s="18">
        <f t="shared" si="108"/>
        <v>0.05</v>
      </c>
      <c r="R1002" s="18">
        <f t="shared" si="109"/>
        <v>8831.33</v>
      </c>
      <c r="S1002" s="18" t="str">
        <f>IF(Table13[[#This Row],[Quantity]]&lt;=3,"Small",IF(Table13[[#This Row],[Quantity]]&lt;=6,"Medium","Bulk"))</f>
        <v>Medium</v>
      </c>
      <c r="T1002" s="18" t="str">
        <f t="shared" si="110"/>
        <v>Normal</v>
      </c>
      <c r="U1002" s="18" t="str">
        <f t="shared" si="111"/>
        <v>Medium Value</v>
      </c>
    </row>
    <row r="1003" spans="1:21" x14ac:dyDescent="0.3">
      <c r="A1003" t="s">
        <v>1011</v>
      </c>
      <c r="B1003" s="1">
        <v>45026</v>
      </c>
      <c r="C1003" t="s">
        <v>1213</v>
      </c>
      <c r="D1003" t="s">
        <v>1216</v>
      </c>
      <c r="E1003" t="s">
        <v>1221</v>
      </c>
      <c r="F1003" t="s">
        <v>1231</v>
      </c>
      <c r="G1003" s="6">
        <v>2</v>
      </c>
      <c r="H1003">
        <v>1757</v>
      </c>
      <c r="I1003">
        <v>3514</v>
      </c>
      <c r="J1003" s="2">
        <v>418.16</v>
      </c>
      <c r="K1003" s="16">
        <f>Table13[[#This Row],[Profit]]/Table13[[#This Row],[Sales]]</f>
        <v>0.11899829254410929</v>
      </c>
      <c r="L1003" s="17" t="str">
        <f t="shared" si="105"/>
        <v>Low</v>
      </c>
      <c r="M1003" s="17" t="str">
        <f t="shared" si="106"/>
        <v>Apr</v>
      </c>
      <c r="N1003" s="18">
        <f>YEAR(Table13[[#This Row],[Order_Date]])</f>
        <v>2023</v>
      </c>
      <c r="O1003" s="18">
        <f>Table13[[#This Row],[Price]]*0.7</f>
        <v>1229.8999999999999</v>
      </c>
      <c r="P1003" s="18">
        <f t="shared" si="107"/>
        <v>1054.2000000000003</v>
      </c>
      <c r="Q1003" s="18">
        <f t="shared" si="108"/>
        <v>0.05</v>
      </c>
      <c r="R1003" s="18">
        <f t="shared" si="109"/>
        <v>3095.8399999999997</v>
      </c>
      <c r="S1003" s="18" t="str">
        <f>IF(Table13[[#This Row],[Quantity]]&lt;=3,"Small",IF(Table13[[#This Row],[Quantity]]&lt;=6,"Medium","Bulk"))</f>
        <v>Small</v>
      </c>
      <c r="T1003" s="18" t="str">
        <f t="shared" si="110"/>
        <v>Normal</v>
      </c>
      <c r="U1003" s="18" t="str">
        <f t="shared" si="111"/>
        <v>low Value</v>
      </c>
    </row>
    <row r="1004" spans="1:21" x14ac:dyDescent="0.3">
      <c r="A1004" t="s">
        <v>1012</v>
      </c>
      <c r="B1004" s="1">
        <v>45011</v>
      </c>
      <c r="C1004" t="s">
        <v>1212</v>
      </c>
      <c r="D1004" t="s">
        <v>1216</v>
      </c>
      <c r="E1004" t="s">
        <v>1219</v>
      </c>
      <c r="F1004" t="s">
        <v>1238</v>
      </c>
      <c r="G1004" s="6">
        <v>7</v>
      </c>
      <c r="H1004">
        <v>1508</v>
      </c>
      <c r="I1004">
        <v>10556</v>
      </c>
      <c r="J1004" s="2">
        <v>914.48</v>
      </c>
      <c r="K1004" s="16">
        <f>Table13[[#This Row],[Profit]]/Table13[[#This Row],[Sales]]</f>
        <v>8.6631299734748007E-2</v>
      </c>
      <c r="L1004" s="17" t="str">
        <f t="shared" si="105"/>
        <v>Medium</v>
      </c>
      <c r="M1004" s="17" t="str">
        <f t="shared" si="106"/>
        <v>Mar</v>
      </c>
      <c r="N1004" s="18">
        <f>YEAR(Table13[[#This Row],[Order_Date]])</f>
        <v>2023</v>
      </c>
      <c r="O1004" s="18">
        <f>Table13[[#This Row],[Price]]*0.7</f>
        <v>1055.5999999999999</v>
      </c>
      <c r="P1004" s="18">
        <f t="shared" si="107"/>
        <v>3166.8000000000011</v>
      </c>
      <c r="Q1004" s="18">
        <f t="shared" si="108"/>
        <v>0.1</v>
      </c>
      <c r="R1004" s="18">
        <f t="shared" si="109"/>
        <v>9641.52</v>
      </c>
      <c r="S1004" s="18" t="str">
        <f>IF(Table13[[#This Row],[Quantity]]&lt;=3,"Small",IF(Table13[[#This Row],[Quantity]]&lt;=6,"Medium","Bulk"))</f>
        <v>Bulk</v>
      </c>
      <c r="T1004" s="18" t="str">
        <f t="shared" si="110"/>
        <v>High Demand</v>
      </c>
      <c r="U1004" s="18" t="str">
        <f t="shared" si="111"/>
        <v>Medium Value</v>
      </c>
    </row>
    <row r="1005" spans="1:21" x14ac:dyDescent="0.3">
      <c r="A1005" t="s">
        <v>1013</v>
      </c>
      <c r="B1005" s="1">
        <v>45102</v>
      </c>
      <c r="C1005" t="s">
        <v>1211</v>
      </c>
      <c r="D1005" t="s">
        <v>1214</v>
      </c>
      <c r="E1005" t="s">
        <v>1219</v>
      </c>
      <c r="F1005" t="s">
        <v>1238</v>
      </c>
      <c r="G1005" s="6">
        <v>9</v>
      </c>
      <c r="H1005">
        <v>300</v>
      </c>
      <c r="I1005">
        <v>2700</v>
      </c>
      <c r="J1005" s="2">
        <v>300.19</v>
      </c>
      <c r="K1005" s="16">
        <f>Table13[[#This Row],[Profit]]/Table13[[#This Row],[Sales]]</f>
        <v>0.11118148148148148</v>
      </c>
      <c r="L1005" s="17" t="str">
        <f t="shared" si="105"/>
        <v>Low</v>
      </c>
      <c r="M1005" s="17" t="str">
        <f t="shared" si="106"/>
        <v>Jun</v>
      </c>
      <c r="N1005" s="18">
        <f>YEAR(Table13[[#This Row],[Order_Date]])</f>
        <v>2023</v>
      </c>
      <c r="O1005" s="18">
        <f>Table13[[#This Row],[Price]]*0.7</f>
        <v>210</v>
      </c>
      <c r="P1005" s="18">
        <f t="shared" si="107"/>
        <v>810</v>
      </c>
      <c r="Q1005" s="18">
        <f t="shared" si="108"/>
        <v>0.1</v>
      </c>
      <c r="R1005" s="18">
        <f t="shared" si="109"/>
        <v>2399.81</v>
      </c>
      <c r="S1005" s="18" t="str">
        <f>IF(Table13[[#This Row],[Quantity]]&lt;=3,"Small",IF(Table13[[#This Row],[Quantity]]&lt;=6,"Medium","Bulk"))</f>
        <v>Bulk</v>
      </c>
      <c r="T1005" s="18" t="str">
        <f t="shared" si="110"/>
        <v>Normal</v>
      </c>
      <c r="U1005" s="18" t="str">
        <f t="shared" si="111"/>
        <v>low Value</v>
      </c>
    </row>
    <row r="1006" spans="1:21" x14ac:dyDescent="0.3">
      <c r="A1006" t="s">
        <v>1014</v>
      </c>
      <c r="B1006" s="1">
        <v>44928</v>
      </c>
      <c r="C1006" t="s">
        <v>1210</v>
      </c>
      <c r="D1006" t="s">
        <v>1218</v>
      </c>
      <c r="E1006" t="s">
        <v>1222</v>
      </c>
      <c r="F1006" t="s">
        <v>1227</v>
      </c>
      <c r="G1006" s="6">
        <v>7</v>
      </c>
      <c r="H1006">
        <v>2742</v>
      </c>
      <c r="I1006">
        <v>19194</v>
      </c>
      <c r="J1006" s="2">
        <v>4429.92</v>
      </c>
      <c r="K1006" s="16">
        <f>Table13[[#This Row],[Profit]]/Table13[[#This Row],[Sales]]</f>
        <v>0.23079712410128164</v>
      </c>
      <c r="L1006" s="17" t="str">
        <f t="shared" si="105"/>
        <v>Medium</v>
      </c>
      <c r="M1006" s="17" t="str">
        <f t="shared" si="106"/>
        <v>Jan</v>
      </c>
      <c r="N1006" s="18">
        <f>YEAR(Table13[[#This Row],[Order_Date]])</f>
        <v>2023</v>
      </c>
      <c r="O1006" s="18">
        <f>Table13[[#This Row],[Price]]*0.7</f>
        <v>1919.3999999999999</v>
      </c>
      <c r="P1006" s="18">
        <f t="shared" si="107"/>
        <v>5758.2000000000007</v>
      </c>
      <c r="Q1006" s="18">
        <f t="shared" si="108"/>
        <v>0.1</v>
      </c>
      <c r="R1006" s="18">
        <f t="shared" si="109"/>
        <v>14764.08</v>
      </c>
      <c r="S1006" s="18" t="str">
        <f>IF(Table13[[#This Row],[Quantity]]&lt;=3,"Small",IF(Table13[[#This Row],[Quantity]]&lt;=6,"Medium","Bulk"))</f>
        <v>Bulk</v>
      </c>
      <c r="T1006" s="18" t="str">
        <f t="shared" si="110"/>
        <v>Normal</v>
      </c>
      <c r="U1006" s="18" t="str">
        <f t="shared" si="111"/>
        <v>Medium Value</v>
      </c>
    </row>
    <row r="1007" spans="1:21" x14ac:dyDescent="0.3">
      <c r="A1007" t="s">
        <v>1015</v>
      </c>
      <c r="B1007" s="1">
        <v>45066</v>
      </c>
      <c r="C1007" t="s">
        <v>1212</v>
      </c>
      <c r="D1007" t="s">
        <v>1216</v>
      </c>
      <c r="E1007" t="s">
        <v>1219</v>
      </c>
      <c r="F1007" t="s">
        <v>1238</v>
      </c>
      <c r="G1007" s="6">
        <v>5</v>
      </c>
      <c r="H1007">
        <v>3865</v>
      </c>
      <c r="I1007">
        <v>19325</v>
      </c>
      <c r="J1007" s="2">
        <v>2803.7</v>
      </c>
      <c r="K1007" s="16">
        <f>Table13[[#This Row],[Profit]]/Table13[[#This Row],[Sales]]</f>
        <v>0.14508150064683051</v>
      </c>
      <c r="L1007" s="17" t="str">
        <f t="shared" si="105"/>
        <v>Medium</v>
      </c>
      <c r="M1007" s="17" t="str">
        <f t="shared" si="106"/>
        <v>May</v>
      </c>
      <c r="N1007" s="18">
        <f>YEAR(Table13[[#This Row],[Order_Date]])</f>
        <v>2023</v>
      </c>
      <c r="O1007" s="18">
        <f>Table13[[#This Row],[Price]]*0.7</f>
        <v>2705.5</v>
      </c>
      <c r="P1007" s="18">
        <f t="shared" si="107"/>
        <v>5797.5</v>
      </c>
      <c r="Q1007" s="18">
        <f t="shared" si="108"/>
        <v>0.05</v>
      </c>
      <c r="R1007" s="18">
        <f t="shared" si="109"/>
        <v>16521.300000000003</v>
      </c>
      <c r="S1007" s="18" t="str">
        <f>IF(Table13[[#This Row],[Quantity]]&lt;=3,"Small",IF(Table13[[#This Row],[Quantity]]&lt;=6,"Medium","Bulk"))</f>
        <v>Medium</v>
      </c>
      <c r="T1007" s="18" t="str">
        <f t="shared" si="110"/>
        <v>High Demand</v>
      </c>
      <c r="U1007" s="18" t="str">
        <f t="shared" si="111"/>
        <v>Medium Value</v>
      </c>
    </row>
    <row r="1008" spans="1:21" x14ac:dyDescent="0.3">
      <c r="A1008" t="s">
        <v>1016</v>
      </c>
      <c r="B1008" s="1">
        <v>45000</v>
      </c>
      <c r="C1008" t="s">
        <v>1210</v>
      </c>
      <c r="D1008" t="s">
        <v>1218</v>
      </c>
      <c r="E1008" t="s">
        <v>1219</v>
      </c>
      <c r="F1008" t="s">
        <v>1232</v>
      </c>
      <c r="G1008" s="6">
        <v>1</v>
      </c>
      <c r="H1008">
        <v>705</v>
      </c>
      <c r="I1008">
        <v>705</v>
      </c>
      <c r="J1008" s="2">
        <v>168.6</v>
      </c>
      <c r="K1008" s="16">
        <f>Table13[[#This Row],[Profit]]/Table13[[#This Row],[Sales]]</f>
        <v>0.23914893617021277</v>
      </c>
      <c r="L1008" s="17" t="str">
        <f t="shared" si="105"/>
        <v>Low</v>
      </c>
      <c r="M1008" s="17" t="str">
        <f t="shared" si="106"/>
        <v>Mar</v>
      </c>
      <c r="N1008" s="18">
        <f>YEAR(Table13[[#This Row],[Order_Date]])</f>
        <v>2023</v>
      </c>
      <c r="O1008" s="18">
        <f>Table13[[#This Row],[Price]]*0.7</f>
        <v>493.49999999999994</v>
      </c>
      <c r="P1008" s="18">
        <f t="shared" si="107"/>
        <v>211.50000000000006</v>
      </c>
      <c r="Q1008" s="18">
        <f t="shared" si="108"/>
        <v>0.05</v>
      </c>
      <c r="R1008" s="18">
        <f t="shared" si="109"/>
        <v>536.4</v>
      </c>
      <c r="S1008" s="18" t="str">
        <f>IF(Table13[[#This Row],[Quantity]]&lt;=3,"Small",IF(Table13[[#This Row],[Quantity]]&lt;=6,"Medium","Bulk"))</f>
        <v>Small</v>
      </c>
      <c r="T1008" s="18" t="str">
        <f t="shared" si="110"/>
        <v>Normal</v>
      </c>
      <c r="U1008" s="18" t="str">
        <f t="shared" si="111"/>
        <v>low Value</v>
      </c>
    </row>
    <row r="1009" spans="1:21" x14ac:dyDescent="0.3">
      <c r="A1009" t="s">
        <v>1017</v>
      </c>
      <c r="B1009" s="1">
        <v>45026</v>
      </c>
      <c r="C1009" t="s">
        <v>1211</v>
      </c>
      <c r="D1009" t="s">
        <v>1218</v>
      </c>
      <c r="E1009" t="s">
        <v>1222</v>
      </c>
      <c r="F1009" t="s">
        <v>1234</v>
      </c>
      <c r="G1009" s="6">
        <v>9</v>
      </c>
      <c r="H1009">
        <v>1656</v>
      </c>
      <c r="I1009">
        <v>14904</v>
      </c>
      <c r="J1009" s="2">
        <v>1832.93</v>
      </c>
      <c r="K1009" s="16">
        <f>Table13[[#This Row],[Profit]]/Table13[[#This Row],[Sales]]</f>
        <v>0.12298242082662372</v>
      </c>
      <c r="L1009" s="17" t="str">
        <f t="shared" si="105"/>
        <v>Medium</v>
      </c>
      <c r="M1009" s="17" t="str">
        <f t="shared" si="106"/>
        <v>Apr</v>
      </c>
      <c r="N1009" s="18">
        <f>YEAR(Table13[[#This Row],[Order_Date]])</f>
        <v>2023</v>
      </c>
      <c r="O1009" s="18">
        <f>Table13[[#This Row],[Price]]*0.7</f>
        <v>1159.1999999999998</v>
      </c>
      <c r="P1009" s="18">
        <f t="shared" si="107"/>
        <v>4471.2000000000007</v>
      </c>
      <c r="Q1009" s="18">
        <f t="shared" si="108"/>
        <v>0.1</v>
      </c>
      <c r="R1009" s="18">
        <f t="shared" si="109"/>
        <v>13071.07</v>
      </c>
      <c r="S1009" s="18" t="str">
        <f>IF(Table13[[#This Row],[Quantity]]&lt;=3,"Small",IF(Table13[[#This Row],[Quantity]]&lt;=6,"Medium","Bulk"))</f>
        <v>Bulk</v>
      </c>
      <c r="T1009" s="18" t="str">
        <f t="shared" si="110"/>
        <v>Normal</v>
      </c>
      <c r="U1009" s="18" t="str">
        <f t="shared" si="111"/>
        <v>Medium Value</v>
      </c>
    </row>
    <row r="1010" spans="1:21" x14ac:dyDescent="0.3">
      <c r="A1010" t="s">
        <v>1018</v>
      </c>
      <c r="B1010" s="1">
        <v>45046</v>
      </c>
      <c r="C1010" t="s">
        <v>1211</v>
      </c>
      <c r="D1010" t="s">
        <v>1215</v>
      </c>
      <c r="E1010" t="s">
        <v>1220</v>
      </c>
      <c r="F1010" t="s">
        <v>1239</v>
      </c>
      <c r="G1010" s="6">
        <v>2</v>
      </c>
      <c r="H1010">
        <v>2709</v>
      </c>
      <c r="I1010">
        <v>5418</v>
      </c>
      <c r="J1010" s="2">
        <v>755.37</v>
      </c>
      <c r="K1010" s="16">
        <f>Table13[[#This Row],[Profit]]/Table13[[#This Row],[Sales]]</f>
        <v>0.13941860465116279</v>
      </c>
      <c r="L1010" s="17" t="str">
        <f t="shared" si="105"/>
        <v>Low</v>
      </c>
      <c r="M1010" s="17" t="str">
        <f t="shared" si="106"/>
        <v>Apr</v>
      </c>
      <c r="N1010" s="18">
        <f>YEAR(Table13[[#This Row],[Order_Date]])</f>
        <v>2023</v>
      </c>
      <c r="O1010" s="18">
        <f>Table13[[#This Row],[Price]]*0.7</f>
        <v>1896.3</v>
      </c>
      <c r="P1010" s="18">
        <f t="shared" si="107"/>
        <v>1625.4</v>
      </c>
      <c r="Q1010" s="18">
        <f t="shared" si="108"/>
        <v>0.05</v>
      </c>
      <c r="R1010" s="18">
        <f t="shared" si="109"/>
        <v>4662.63</v>
      </c>
      <c r="S1010" s="18" t="str">
        <f>IF(Table13[[#This Row],[Quantity]]&lt;=3,"Small",IF(Table13[[#This Row],[Quantity]]&lt;=6,"Medium","Bulk"))</f>
        <v>Small</v>
      </c>
      <c r="T1010" s="18" t="str">
        <f t="shared" si="110"/>
        <v>Normal</v>
      </c>
      <c r="U1010" s="18" t="str">
        <f t="shared" si="111"/>
        <v>low Value</v>
      </c>
    </row>
    <row r="1011" spans="1:21" x14ac:dyDescent="0.3">
      <c r="A1011" t="s">
        <v>1019</v>
      </c>
      <c r="B1011" s="1">
        <v>45098</v>
      </c>
      <c r="C1011" t="s">
        <v>1210</v>
      </c>
      <c r="D1011" t="s">
        <v>1214</v>
      </c>
      <c r="E1011" t="s">
        <v>1219</v>
      </c>
      <c r="F1011" t="s">
        <v>1232</v>
      </c>
      <c r="G1011" s="6">
        <v>4</v>
      </c>
      <c r="H1011">
        <v>2329</v>
      </c>
      <c r="I1011">
        <v>9316</v>
      </c>
      <c r="J1011" s="2">
        <v>1470.22</v>
      </c>
      <c r="K1011" s="16">
        <f>Table13[[#This Row],[Profit]]/Table13[[#This Row],[Sales]]</f>
        <v>0.15781665951051954</v>
      </c>
      <c r="L1011" s="17" t="str">
        <f t="shared" si="105"/>
        <v>Low</v>
      </c>
      <c r="M1011" s="17" t="str">
        <f t="shared" si="106"/>
        <v>Jun</v>
      </c>
      <c r="N1011" s="18">
        <f>YEAR(Table13[[#This Row],[Order_Date]])</f>
        <v>2023</v>
      </c>
      <c r="O1011" s="18">
        <f>Table13[[#This Row],[Price]]*0.7</f>
        <v>1630.3</v>
      </c>
      <c r="P1011" s="18">
        <f t="shared" si="107"/>
        <v>2794.8</v>
      </c>
      <c r="Q1011" s="18">
        <f t="shared" si="108"/>
        <v>0.05</v>
      </c>
      <c r="R1011" s="18">
        <f t="shared" si="109"/>
        <v>7845.7800000000007</v>
      </c>
      <c r="S1011" s="18" t="str">
        <f>IF(Table13[[#This Row],[Quantity]]&lt;=3,"Small",IF(Table13[[#This Row],[Quantity]]&lt;=6,"Medium","Bulk"))</f>
        <v>Medium</v>
      </c>
      <c r="T1011" s="18" t="str">
        <f t="shared" si="110"/>
        <v>Normal</v>
      </c>
      <c r="U1011" s="18" t="str">
        <f t="shared" si="111"/>
        <v>low Value</v>
      </c>
    </row>
    <row r="1012" spans="1:21" x14ac:dyDescent="0.3">
      <c r="A1012" t="s">
        <v>1020</v>
      </c>
      <c r="B1012" s="1">
        <v>45028</v>
      </c>
      <c r="C1012" t="s">
        <v>1212</v>
      </c>
      <c r="D1012" t="s">
        <v>1217</v>
      </c>
      <c r="E1012" t="s">
        <v>1220</v>
      </c>
      <c r="F1012" t="s">
        <v>1237</v>
      </c>
      <c r="G1012" s="6">
        <v>3</v>
      </c>
      <c r="H1012">
        <v>4357</v>
      </c>
      <c r="I1012">
        <v>13071</v>
      </c>
      <c r="J1012" s="2">
        <v>1432.23</v>
      </c>
      <c r="K1012" s="16">
        <f>Table13[[#This Row],[Profit]]/Table13[[#This Row],[Sales]]</f>
        <v>0.10957310075740188</v>
      </c>
      <c r="L1012" s="17" t="str">
        <f t="shared" si="105"/>
        <v>Medium</v>
      </c>
      <c r="M1012" s="17" t="str">
        <f t="shared" si="106"/>
        <v>Apr</v>
      </c>
      <c r="N1012" s="18">
        <f>YEAR(Table13[[#This Row],[Order_Date]])</f>
        <v>2023</v>
      </c>
      <c r="O1012" s="18">
        <f>Table13[[#This Row],[Price]]*0.7</f>
        <v>3049.8999999999996</v>
      </c>
      <c r="P1012" s="18">
        <f t="shared" si="107"/>
        <v>3921.3000000000011</v>
      </c>
      <c r="Q1012" s="18">
        <f t="shared" si="108"/>
        <v>0.05</v>
      </c>
      <c r="R1012" s="18">
        <f t="shared" si="109"/>
        <v>11638.77</v>
      </c>
      <c r="S1012" s="18" t="str">
        <f>IF(Table13[[#This Row],[Quantity]]&lt;=3,"Small",IF(Table13[[#This Row],[Quantity]]&lt;=6,"Medium","Bulk"))</f>
        <v>Small</v>
      </c>
      <c r="T1012" s="18" t="str">
        <f t="shared" si="110"/>
        <v>High Demand</v>
      </c>
      <c r="U1012" s="18" t="str">
        <f t="shared" si="111"/>
        <v>Medium Value</v>
      </c>
    </row>
    <row r="1013" spans="1:21" x14ac:dyDescent="0.3">
      <c r="A1013" t="s">
        <v>1021</v>
      </c>
      <c r="B1013" s="1">
        <v>45122</v>
      </c>
      <c r="C1013" t="s">
        <v>1210</v>
      </c>
      <c r="D1013" t="s">
        <v>1218</v>
      </c>
      <c r="E1013" t="s">
        <v>1220</v>
      </c>
      <c r="F1013" t="s">
        <v>1225</v>
      </c>
      <c r="G1013" s="6">
        <v>4</v>
      </c>
      <c r="H1013">
        <v>4407</v>
      </c>
      <c r="I1013">
        <v>17628</v>
      </c>
      <c r="J1013" s="2">
        <v>4405.05</v>
      </c>
      <c r="K1013" s="16">
        <f>Table13[[#This Row],[Profit]]/Table13[[#This Row],[Sales]]</f>
        <v>0.24988938053097345</v>
      </c>
      <c r="L1013" s="17" t="str">
        <f t="shared" si="105"/>
        <v>Medium</v>
      </c>
      <c r="M1013" s="17" t="str">
        <f t="shared" si="106"/>
        <v>Jul</v>
      </c>
      <c r="N1013" s="18">
        <f>YEAR(Table13[[#This Row],[Order_Date]])</f>
        <v>2023</v>
      </c>
      <c r="O1013" s="18">
        <f>Table13[[#This Row],[Price]]*0.7</f>
        <v>3084.8999999999996</v>
      </c>
      <c r="P1013" s="18">
        <f t="shared" si="107"/>
        <v>5288.4000000000015</v>
      </c>
      <c r="Q1013" s="18">
        <f t="shared" si="108"/>
        <v>0.05</v>
      </c>
      <c r="R1013" s="18">
        <f t="shared" si="109"/>
        <v>13222.95</v>
      </c>
      <c r="S1013" s="18" t="str">
        <f>IF(Table13[[#This Row],[Quantity]]&lt;=3,"Small",IF(Table13[[#This Row],[Quantity]]&lt;=6,"Medium","Bulk"))</f>
        <v>Medium</v>
      </c>
      <c r="T1013" s="18" t="str">
        <f t="shared" si="110"/>
        <v>Normal</v>
      </c>
      <c r="U1013" s="18" t="str">
        <f t="shared" si="111"/>
        <v>Medium Value</v>
      </c>
    </row>
    <row r="1014" spans="1:21" x14ac:dyDescent="0.3">
      <c r="A1014" t="s">
        <v>1022</v>
      </c>
      <c r="B1014" s="1">
        <v>45162</v>
      </c>
      <c r="C1014" t="s">
        <v>1212</v>
      </c>
      <c r="D1014" t="s">
        <v>1215</v>
      </c>
      <c r="E1014" t="s">
        <v>1221</v>
      </c>
      <c r="F1014" t="s">
        <v>1226</v>
      </c>
      <c r="G1014" s="6">
        <v>5</v>
      </c>
      <c r="H1014">
        <v>4815</v>
      </c>
      <c r="I1014">
        <v>24075</v>
      </c>
      <c r="J1014" s="2">
        <v>3984.14</v>
      </c>
      <c r="K1014" s="16">
        <f>Table13[[#This Row],[Profit]]/Table13[[#This Row],[Sales]]</f>
        <v>0.16548868120456905</v>
      </c>
      <c r="L1014" s="17" t="str">
        <f t="shared" si="105"/>
        <v>High</v>
      </c>
      <c r="M1014" s="17" t="str">
        <f t="shared" si="106"/>
        <v>Aug</v>
      </c>
      <c r="N1014" s="18">
        <f>YEAR(Table13[[#This Row],[Order_Date]])</f>
        <v>2023</v>
      </c>
      <c r="O1014" s="18">
        <f>Table13[[#This Row],[Price]]*0.7</f>
        <v>3370.5</v>
      </c>
      <c r="P1014" s="18">
        <f t="shared" si="107"/>
        <v>7222.5</v>
      </c>
      <c r="Q1014" s="18">
        <f t="shared" si="108"/>
        <v>0.05</v>
      </c>
      <c r="R1014" s="18">
        <f t="shared" si="109"/>
        <v>20090.86</v>
      </c>
      <c r="S1014" s="18" t="str">
        <f>IF(Table13[[#This Row],[Quantity]]&lt;=3,"Small",IF(Table13[[#This Row],[Quantity]]&lt;=6,"Medium","Bulk"))</f>
        <v>Medium</v>
      </c>
      <c r="T1014" s="18" t="str">
        <f t="shared" si="110"/>
        <v>High Demand</v>
      </c>
      <c r="U1014" s="18" t="str">
        <f t="shared" si="111"/>
        <v>High Value</v>
      </c>
    </row>
    <row r="1015" spans="1:21" x14ac:dyDescent="0.3">
      <c r="A1015" t="s">
        <v>1023</v>
      </c>
      <c r="B1015" s="1">
        <v>45052</v>
      </c>
      <c r="C1015" t="s">
        <v>1210</v>
      </c>
      <c r="D1015" t="s">
        <v>1217</v>
      </c>
      <c r="E1015" t="s">
        <v>1219</v>
      </c>
      <c r="F1015" t="s">
        <v>1232</v>
      </c>
      <c r="G1015" s="6">
        <v>9</v>
      </c>
      <c r="H1015">
        <v>2481</v>
      </c>
      <c r="I1015">
        <v>22329</v>
      </c>
      <c r="J1015" s="2">
        <v>2407.8200000000002</v>
      </c>
      <c r="K1015" s="16">
        <f>Table13[[#This Row],[Profit]]/Table13[[#This Row],[Sales]]</f>
        <v>0.10783375878901877</v>
      </c>
      <c r="L1015" s="17" t="str">
        <f t="shared" si="105"/>
        <v>High</v>
      </c>
      <c r="M1015" s="17" t="str">
        <f t="shared" si="106"/>
        <v>May</v>
      </c>
      <c r="N1015" s="18">
        <f>YEAR(Table13[[#This Row],[Order_Date]])</f>
        <v>2023</v>
      </c>
      <c r="O1015" s="18">
        <f>Table13[[#This Row],[Price]]*0.7</f>
        <v>1736.6999999999998</v>
      </c>
      <c r="P1015" s="18">
        <f t="shared" si="107"/>
        <v>6698.7000000000007</v>
      </c>
      <c r="Q1015" s="18">
        <f t="shared" si="108"/>
        <v>0.1</v>
      </c>
      <c r="R1015" s="18">
        <f t="shared" si="109"/>
        <v>19921.18</v>
      </c>
      <c r="S1015" s="18" t="str">
        <f>IF(Table13[[#This Row],[Quantity]]&lt;=3,"Small",IF(Table13[[#This Row],[Quantity]]&lt;=6,"Medium","Bulk"))</f>
        <v>Bulk</v>
      </c>
      <c r="T1015" s="18" t="str">
        <f t="shared" si="110"/>
        <v>Normal</v>
      </c>
      <c r="U1015" s="18" t="str">
        <f t="shared" si="111"/>
        <v>High Value</v>
      </c>
    </row>
    <row r="1016" spans="1:21" x14ac:dyDescent="0.3">
      <c r="A1016" t="s">
        <v>1024</v>
      </c>
      <c r="B1016" s="1">
        <v>45212</v>
      </c>
      <c r="C1016" t="s">
        <v>1212</v>
      </c>
      <c r="D1016" t="s">
        <v>1217</v>
      </c>
      <c r="E1016" t="s">
        <v>1221</v>
      </c>
      <c r="F1016" t="s">
        <v>1231</v>
      </c>
      <c r="G1016" s="6">
        <v>3</v>
      </c>
      <c r="H1016">
        <v>4769</v>
      </c>
      <c r="I1016">
        <v>14307</v>
      </c>
      <c r="J1016" s="2">
        <v>2064.6999999999998</v>
      </c>
      <c r="K1016" s="16">
        <f>Table13[[#This Row],[Profit]]/Table13[[#This Row],[Sales]]</f>
        <v>0.14431397218144962</v>
      </c>
      <c r="L1016" s="17" t="str">
        <f t="shared" si="105"/>
        <v>Medium</v>
      </c>
      <c r="M1016" s="17" t="str">
        <f t="shared" si="106"/>
        <v>Oct</v>
      </c>
      <c r="N1016" s="18">
        <f>YEAR(Table13[[#This Row],[Order_Date]])</f>
        <v>2023</v>
      </c>
      <c r="O1016" s="18">
        <f>Table13[[#This Row],[Price]]*0.7</f>
        <v>3338.2999999999997</v>
      </c>
      <c r="P1016" s="18">
        <f t="shared" si="107"/>
        <v>4292.1000000000004</v>
      </c>
      <c r="Q1016" s="18">
        <f t="shared" si="108"/>
        <v>0.05</v>
      </c>
      <c r="R1016" s="18">
        <f t="shared" si="109"/>
        <v>12242.300000000001</v>
      </c>
      <c r="S1016" s="18" t="str">
        <f>IF(Table13[[#This Row],[Quantity]]&lt;=3,"Small",IF(Table13[[#This Row],[Quantity]]&lt;=6,"Medium","Bulk"))</f>
        <v>Small</v>
      </c>
      <c r="T1016" s="18" t="str">
        <f t="shared" si="110"/>
        <v>High Demand</v>
      </c>
      <c r="U1016" s="18" t="str">
        <f t="shared" si="111"/>
        <v>Medium Value</v>
      </c>
    </row>
    <row r="1017" spans="1:21" x14ac:dyDescent="0.3">
      <c r="A1017" t="s">
        <v>1025</v>
      </c>
      <c r="B1017" s="1">
        <v>45105</v>
      </c>
      <c r="C1017" t="s">
        <v>1212</v>
      </c>
      <c r="D1017" t="s">
        <v>1216</v>
      </c>
      <c r="E1017" t="s">
        <v>1220</v>
      </c>
      <c r="F1017" t="s">
        <v>1225</v>
      </c>
      <c r="G1017" s="6">
        <v>3</v>
      </c>
      <c r="H1017">
        <v>4725</v>
      </c>
      <c r="I1017">
        <v>14175</v>
      </c>
      <c r="J1017" s="2">
        <v>2373.9699999999998</v>
      </c>
      <c r="K1017" s="16">
        <f>Table13[[#This Row],[Profit]]/Table13[[#This Row],[Sales]]</f>
        <v>0.16747583774250441</v>
      </c>
      <c r="L1017" s="17" t="str">
        <f t="shared" si="105"/>
        <v>Medium</v>
      </c>
      <c r="M1017" s="17" t="str">
        <f t="shared" si="106"/>
        <v>Jun</v>
      </c>
      <c r="N1017" s="18">
        <f>YEAR(Table13[[#This Row],[Order_Date]])</f>
        <v>2023</v>
      </c>
      <c r="O1017" s="18">
        <f>Table13[[#This Row],[Price]]*0.7</f>
        <v>3307.5</v>
      </c>
      <c r="P1017" s="18">
        <f t="shared" si="107"/>
        <v>4252.5</v>
      </c>
      <c r="Q1017" s="18">
        <f t="shared" si="108"/>
        <v>0.05</v>
      </c>
      <c r="R1017" s="18">
        <f t="shared" si="109"/>
        <v>11801.03</v>
      </c>
      <c r="S1017" s="18" t="str">
        <f>IF(Table13[[#This Row],[Quantity]]&lt;=3,"Small",IF(Table13[[#This Row],[Quantity]]&lt;=6,"Medium","Bulk"))</f>
        <v>Small</v>
      </c>
      <c r="T1017" s="18" t="str">
        <f t="shared" si="110"/>
        <v>High Demand</v>
      </c>
      <c r="U1017" s="18" t="str">
        <f t="shared" si="111"/>
        <v>Medium Value</v>
      </c>
    </row>
    <row r="1018" spans="1:21" x14ac:dyDescent="0.3">
      <c r="A1018" t="s">
        <v>1026</v>
      </c>
      <c r="B1018" s="1">
        <v>45172</v>
      </c>
      <c r="C1018" t="s">
        <v>1212</v>
      </c>
      <c r="D1018" t="s">
        <v>1216</v>
      </c>
      <c r="E1018" t="s">
        <v>1219</v>
      </c>
      <c r="F1018" t="s">
        <v>1238</v>
      </c>
      <c r="G1018" s="6">
        <v>7</v>
      </c>
      <c r="H1018">
        <v>1616</v>
      </c>
      <c r="I1018">
        <v>11312</v>
      </c>
      <c r="J1018" s="2">
        <v>940.6</v>
      </c>
      <c r="K1018" s="16">
        <f>Table13[[#This Row],[Profit]]/Table13[[#This Row],[Sales]]</f>
        <v>8.3150636492220653E-2</v>
      </c>
      <c r="L1018" s="17" t="str">
        <f t="shared" si="105"/>
        <v>Medium</v>
      </c>
      <c r="M1018" s="17" t="str">
        <f t="shared" si="106"/>
        <v>Sep</v>
      </c>
      <c r="N1018" s="18">
        <f>YEAR(Table13[[#This Row],[Order_Date]])</f>
        <v>2023</v>
      </c>
      <c r="O1018" s="18">
        <f>Table13[[#This Row],[Price]]*0.7</f>
        <v>1131.1999999999998</v>
      </c>
      <c r="P1018" s="18">
        <f t="shared" si="107"/>
        <v>3393.6000000000013</v>
      </c>
      <c r="Q1018" s="18">
        <f t="shared" si="108"/>
        <v>0.1</v>
      </c>
      <c r="R1018" s="18">
        <f t="shared" si="109"/>
        <v>10371.4</v>
      </c>
      <c r="S1018" s="18" t="str">
        <f>IF(Table13[[#This Row],[Quantity]]&lt;=3,"Small",IF(Table13[[#This Row],[Quantity]]&lt;=6,"Medium","Bulk"))</f>
        <v>Bulk</v>
      </c>
      <c r="T1018" s="18" t="str">
        <f t="shared" si="110"/>
        <v>High Demand</v>
      </c>
      <c r="U1018" s="18" t="str">
        <f t="shared" si="111"/>
        <v>Medium Value</v>
      </c>
    </row>
    <row r="1019" spans="1:21" x14ac:dyDescent="0.3">
      <c r="A1019" t="s">
        <v>1027</v>
      </c>
      <c r="B1019" s="1">
        <v>45036</v>
      </c>
      <c r="C1019" t="s">
        <v>1212</v>
      </c>
      <c r="D1019" t="s">
        <v>1217</v>
      </c>
      <c r="E1019" t="s">
        <v>1221</v>
      </c>
      <c r="F1019" t="s">
        <v>1235</v>
      </c>
      <c r="G1019" s="6">
        <v>2</v>
      </c>
      <c r="H1019">
        <v>2599</v>
      </c>
      <c r="I1019">
        <v>5198</v>
      </c>
      <c r="J1019" s="2">
        <v>854.79</v>
      </c>
      <c r="K1019" s="16">
        <f>Table13[[#This Row],[Profit]]/Table13[[#This Row],[Sales]]</f>
        <v>0.16444594074644092</v>
      </c>
      <c r="L1019" s="17" t="str">
        <f t="shared" si="105"/>
        <v>Low</v>
      </c>
      <c r="M1019" s="17" t="str">
        <f t="shared" si="106"/>
        <v>Apr</v>
      </c>
      <c r="N1019" s="18">
        <f>YEAR(Table13[[#This Row],[Order_Date]])</f>
        <v>2023</v>
      </c>
      <c r="O1019" s="18">
        <f>Table13[[#This Row],[Price]]*0.7</f>
        <v>1819.3</v>
      </c>
      <c r="P1019" s="18">
        <f t="shared" si="107"/>
        <v>1559.4</v>
      </c>
      <c r="Q1019" s="18">
        <f t="shared" si="108"/>
        <v>0.05</v>
      </c>
      <c r="R1019" s="18">
        <f t="shared" si="109"/>
        <v>4343.21</v>
      </c>
      <c r="S1019" s="18" t="str">
        <f>IF(Table13[[#This Row],[Quantity]]&lt;=3,"Small",IF(Table13[[#This Row],[Quantity]]&lt;=6,"Medium","Bulk"))</f>
        <v>Small</v>
      </c>
      <c r="T1019" s="18" t="str">
        <f t="shared" si="110"/>
        <v>High Demand</v>
      </c>
      <c r="U1019" s="18" t="str">
        <f t="shared" si="111"/>
        <v>low Value</v>
      </c>
    </row>
    <row r="1020" spans="1:21" x14ac:dyDescent="0.3">
      <c r="A1020" t="s">
        <v>1028</v>
      </c>
      <c r="B1020" s="1">
        <v>45088</v>
      </c>
      <c r="C1020" t="s">
        <v>1212</v>
      </c>
      <c r="D1020" t="s">
        <v>1214</v>
      </c>
      <c r="E1020" t="s">
        <v>1220</v>
      </c>
      <c r="F1020" t="s">
        <v>1224</v>
      </c>
      <c r="G1020" s="6">
        <v>8</v>
      </c>
      <c r="H1020">
        <v>882</v>
      </c>
      <c r="I1020">
        <v>7056</v>
      </c>
      <c r="J1020" s="2">
        <v>997.27</v>
      </c>
      <c r="K1020" s="16">
        <f>Table13[[#This Row],[Profit]]/Table13[[#This Row],[Sales]]</f>
        <v>0.14133645124716554</v>
      </c>
      <c r="L1020" s="17" t="str">
        <f t="shared" si="105"/>
        <v>Low</v>
      </c>
      <c r="M1020" s="17" t="str">
        <f t="shared" si="106"/>
        <v>Jun</v>
      </c>
      <c r="N1020" s="18">
        <f>YEAR(Table13[[#This Row],[Order_Date]])</f>
        <v>2023</v>
      </c>
      <c r="O1020" s="18">
        <f>Table13[[#This Row],[Price]]*0.7</f>
        <v>617.4</v>
      </c>
      <c r="P1020" s="18">
        <f t="shared" si="107"/>
        <v>2116.8000000000002</v>
      </c>
      <c r="Q1020" s="18">
        <f t="shared" si="108"/>
        <v>0.1</v>
      </c>
      <c r="R1020" s="18">
        <f t="shared" si="109"/>
        <v>6058.73</v>
      </c>
      <c r="S1020" s="18" t="str">
        <f>IF(Table13[[#This Row],[Quantity]]&lt;=3,"Small",IF(Table13[[#This Row],[Quantity]]&lt;=6,"Medium","Bulk"))</f>
        <v>Bulk</v>
      </c>
      <c r="T1020" s="18" t="str">
        <f t="shared" si="110"/>
        <v>High Demand</v>
      </c>
      <c r="U1020" s="18" t="str">
        <f t="shared" si="111"/>
        <v>low Value</v>
      </c>
    </row>
    <row r="1021" spans="1:21" x14ac:dyDescent="0.3">
      <c r="A1021" t="s">
        <v>1029</v>
      </c>
      <c r="B1021" s="1">
        <v>45231</v>
      </c>
      <c r="C1021" t="s">
        <v>1211</v>
      </c>
      <c r="D1021" t="s">
        <v>1216</v>
      </c>
      <c r="E1021" t="s">
        <v>1222</v>
      </c>
      <c r="F1021" t="s">
        <v>1227</v>
      </c>
      <c r="G1021" s="6">
        <v>9</v>
      </c>
      <c r="H1021">
        <v>1010</v>
      </c>
      <c r="I1021">
        <v>9090</v>
      </c>
      <c r="J1021" s="2">
        <v>1330.32</v>
      </c>
      <c r="K1021" s="16">
        <f>Table13[[#This Row],[Profit]]/Table13[[#This Row],[Sales]]</f>
        <v>0.14634983498349835</v>
      </c>
      <c r="L1021" s="17" t="str">
        <f t="shared" si="105"/>
        <v>Low</v>
      </c>
      <c r="M1021" s="17" t="str">
        <f t="shared" si="106"/>
        <v>Nov</v>
      </c>
      <c r="N1021" s="18">
        <f>YEAR(Table13[[#This Row],[Order_Date]])</f>
        <v>2023</v>
      </c>
      <c r="O1021" s="18">
        <f>Table13[[#This Row],[Price]]*0.7</f>
        <v>707</v>
      </c>
      <c r="P1021" s="18">
        <f t="shared" si="107"/>
        <v>2727</v>
      </c>
      <c r="Q1021" s="18">
        <f t="shared" si="108"/>
        <v>0.1</v>
      </c>
      <c r="R1021" s="18">
        <f t="shared" si="109"/>
        <v>7759.6799999999994</v>
      </c>
      <c r="S1021" s="18" t="str">
        <f>IF(Table13[[#This Row],[Quantity]]&lt;=3,"Small",IF(Table13[[#This Row],[Quantity]]&lt;=6,"Medium","Bulk"))</f>
        <v>Bulk</v>
      </c>
      <c r="T1021" s="18" t="str">
        <f t="shared" si="110"/>
        <v>Normal</v>
      </c>
      <c r="U1021" s="18" t="str">
        <f t="shared" si="111"/>
        <v>low Value</v>
      </c>
    </row>
    <row r="1022" spans="1:21" x14ac:dyDescent="0.3">
      <c r="A1022" t="s">
        <v>1030</v>
      </c>
      <c r="B1022" s="1">
        <v>45072</v>
      </c>
      <c r="C1022" t="s">
        <v>1212</v>
      </c>
      <c r="D1022" t="s">
        <v>1216</v>
      </c>
      <c r="E1022" t="s">
        <v>1222</v>
      </c>
      <c r="F1022" t="s">
        <v>1236</v>
      </c>
      <c r="G1022" s="6">
        <v>2</v>
      </c>
      <c r="H1022">
        <v>2770</v>
      </c>
      <c r="I1022">
        <v>5540</v>
      </c>
      <c r="J1022" s="2">
        <v>1036.55</v>
      </c>
      <c r="K1022" s="16">
        <f>Table13[[#This Row],[Profit]]/Table13[[#This Row],[Sales]]</f>
        <v>0.1871028880866426</v>
      </c>
      <c r="L1022" s="17" t="str">
        <f t="shared" si="105"/>
        <v>Low</v>
      </c>
      <c r="M1022" s="17" t="str">
        <f t="shared" si="106"/>
        <v>May</v>
      </c>
      <c r="N1022" s="18">
        <f>YEAR(Table13[[#This Row],[Order_Date]])</f>
        <v>2023</v>
      </c>
      <c r="O1022" s="18">
        <f>Table13[[#This Row],[Price]]*0.7</f>
        <v>1938.9999999999998</v>
      </c>
      <c r="P1022" s="18">
        <f t="shared" si="107"/>
        <v>1662.0000000000005</v>
      </c>
      <c r="Q1022" s="18">
        <f t="shared" si="108"/>
        <v>0.05</v>
      </c>
      <c r="R1022" s="18">
        <f t="shared" si="109"/>
        <v>4503.4500000000007</v>
      </c>
      <c r="S1022" s="18" t="str">
        <f>IF(Table13[[#This Row],[Quantity]]&lt;=3,"Small",IF(Table13[[#This Row],[Quantity]]&lt;=6,"Medium","Bulk"))</f>
        <v>Small</v>
      </c>
      <c r="T1022" s="18" t="str">
        <f t="shared" si="110"/>
        <v>High Demand</v>
      </c>
      <c r="U1022" s="18" t="str">
        <f t="shared" si="111"/>
        <v>low Value</v>
      </c>
    </row>
    <row r="1023" spans="1:21" x14ac:dyDescent="0.3">
      <c r="A1023" t="s">
        <v>1031</v>
      </c>
      <c r="B1023" s="1">
        <v>45040</v>
      </c>
      <c r="C1023" t="s">
        <v>1210</v>
      </c>
      <c r="D1023" t="s">
        <v>1215</v>
      </c>
      <c r="E1023" t="s">
        <v>1221</v>
      </c>
      <c r="F1023" t="s">
        <v>1226</v>
      </c>
      <c r="G1023" s="6">
        <v>6</v>
      </c>
      <c r="H1023">
        <v>3964</v>
      </c>
      <c r="I1023">
        <v>23784</v>
      </c>
      <c r="J1023" s="2">
        <v>2858.85</v>
      </c>
      <c r="K1023" s="16">
        <f>Table13[[#This Row],[Profit]]/Table13[[#This Row],[Sales]]</f>
        <v>0.12020055499495459</v>
      </c>
      <c r="L1023" s="17" t="str">
        <f t="shared" si="105"/>
        <v>High</v>
      </c>
      <c r="M1023" s="17" t="str">
        <f t="shared" si="106"/>
        <v>Apr</v>
      </c>
      <c r="N1023" s="18">
        <f>YEAR(Table13[[#This Row],[Order_Date]])</f>
        <v>2023</v>
      </c>
      <c r="O1023" s="18">
        <f>Table13[[#This Row],[Price]]*0.7</f>
        <v>2774.7999999999997</v>
      </c>
      <c r="P1023" s="18">
        <f t="shared" si="107"/>
        <v>7135.2000000000007</v>
      </c>
      <c r="Q1023" s="18">
        <f t="shared" si="108"/>
        <v>0.1</v>
      </c>
      <c r="R1023" s="18">
        <f t="shared" si="109"/>
        <v>20925.149999999998</v>
      </c>
      <c r="S1023" s="18" t="str">
        <f>IF(Table13[[#This Row],[Quantity]]&lt;=3,"Small",IF(Table13[[#This Row],[Quantity]]&lt;=6,"Medium","Bulk"))</f>
        <v>Medium</v>
      </c>
      <c r="T1023" s="18" t="str">
        <f t="shared" si="110"/>
        <v>Normal</v>
      </c>
      <c r="U1023" s="18" t="str">
        <f t="shared" si="111"/>
        <v>High Value</v>
      </c>
    </row>
    <row r="1024" spans="1:21" x14ac:dyDescent="0.3">
      <c r="A1024" t="s">
        <v>1032</v>
      </c>
      <c r="B1024" s="1">
        <v>45255</v>
      </c>
      <c r="C1024" t="s">
        <v>1210</v>
      </c>
      <c r="D1024" t="s">
        <v>1216</v>
      </c>
      <c r="E1024" t="s">
        <v>1221</v>
      </c>
      <c r="F1024" t="s">
        <v>1229</v>
      </c>
      <c r="G1024" s="6">
        <v>8</v>
      </c>
      <c r="H1024">
        <v>1833</v>
      </c>
      <c r="I1024">
        <v>14664</v>
      </c>
      <c r="J1024" s="2">
        <v>1578.24</v>
      </c>
      <c r="K1024" s="16">
        <f>Table13[[#This Row],[Profit]]/Table13[[#This Row],[Sales]]</f>
        <v>0.10762684124386251</v>
      </c>
      <c r="L1024" s="17" t="str">
        <f t="shared" si="105"/>
        <v>Medium</v>
      </c>
      <c r="M1024" s="17" t="str">
        <f t="shared" si="106"/>
        <v>Nov</v>
      </c>
      <c r="N1024" s="18">
        <f>YEAR(Table13[[#This Row],[Order_Date]])</f>
        <v>2023</v>
      </c>
      <c r="O1024" s="18">
        <f>Table13[[#This Row],[Price]]*0.7</f>
        <v>1283.0999999999999</v>
      </c>
      <c r="P1024" s="18">
        <f t="shared" si="107"/>
        <v>4399.2000000000007</v>
      </c>
      <c r="Q1024" s="18">
        <f t="shared" si="108"/>
        <v>0.1</v>
      </c>
      <c r="R1024" s="18">
        <f t="shared" si="109"/>
        <v>13085.759999999998</v>
      </c>
      <c r="S1024" s="18" t="str">
        <f>IF(Table13[[#This Row],[Quantity]]&lt;=3,"Small",IF(Table13[[#This Row],[Quantity]]&lt;=6,"Medium","Bulk"))</f>
        <v>Bulk</v>
      </c>
      <c r="T1024" s="18" t="str">
        <f t="shared" si="110"/>
        <v>Normal</v>
      </c>
      <c r="U1024" s="18" t="str">
        <f t="shared" si="111"/>
        <v>Medium Value</v>
      </c>
    </row>
    <row r="1025" spans="1:21" x14ac:dyDescent="0.3">
      <c r="A1025" t="s">
        <v>1033</v>
      </c>
      <c r="B1025" s="1">
        <v>45141</v>
      </c>
      <c r="C1025" t="s">
        <v>1210</v>
      </c>
      <c r="D1025" t="s">
        <v>1217</v>
      </c>
      <c r="E1025" t="s">
        <v>1221</v>
      </c>
      <c r="F1025" t="s">
        <v>1231</v>
      </c>
      <c r="G1025" s="6">
        <v>3</v>
      </c>
      <c r="H1025">
        <v>4167</v>
      </c>
      <c r="I1025">
        <v>12501</v>
      </c>
      <c r="J1025" s="2">
        <v>1305.8399999999999</v>
      </c>
      <c r="K1025" s="16">
        <f>Table13[[#This Row],[Profit]]/Table13[[#This Row],[Sales]]</f>
        <v>0.10445884329253659</v>
      </c>
      <c r="L1025" s="17" t="str">
        <f t="shared" si="105"/>
        <v>Medium</v>
      </c>
      <c r="M1025" s="17" t="str">
        <f t="shared" si="106"/>
        <v>Aug</v>
      </c>
      <c r="N1025" s="18">
        <f>YEAR(Table13[[#This Row],[Order_Date]])</f>
        <v>2023</v>
      </c>
      <c r="O1025" s="18">
        <f>Table13[[#This Row],[Price]]*0.7</f>
        <v>2916.8999999999996</v>
      </c>
      <c r="P1025" s="18">
        <f t="shared" si="107"/>
        <v>3750.3000000000011</v>
      </c>
      <c r="Q1025" s="18">
        <f t="shared" si="108"/>
        <v>0.05</v>
      </c>
      <c r="R1025" s="18">
        <f t="shared" si="109"/>
        <v>11195.16</v>
      </c>
      <c r="S1025" s="18" t="str">
        <f>IF(Table13[[#This Row],[Quantity]]&lt;=3,"Small",IF(Table13[[#This Row],[Quantity]]&lt;=6,"Medium","Bulk"))</f>
        <v>Small</v>
      </c>
      <c r="T1025" s="18" t="str">
        <f t="shared" si="110"/>
        <v>Normal</v>
      </c>
      <c r="U1025" s="18" t="str">
        <f t="shared" si="111"/>
        <v>Medium Value</v>
      </c>
    </row>
    <row r="1026" spans="1:21" x14ac:dyDescent="0.3">
      <c r="A1026" t="s">
        <v>1034</v>
      </c>
      <c r="B1026" s="1">
        <v>45093</v>
      </c>
      <c r="C1026" t="s">
        <v>1213</v>
      </c>
      <c r="D1026" t="s">
        <v>1218</v>
      </c>
      <c r="E1026" t="s">
        <v>1219</v>
      </c>
      <c r="F1026" t="s">
        <v>1233</v>
      </c>
      <c r="G1026" s="6">
        <v>3</v>
      </c>
      <c r="H1026">
        <v>2119</v>
      </c>
      <c r="I1026">
        <v>6357</v>
      </c>
      <c r="J1026" s="2">
        <v>724.3</v>
      </c>
      <c r="K1026" s="16">
        <f>Table13[[#This Row],[Profit]]/Table13[[#This Row],[Sales]]</f>
        <v>0.11393739185150227</v>
      </c>
      <c r="L1026" s="17" t="str">
        <f t="shared" ref="L1026:L1089" si="112">IF(I1026&gt;20000,"High",IF(I1026&gt;10000,"Medium","Low"))</f>
        <v>Low</v>
      </c>
      <c r="M1026" s="17" t="str">
        <f t="shared" ref="M1026:M1089" si="113">TEXT(B1026,"mmm")</f>
        <v>Jun</v>
      </c>
      <c r="N1026" s="18">
        <f>YEAR(Table13[[#This Row],[Order_Date]])</f>
        <v>2023</v>
      </c>
      <c r="O1026" s="18">
        <f>Table13[[#This Row],[Price]]*0.7</f>
        <v>1483.3</v>
      </c>
      <c r="P1026" s="18">
        <f t="shared" ref="P1026:P1089" si="114">I1026 - (G1026 *O1026)</f>
        <v>1907.1000000000004</v>
      </c>
      <c r="Q1026" s="18">
        <f t="shared" ref="Q1026:Q1089" si="115">IF(G1026&gt;5,0.1,0.05)</f>
        <v>0.05</v>
      </c>
      <c r="R1026" s="18">
        <f t="shared" ref="R1026:R1089" si="116">I1026*(1-K1026)</f>
        <v>5632.7</v>
      </c>
      <c r="S1026" s="18" t="str">
        <f>IF(Table13[[#This Row],[Quantity]]&lt;=3,"Small",IF(Table13[[#This Row],[Quantity]]&lt;=6,"Medium","Bulk"))</f>
        <v>Small</v>
      </c>
      <c r="T1026" s="18" t="str">
        <f t="shared" ref="T1026:T1089" si="117">IF(C1026="North","High Demand","Normal")</f>
        <v>Normal</v>
      </c>
      <c r="U1026" s="18" t="str">
        <f t="shared" ref="U1026:U1089" si="118">IF(I1026&gt;20000,"High Value",IF(I1026&gt;10000,"Medium Value","low Value"))</f>
        <v>low Value</v>
      </c>
    </row>
    <row r="1027" spans="1:21" x14ac:dyDescent="0.3">
      <c r="A1027" t="s">
        <v>1035</v>
      </c>
      <c r="B1027" s="1">
        <v>45061</v>
      </c>
      <c r="C1027" t="s">
        <v>1211</v>
      </c>
      <c r="D1027" t="s">
        <v>1216</v>
      </c>
      <c r="E1027" t="s">
        <v>1222</v>
      </c>
      <c r="F1027" t="s">
        <v>1227</v>
      </c>
      <c r="G1027" s="6">
        <v>5</v>
      </c>
      <c r="H1027">
        <v>566</v>
      </c>
      <c r="I1027">
        <v>2830</v>
      </c>
      <c r="J1027" s="2">
        <v>698.96</v>
      </c>
      <c r="K1027" s="16">
        <f>Table13[[#This Row],[Profit]]/Table13[[#This Row],[Sales]]</f>
        <v>0.24698233215547705</v>
      </c>
      <c r="L1027" s="17" t="str">
        <f t="shared" si="112"/>
        <v>Low</v>
      </c>
      <c r="M1027" s="17" t="str">
        <f t="shared" si="113"/>
        <v>May</v>
      </c>
      <c r="N1027" s="18">
        <f>YEAR(Table13[[#This Row],[Order_Date]])</f>
        <v>2023</v>
      </c>
      <c r="O1027" s="18">
        <f>Table13[[#This Row],[Price]]*0.7</f>
        <v>396.2</v>
      </c>
      <c r="P1027" s="18">
        <f t="shared" si="114"/>
        <v>849</v>
      </c>
      <c r="Q1027" s="18">
        <f t="shared" si="115"/>
        <v>0.05</v>
      </c>
      <c r="R1027" s="18">
        <f t="shared" si="116"/>
        <v>2131.04</v>
      </c>
      <c r="S1027" s="18" t="str">
        <f>IF(Table13[[#This Row],[Quantity]]&lt;=3,"Small",IF(Table13[[#This Row],[Quantity]]&lt;=6,"Medium","Bulk"))</f>
        <v>Medium</v>
      </c>
      <c r="T1027" s="18" t="str">
        <f t="shared" si="117"/>
        <v>Normal</v>
      </c>
      <c r="U1027" s="18" t="str">
        <f t="shared" si="118"/>
        <v>low Value</v>
      </c>
    </row>
    <row r="1028" spans="1:21" x14ac:dyDescent="0.3">
      <c r="A1028" t="s">
        <v>1036</v>
      </c>
      <c r="B1028" s="1">
        <v>45059</v>
      </c>
      <c r="C1028" t="s">
        <v>1211</v>
      </c>
      <c r="D1028" t="s">
        <v>1215</v>
      </c>
      <c r="E1028" t="s">
        <v>1221</v>
      </c>
      <c r="F1028" t="s">
        <v>1231</v>
      </c>
      <c r="G1028" s="6">
        <v>5</v>
      </c>
      <c r="H1028">
        <v>3212</v>
      </c>
      <c r="I1028">
        <v>16060</v>
      </c>
      <c r="J1028" s="2">
        <v>2863.45</v>
      </c>
      <c r="K1028" s="16">
        <f>Table13[[#This Row],[Profit]]/Table13[[#This Row],[Sales]]</f>
        <v>0.17829701120797009</v>
      </c>
      <c r="L1028" s="17" t="str">
        <f t="shared" si="112"/>
        <v>Medium</v>
      </c>
      <c r="M1028" s="17" t="str">
        <f t="shared" si="113"/>
        <v>May</v>
      </c>
      <c r="N1028" s="18">
        <f>YEAR(Table13[[#This Row],[Order_Date]])</f>
        <v>2023</v>
      </c>
      <c r="O1028" s="18">
        <f>Table13[[#This Row],[Price]]*0.7</f>
        <v>2248.3999999999996</v>
      </c>
      <c r="P1028" s="18">
        <f t="shared" si="114"/>
        <v>4818.0000000000018</v>
      </c>
      <c r="Q1028" s="18">
        <f t="shared" si="115"/>
        <v>0.05</v>
      </c>
      <c r="R1028" s="18">
        <f t="shared" si="116"/>
        <v>13196.550000000001</v>
      </c>
      <c r="S1028" s="18" t="str">
        <f>IF(Table13[[#This Row],[Quantity]]&lt;=3,"Small",IF(Table13[[#This Row],[Quantity]]&lt;=6,"Medium","Bulk"))</f>
        <v>Medium</v>
      </c>
      <c r="T1028" s="18" t="str">
        <f t="shared" si="117"/>
        <v>Normal</v>
      </c>
      <c r="U1028" s="18" t="str">
        <f t="shared" si="118"/>
        <v>Medium Value</v>
      </c>
    </row>
    <row r="1029" spans="1:21" x14ac:dyDescent="0.3">
      <c r="A1029" t="s">
        <v>1037</v>
      </c>
      <c r="B1029" s="1">
        <v>45043</v>
      </c>
      <c r="C1029" t="s">
        <v>1211</v>
      </c>
      <c r="D1029" t="s">
        <v>1217</v>
      </c>
      <c r="E1029" t="s">
        <v>1221</v>
      </c>
      <c r="F1029" t="s">
        <v>1231</v>
      </c>
      <c r="G1029" s="6">
        <v>7</v>
      </c>
      <c r="H1029">
        <v>1970</v>
      </c>
      <c r="I1029">
        <v>13790</v>
      </c>
      <c r="J1029" s="2">
        <v>2746.89</v>
      </c>
      <c r="K1029" s="16">
        <f>Table13[[#This Row],[Profit]]/Table13[[#This Row],[Sales]]</f>
        <v>0.19919434372733863</v>
      </c>
      <c r="L1029" s="17" t="str">
        <f t="shared" si="112"/>
        <v>Medium</v>
      </c>
      <c r="M1029" s="17" t="str">
        <f t="shared" si="113"/>
        <v>Apr</v>
      </c>
      <c r="N1029" s="18">
        <f>YEAR(Table13[[#This Row],[Order_Date]])</f>
        <v>2023</v>
      </c>
      <c r="O1029" s="18">
        <f>Table13[[#This Row],[Price]]*0.7</f>
        <v>1379</v>
      </c>
      <c r="P1029" s="18">
        <f t="shared" si="114"/>
        <v>4137</v>
      </c>
      <c r="Q1029" s="18">
        <f t="shared" si="115"/>
        <v>0.1</v>
      </c>
      <c r="R1029" s="18">
        <f t="shared" si="116"/>
        <v>11043.109999999999</v>
      </c>
      <c r="S1029" s="18" t="str">
        <f>IF(Table13[[#This Row],[Quantity]]&lt;=3,"Small",IF(Table13[[#This Row],[Quantity]]&lt;=6,"Medium","Bulk"))</f>
        <v>Bulk</v>
      </c>
      <c r="T1029" s="18" t="str">
        <f t="shared" si="117"/>
        <v>Normal</v>
      </c>
      <c r="U1029" s="18" t="str">
        <f t="shared" si="118"/>
        <v>Medium Value</v>
      </c>
    </row>
    <row r="1030" spans="1:21" x14ac:dyDescent="0.3">
      <c r="A1030" t="s">
        <v>1038</v>
      </c>
      <c r="B1030" s="1">
        <v>45167</v>
      </c>
      <c r="C1030" t="s">
        <v>1211</v>
      </c>
      <c r="D1030" t="s">
        <v>1217</v>
      </c>
      <c r="E1030" t="s">
        <v>1221</v>
      </c>
      <c r="F1030" t="s">
        <v>1231</v>
      </c>
      <c r="G1030" s="6">
        <v>7</v>
      </c>
      <c r="H1030">
        <v>3176</v>
      </c>
      <c r="I1030">
        <v>22232</v>
      </c>
      <c r="J1030" s="2">
        <v>3593.38</v>
      </c>
      <c r="K1030" s="16">
        <f>Table13[[#This Row],[Profit]]/Table13[[#This Row],[Sales]]</f>
        <v>0.16163098236775819</v>
      </c>
      <c r="L1030" s="17" t="str">
        <f t="shared" si="112"/>
        <v>High</v>
      </c>
      <c r="M1030" s="17" t="str">
        <f t="shared" si="113"/>
        <v>Aug</v>
      </c>
      <c r="N1030" s="18">
        <f>YEAR(Table13[[#This Row],[Order_Date]])</f>
        <v>2023</v>
      </c>
      <c r="O1030" s="18">
        <f>Table13[[#This Row],[Price]]*0.7</f>
        <v>2223.1999999999998</v>
      </c>
      <c r="P1030" s="18">
        <f t="shared" si="114"/>
        <v>6669.6000000000022</v>
      </c>
      <c r="Q1030" s="18">
        <f t="shared" si="115"/>
        <v>0.1</v>
      </c>
      <c r="R1030" s="18">
        <f t="shared" si="116"/>
        <v>18638.62</v>
      </c>
      <c r="S1030" s="18" t="str">
        <f>IF(Table13[[#This Row],[Quantity]]&lt;=3,"Small",IF(Table13[[#This Row],[Quantity]]&lt;=6,"Medium","Bulk"))</f>
        <v>Bulk</v>
      </c>
      <c r="T1030" s="18" t="str">
        <f t="shared" si="117"/>
        <v>Normal</v>
      </c>
      <c r="U1030" s="18" t="str">
        <f t="shared" si="118"/>
        <v>High Value</v>
      </c>
    </row>
    <row r="1031" spans="1:21" x14ac:dyDescent="0.3">
      <c r="A1031" t="s">
        <v>1039</v>
      </c>
      <c r="B1031" s="1">
        <v>45072</v>
      </c>
      <c r="C1031" t="s">
        <v>1210</v>
      </c>
      <c r="D1031" t="s">
        <v>1218</v>
      </c>
      <c r="E1031" t="s">
        <v>1222</v>
      </c>
      <c r="F1031" t="s">
        <v>1230</v>
      </c>
      <c r="G1031" s="6">
        <v>2</v>
      </c>
      <c r="H1031">
        <v>877</v>
      </c>
      <c r="I1031">
        <v>1754</v>
      </c>
      <c r="J1031" s="2">
        <v>140.54</v>
      </c>
      <c r="K1031" s="16">
        <f>Table13[[#This Row],[Profit]]/Table13[[#This Row],[Sales]]</f>
        <v>8.0125427594070694E-2</v>
      </c>
      <c r="L1031" s="17" t="str">
        <f t="shared" si="112"/>
        <v>Low</v>
      </c>
      <c r="M1031" s="17" t="str">
        <f t="shared" si="113"/>
        <v>May</v>
      </c>
      <c r="N1031" s="18">
        <f>YEAR(Table13[[#This Row],[Order_Date]])</f>
        <v>2023</v>
      </c>
      <c r="O1031" s="18">
        <f>Table13[[#This Row],[Price]]*0.7</f>
        <v>613.9</v>
      </c>
      <c r="P1031" s="18">
        <f t="shared" si="114"/>
        <v>526.20000000000005</v>
      </c>
      <c r="Q1031" s="18">
        <f t="shared" si="115"/>
        <v>0.05</v>
      </c>
      <c r="R1031" s="18">
        <f t="shared" si="116"/>
        <v>1613.46</v>
      </c>
      <c r="S1031" s="18" t="str">
        <f>IF(Table13[[#This Row],[Quantity]]&lt;=3,"Small",IF(Table13[[#This Row],[Quantity]]&lt;=6,"Medium","Bulk"))</f>
        <v>Small</v>
      </c>
      <c r="T1031" s="18" t="str">
        <f t="shared" si="117"/>
        <v>Normal</v>
      </c>
      <c r="U1031" s="18" t="str">
        <f t="shared" si="118"/>
        <v>low Value</v>
      </c>
    </row>
    <row r="1032" spans="1:21" x14ac:dyDescent="0.3">
      <c r="A1032" t="s">
        <v>1040</v>
      </c>
      <c r="B1032" s="1">
        <v>45112</v>
      </c>
      <c r="C1032" t="s">
        <v>1211</v>
      </c>
      <c r="D1032" t="s">
        <v>1217</v>
      </c>
      <c r="E1032" t="s">
        <v>1221</v>
      </c>
      <c r="F1032" t="s">
        <v>1239</v>
      </c>
      <c r="G1032" s="6">
        <v>1</v>
      </c>
      <c r="H1032">
        <v>1982</v>
      </c>
      <c r="I1032">
        <v>1982</v>
      </c>
      <c r="J1032" s="2">
        <v>231.92</v>
      </c>
      <c r="K1032" s="16">
        <f>Table13[[#This Row],[Profit]]/Table13[[#This Row],[Sales]]</f>
        <v>0.11701311806256307</v>
      </c>
      <c r="L1032" s="17" t="str">
        <f t="shared" si="112"/>
        <v>Low</v>
      </c>
      <c r="M1032" s="17" t="str">
        <f t="shared" si="113"/>
        <v>Jul</v>
      </c>
      <c r="N1032" s="18">
        <f>YEAR(Table13[[#This Row],[Order_Date]])</f>
        <v>2023</v>
      </c>
      <c r="O1032" s="18">
        <f>Table13[[#This Row],[Price]]*0.7</f>
        <v>1387.3999999999999</v>
      </c>
      <c r="P1032" s="18">
        <f t="shared" si="114"/>
        <v>594.60000000000014</v>
      </c>
      <c r="Q1032" s="18">
        <f t="shared" si="115"/>
        <v>0.05</v>
      </c>
      <c r="R1032" s="18">
        <f t="shared" si="116"/>
        <v>1750.08</v>
      </c>
      <c r="S1032" s="18" t="str">
        <f>IF(Table13[[#This Row],[Quantity]]&lt;=3,"Small",IF(Table13[[#This Row],[Quantity]]&lt;=6,"Medium","Bulk"))</f>
        <v>Small</v>
      </c>
      <c r="T1032" s="18" t="str">
        <f t="shared" si="117"/>
        <v>Normal</v>
      </c>
      <c r="U1032" s="18" t="str">
        <f t="shared" si="118"/>
        <v>low Value</v>
      </c>
    </row>
    <row r="1033" spans="1:21" x14ac:dyDescent="0.3">
      <c r="A1033" t="s">
        <v>1041</v>
      </c>
      <c r="B1033" s="1">
        <v>45077</v>
      </c>
      <c r="C1033" t="s">
        <v>1213</v>
      </c>
      <c r="D1033" t="s">
        <v>1217</v>
      </c>
      <c r="E1033" t="s">
        <v>1219</v>
      </c>
      <c r="F1033" t="s">
        <v>1223</v>
      </c>
      <c r="G1033" s="6">
        <v>3</v>
      </c>
      <c r="H1033">
        <v>4181</v>
      </c>
      <c r="I1033">
        <v>12543</v>
      </c>
      <c r="J1033" s="2">
        <v>2161.16</v>
      </c>
      <c r="K1033" s="16">
        <f>Table13[[#This Row],[Profit]]/Table13[[#This Row],[Sales]]</f>
        <v>0.17230008769831778</v>
      </c>
      <c r="L1033" s="17" t="str">
        <f t="shared" si="112"/>
        <v>Medium</v>
      </c>
      <c r="M1033" s="17" t="str">
        <f t="shared" si="113"/>
        <v>May</v>
      </c>
      <c r="N1033" s="18">
        <f>YEAR(Table13[[#This Row],[Order_Date]])</f>
        <v>2023</v>
      </c>
      <c r="O1033" s="18">
        <f>Table13[[#This Row],[Price]]*0.7</f>
        <v>2926.7</v>
      </c>
      <c r="P1033" s="18">
        <f t="shared" si="114"/>
        <v>3762.9000000000015</v>
      </c>
      <c r="Q1033" s="18">
        <f t="shared" si="115"/>
        <v>0.05</v>
      </c>
      <c r="R1033" s="18">
        <f t="shared" si="116"/>
        <v>10381.84</v>
      </c>
      <c r="S1033" s="18" t="str">
        <f>IF(Table13[[#This Row],[Quantity]]&lt;=3,"Small",IF(Table13[[#This Row],[Quantity]]&lt;=6,"Medium","Bulk"))</f>
        <v>Small</v>
      </c>
      <c r="T1033" s="18" t="str">
        <f t="shared" si="117"/>
        <v>Normal</v>
      </c>
      <c r="U1033" s="18" t="str">
        <f t="shared" si="118"/>
        <v>Medium Value</v>
      </c>
    </row>
    <row r="1034" spans="1:21" x14ac:dyDescent="0.3">
      <c r="A1034" t="s">
        <v>1042</v>
      </c>
      <c r="B1034" s="1">
        <v>45177</v>
      </c>
      <c r="C1034" t="s">
        <v>1212</v>
      </c>
      <c r="D1034" t="s">
        <v>1216</v>
      </c>
      <c r="E1034" t="s">
        <v>1222</v>
      </c>
      <c r="F1034" t="s">
        <v>1234</v>
      </c>
      <c r="G1034" s="6">
        <v>5</v>
      </c>
      <c r="H1034">
        <v>1617</v>
      </c>
      <c r="I1034">
        <v>8085</v>
      </c>
      <c r="J1034" s="2">
        <v>1716.1</v>
      </c>
      <c r="K1034" s="16">
        <f>Table13[[#This Row],[Profit]]/Table13[[#This Row],[Sales]]</f>
        <v>0.21225726654298083</v>
      </c>
      <c r="L1034" s="17" t="str">
        <f t="shared" si="112"/>
        <v>Low</v>
      </c>
      <c r="M1034" s="17" t="str">
        <f t="shared" si="113"/>
        <v>Sep</v>
      </c>
      <c r="N1034" s="18">
        <f>YEAR(Table13[[#This Row],[Order_Date]])</f>
        <v>2023</v>
      </c>
      <c r="O1034" s="18">
        <f>Table13[[#This Row],[Price]]*0.7</f>
        <v>1131.8999999999999</v>
      </c>
      <c r="P1034" s="18">
        <f t="shared" si="114"/>
        <v>2425.5000000000009</v>
      </c>
      <c r="Q1034" s="18">
        <f t="shared" si="115"/>
        <v>0.05</v>
      </c>
      <c r="R1034" s="18">
        <f t="shared" si="116"/>
        <v>6368.9</v>
      </c>
      <c r="S1034" s="18" t="str">
        <f>IF(Table13[[#This Row],[Quantity]]&lt;=3,"Small",IF(Table13[[#This Row],[Quantity]]&lt;=6,"Medium","Bulk"))</f>
        <v>Medium</v>
      </c>
      <c r="T1034" s="18" t="str">
        <f t="shared" si="117"/>
        <v>High Demand</v>
      </c>
      <c r="U1034" s="18" t="str">
        <f t="shared" si="118"/>
        <v>low Value</v>
      </c>
    </row>
    <row r="1035" spans="1:21" x14ac:dyDescent="0.3">
      <c r="A1035" t="s">
        <v>1043</v>
      </c>
      <c r="B1035" s="1">
        <v>45156</v>
      </c>
      <c r="C1035" t="s">
        <v>1210</v>
      </c>
      <c r="D1035" t="s">
        <v>1217</v>
      </c>
      <c r="E1035" t="s">
        <v>1220</v>
      </c>
      <c r="F1035" t="s">
        <v>1228</v>
      </c>
      <c r="G1035" s="6">
        <v>2</v>
      </c>
      <c r="H1035">
        <v>1409</v>
      </c>
      <c r="I1035">
        <v>2818</v>
      </c>
      <c r="J1035" s="2">
        <v>426.13</v>
      </c>
      <c r="K1035" s="16">
        <f>Table13[[#This Row],[Profit]]/Table13[[#This Row],[Sales]]</f>
        <v>0.15121717530163237</v>
      </c>
      <c r="L1035" s="17" t="str">
        <f t="shared" si="112"/>
        <v>Low</v>
      </c>
      <c r="M1035" s="17" t="str">
        <f t="shared" si="113"/>
        <v>Aug</v>
      </c>
      <c r="N1035" s="18">
        <f>YEAR(Table13[[#This Row],[Order_Date]])</f>
        <v>2023</v>
      </c>
      <c r="O1035" s="18">
        <f>Table13[[#This Row],[Price]]*0.7</f>
        <v>986.3</v>
      </c>
      <c r="P1035" s="18">
        <f t="shared" si="114"/>
        <v>845.40000000000009</v>
      </c>
      <c r="Q1035" s="18">
        <f t="shared" si="115"/>
        <v>0.05</v>
      </c>
      <c r="R1035" s="18">
        <f t="shared" si="116"/>
        <v>2391.87</v>
      </c>
      <c r="S1035" s="18" t="str">
        <f>IF(Table13[[#This Row],[Quantity]]&lt;=3,"Small",IF(Table13[[#This Row],[Quantity]]&lt;=6,"Medium","Bulk"))</f>
        <v>Small</v>
      </c>
      <c r="T1035" s="18" t="str">
        <f t="shared" si="117"/>
        <v>Normal</v>
      </c>
      <c r="U1035" s="18" t="str">
        <f t="shared" si="118"/>
        <v>low Value</v>
      </c>
    </row>
    <row r="1036" spans="1:21" x14ac:dyDescent="0.3">
      <c r="A1036" t="s">
        <v>1044</v>
      </c>
      <c r="B1036" s="1">
        <v>45249</v>
      </c>
      <c r="C1036" t="s">
        <v>1211</v>
      </c>
      <c r="D1036" t="s">
        <v>1218</v>
      </c>
      <c r="E1036" t="s">
        <v>1221</v>
      </c>
      <c r="F1036" t="s">
        <v>1235</v>
      </c>
      <c r="G1036" s="6">
        <v>6</v>
      </c>
      <c r="H1036">
        <v>3006</v>
      </c>
      <c r="I1036">
        <v>18036</v>
      </c>
      <c r="J1036" s="2">
        <v>2317.96</v>
      </c>
      <c r="K1036" s="16">
        <f>Table13[[#This Row],[Profit]]/Table13[[#This Row],[Sales]]</f>
        <v>0.12851851851851853</v>
      </c>
      <c r="L1036" s="17" t="str">
        <f t="shared" si="112"/>
        <v>Medium</v>
      </c>
      <c r="M1036" s="17" t="str">
        <f t="shared" si="113"/>
        <v>Nov</v>
      </c>
      <c r="N1036" s="18">
        <f>YEAR(Table13[[#This Row],[Order_Date]])</f>
        <v>2023</v>
      </c>
      <c r="O1036" s="18">
        <f>Table13[[#This Row],[Price]]*0.7</f>
        <v>2104.1999999999998</v>
      </c>
      <c r="P1036" s="18">
        <f t="shared" si="114"/>
        <v>5410.8000000000011</v>
      </c>
      <c r="Q1036" s="18">
        <f t="shared" si="115"/>
        <v>0.1</v>
      </c>
      <c r="R1036" s="18">
        <f t="shared" si="116"/>
        <v>15718.04</v>
      </c>
      <c r="S1036" s="18" t="str">
        <f>IF(Table13[[#This Row],[Quantity]]&lt;=3,"Small",IF(Table13[[#This Row],[Quantity]]&lt;=6,"Medium","Bulk"))</f>
        <v>Medium</v>
      </c>
      <c r="T1036" s="18" t="str">
        <f t="shared" si="117"/>
        <v>Normal</v>
      </c>
      <c r="U1036" s="18" t="str">
        <f t="shared" si="118"/>
        <v>Medium Value</v>
      </c>
    </row>
    <row r="1037" spans="1:21" x14ac:dyDescent="0.3">
      <c r="A1037" t="s">
        <v>1045</v>
      </c>
      <c r="B1037" s="1">
        <v>45055</v>
      </c>
      <c r="C1037" t="s">
        <v>1210</v>
      </c>
      <c r="D1037" t="s">
        <v>1216</v>
      </c>
      <c r="E1037" t="s">
        <v>1221</v>
      </c>
      <c r="F1037" t="s">
        <v>1226</v>
      </c>
      <c r="G1037" s="6">
        <v>5</v>
      </c>
      <c r="H1037">
        <v>320</v>
      </c>
      <c r="I1037">
        <v>1600</v>
      </c>
      <c r="J1037" s="2">
        <v>323.18</v>
      </c>
      <c r="K1037" s="16">
        <f>Table13[[#This Row],[Profit]]/Table13[[#This Row],[Sales]]</f>
        <v>0.20198750000000001</v>
      </c>
      <c r="L1037" s="17" t="str">
        <f t="shared" si="112"/>
        <v>Low</v>
      </c>
      <c r="M1037" s="17" t="str">
        <f t="shared" si="113"/>
        <v>May</v>
      </c>
      <c r="N1037" s="18">
        <f>YEAR(Table13[[#This Row],[Order_Date]])</f>
        <v>2023</v>
      </c>
      <c r="O1037" s="18">
        <f>Table13[[#This Row],[Price]]*0.7</f>
        <v>224</v>
      </c>
      <c r="P1037" s="18">
        <f t="shared" si="114"/>
        <v>480</v>
      </c>
      <c r="Q1037" s="18">
        <f t="shared" si="115"/>
        <v>0.05</v>
      </c>
      <c r="R1037" s="18">
        <f t="shared" si="116"/>
        <v>1276.82</v>
      </c>
      <c r="S1037" s="18" t="str">
        <f>IF(Table13[[#This Row],[Quantity]]&lt;=3,"Small",IF(Table13[[#This Row],[Quantity]]&lt;=6,"Medium","Bulk"))</f>
        <v>Medium</v>
      </c>
      <c r="T1037" s="18" t="str">
        <f t="shared" si="117"/>
        <v>Normal</v>
      </c>
      <c r="U1037" s="18" t="str">
        <f t="shared" si="118"/>
        <v>low Value</v>
      </c>
    </row>
    <row r="1038" spans="1:21" x14ac:dyDescent="0.3">
      <c r="A1038" t="s">
        <v>1046</v>
      </c>
      <c r="B1038" s="1">
        <v>45219</v>
      </c>
      <c r="C1038" t="s">
        <v>1212</v>
      </c>
      <c r="D1038" t="s">
        <v>1214</v>
      </c>
      <c r="E1038" t="s">
        <v>1219</v>
      </c>
      <c r="F1038" t="s">
        <v>1232</v>
      </c>
      <c r="G1038" s="6">
        <v>2</v>
      </c>
      <c r="H1038">
        <v>532</v>
      </c>
      <c r="I1038">
        <v>1064</v>
      </c>
      <c r="J1038" s="2">
        <v>177.22</v>
      </c>
      <c r="K1038" s="16">
        <f>Table13[[#This Row],[Profit]]/Table13[[#This Row],[Sales]]</f>
        <v>0.16656015037593985</v>
      </c>
      <c r="L1038" s="17" t="str">
        <f t="shared" si="112"/>
        <v>Low</v>
      </c>
      <c r="M1038" s="17" t="str">
        <f t="shared" si="113"/>
        <v>Oct</v>
      </c>
      <c r="N1038" s="18">
        <f>YEAR(Table13[[#This Row],[Order_Date]])</f>
        <v>2023</v>
      </c>
      <c r="O1038" s="18">
        <f>Table13[[#This Row],[Price]]*0.7</f>
        <v>372.4</v>
      </c>
      <c r="P1038" s="18">
        <f t="shared" si="114"/>
        <v>319.20000000000005</v>
      </c>
      <c r="Q1038" s="18">
        <f t="shared" si="115"/>
        <v>0.05</v>
      </c>
      <c r="R1038" s="18">
        <f t="shared" si="116"/>
        <v>886.78</v>
      </c>
      <c r="S1038" s="18" t="str">
        <f>IF(Table13[[#This Row],[Quantity]]&lt;=3,"Small",IF(Table13[[#This Row],[Quantity]]&lt;=6,"Medium","Bulk"))</f>
        <v>Small</v>
      </c>
      <c r="T1038" s="18" t="str">
        <f t="shared" si="117"/>
        <v>High Demand</v>
      </c>
      <c r="U1038" s="18" t="str">
        <f t="shared" si="118"/>
        <v>low Value</v>
      </c>
    </row>
    <row r="1039" spans="1:21" x14ac:dyDescent="0.3">
      <c r="A1039" t="s">
        <v>1047</v>
      </c>
      <c r="B1039" s="1">
        <v>45069</v>
      </c>
      <c r="C1039" t="s">
        <v>1213</v>
      </c>
      <c r="D1039" t="s">
        <v>1217</v>
      </c>
      <c r="E1039" t="s">
        <v>1220</v>
      </c>
      <c r="F1039" t="s">
        <v>1224</v>
      </c>
      <c r="G1039" s="6">
        <v>7</v>
      </c>
      <c r="H1039">
        <v>4097</v>
      </c>
      <c r="I1039">
        <v>28679</v>
      </c>
      <c r="J1039" s="2">
        <v>3328.31</v>
      </c>
      <c r="K1039" s="16">
        <f>Table13[[#This Row],[Profit]]/Table13[[#This Row],[Sales]]</f>
        <v>0.11605390703999442</v>
      </c>
      <c r="L1039" s="17" t="str">
        <f t="shared" si="112"/>
        <v>High</v>
      </c>
      <c r="M1039" s="17" t="str">
        <f t="shared" si="113"/>
        <v>May</v>
      </c>
      <c r="N1039" s="18">
        <f>YEAR(Table13[[#This Row],[Order_Date]])</f>
        <v>2023</v>
      </c>
      <c r="O1039" s="18">
        <f>Table13[[#This Row],[Price]]*0.7</f>
        <v>2867.8999999999996</v>
      </c>
      <c r="P1039" s="18">
        <f t="shared" si="114"/>
        <v>8603.7000000000044</v>
      </c>
      <c r="Q1039" s="18">
        <f t="shared" si="115"/>
        <v>0.1</v>
      </c>
      <c r="R1039" s="18">
        <f t="shared" si="116"/>
        <v>25350.69</v>
      </c>
      <c r="S1039" s="18" t="str">
        <f>IF(Table13[[#This Row],[Quantity]]&lt;=3,"Small",IF(Table13[[#This Row],[Quantity]]&lt;=6,"Medium","Bulk"))</f>
        <v>Bulk</v>
      </c>
      <c r="T1039" s="18" t="str">
        <f t="shared" si="117"/>
        <v>Normal</v>
      </c>
      <c r="U1039" s="18" t="str">
        <f t="shared" si="118"/>
        <v>High Value</v>
      </c>
    </row>
    <row r="1040" spans="1:21" x14ac:dyDescent="0.3">
      <c r="A1040" t="s">
        <v>1048</v>
      </c>
      <c r="B1040" s="1">
        <v>45078</v>
      </c>
      <c r="C1040" t="s">
        <v>1210</v>
      </c>
      <c r="D1040" t="s">
        <v>1217</v>
      </c>
      <c r="E1040" t="s">
        <v>1222</v>
      </c>
      <c r="F1040" t="s">
        <v>1227</v>
      </c>
      <c r="G1040" s="6">
        <v>1</v>
      </c>
      <c r="H1040">
        <v>2311</v>
      </c>
      <c r="I1040">
        <v>2311</v>
      </c>
      <c r="J1040" s="2">
        <v>302.52999999999997</v>
      </c>
      <c r="K1040" s="16">
        <f>Table13[[#This Row],[Profit]]/Table13[[#This Row],[Sales]]</f>
        <v>0.13090869753353526</v>
      </c>
      <c r="L1040" s="17" t="str">
        <f t="shared" si="112"/>
        <v>Low</v>
      </c>
      <c r="M1040" s="17" t="str">
        <f t="shared" si="113"/>
        <v>Jun</v>
      </c>
      <c r="N1040" s="18">
        <f>YEAR(Table13[[#This Row],[Order_Date]])</f>
        <v>2023</v>
      </c>
      <c r="O1040" s="18">
        <f>Table13[[#This Row],[Price]]*0.7</f>
        <v>1617.6999999999998</v>
      </c>
      <c r="P1040" s="18">
        <f t="shared" si="114"/>
        <v>693.30000000000018</v>
      </c>
      <c r="Q1040" s="18">
        <f t="shared" si="115"/>
        <v>0.05</v>
      </c>
      <c r="R1040" s="18">
        <f t="shared" si="116"/>
        <v>2008.47</v>
      </c>
      <c r="S1040" s="18" t="str">
        <f>IF(Table13[[#This Row],[Quantity]]&lt;=3,"Small",IF(Table13[[#This Row],[Quantity]]&lt;=6,"Medium","Bulk"))</f>
        <v>Small</v>
      </c>
      <c r="T1040" s="18" t="str">
        <f t="shared" si="117"/>
        <v>Normal</v>
      </c>
      <c r="U1040" s="18" t="str">
        <f t="shared" si="118"/>
        <v>low Value</v>
      </c>
    </row>
    <row r="1041" spans="1:21" x14ac:dyDescent="0.3">
      <c r="A1041" t="s">
        <v>1049</v>
      </c>
      <c r="B1041" s="1">
        <v>45260</v>
      </c>
      <c r="C1041" t="s">
        <v>1213</v>
      </c>
      <c r="D1041" t="s">
        <v>1218</v>
      </c>
      <c r="E1041" t="s">
        <v>1220</v>
      </c>
      <c r="F1041" t="s">
        <v>1237</v>
      </c>
      <c r="G1041" s="6">
        <v>3</v>
      </c>
      <c r="H1041">
        <v>1764</v>
      </c>
      <c r="I1041">
        <v>5292</v>
      </c>
      <c r="J1041" s="2">
        <v>567</v>
      </c>
      <c r="K1041" s="16">
        <f>Table13[[#This Row],[Profit]]/Table13[[#This Row],[Sales]]</f>
        <v>0.10714285714285714</v>
      </c>
      <c r="L1041" s="17" t="str">
        <f t="shared" si="112"/>
        <v>Low</v>
      </c>
      <c r="M1041" s="17" t="str">
        <f t="shared" si="113"/>
        <v>Nov</v>
      </c>
      <c r="N1041" s="18">
        <f>YEAR(Table13[[#This Row],[Order_Date]])</f>
        <v>2023</v>
      </c>
      <c r="O1041" s="18">
        <f>Table13[[#This Row],[Price]]*0.7</f>
        <v>1234.8</v>
      </c>
      <c r="P1041" s="18">
        <f t="shared" si="114"/>
        <v>1587.6000000000004</v>
      </c>
      <c r="Q1041" s="18">
        <f t="shared" si="115"/>
        <v>0.05</v>
      </c>
      <c r="R1041" s="18">
        <f t="shared" si="116"/>
        <v>4725</v>
      </c>
      <c r="S1041" s="18" t="str">
        <f>IF(Table13[[#This Row],[Quantity]]&lt;=3,"Small",IF(Table13[[#This Row],[Quantity]]&lt;=6,"Medium","Bulk"))</f>
        <v>Small</v>
      </c>
      <c r="T1041" s="18" t="str">
        <f t="shared" si="117"/>
        <v>Normal</v>
      </c>
      <c r="U1041" s="18" t="str">
        <f t="shared" si="118"/>
        <v>low Value</v>
      </c>
    </row>
    <row r="1042" spans="1:21" x14ac:dyDescent="0.3">
      <c r="A1042" t="s">
        <v>1050</v>
      </c>
      <c r="B1042" s="1">
        <v>45013</v>
      </c>
      <c r="C1042" t="s">
        <v>1212</v>
      </c>
      <c r="D1042" t="s">
        <v>1218</v>
      </c>
      <c r="E1042" t="s">
        <v>1221</v>
      </c>
      <c r="F1042" t="s">
        <v>1231</v>
      </c>
      <c r="G1042" s="6">
        <v>5</v>
      </c>
      <c r="H1042">
        <v>4185</v>
      </c>
      <c r="I1042">
        <v>20925</v>
      </c>
      <c r="J1042" s="2">
        <v>2985.65</v>
      </c>
      <c r="K1042" s="16">
        <f>Table13[[#This Row],[Profit]]/Table13[[#This Row],[Sales]]</f>
        <v>0.14268339307048986</v>
      </c>
      <c r="L1042" s="17" t="str">
        <f t="shared" si="112"/>
        <v>High</v>
      </c>
      <c r="M1042" s="17" t="str">
        <f t="shared" si="113"/>
        <v>Mar</v>
      </c>
      <c r="N1042" s="18">
        <f>YEAR(Table13[[#This Row],[Order_Date]])</f>
        <v>2023</v>
      </c>
      <c r="O1042" s="18">
        <f>Table13[[#This Row],[Price]]*0.7</f>
        <v>2929.5</v>
      </c>
      <c r="P1042" s="18">
        <f t="shared" si="114"/>
        <v>6277.5</v>
      </c>
      <c r="Q1042" s="18">
        <f t="shared" si="115"/>
        <v>0.05</v>
      </c>
      <c r="R1042" s="18">
        <f t="shared" si="116"/>
        <v>17939.349999999999</v>
      </c>
      <c r="S1042" s="18" t="str">
        <f>IF(Table13[[#This Row],[Quantity]]&lt;=3,"Small",IF(Table13[[#This Row],[Quantity]]&lt;=6,"Medium","Bulk"))</f>
        <v>Medium</v>
      </c>
      <c r="T1042" s="18" t="str">
        <f t="shared" si="117"/>
        <v>High Demand</v>
      </c>
      <c r="U1042" s="18" t="str">
        <f t="shared" si="118"/>
        <v>High Value</v>
      </c>
    </row>
    <row r="1043" spans="1:21" x14ac:dyDescent="0.3">
      <c r="A1043" t="s">
        <v>1051</v>
      </c>
      <c r="B1043" s="1">
        <v>45282</v>
      </c>
      <c r="C1043" t="s">
        <v>1213</v>
      </c>
      <c r="D1043" t="s">
        <v>1215</v>
      </c>
      <c r="E1043" t="s">
        <v>1222</v>
      </c>
      <c r="F1043" t="s">
        <v>1234</v>
      </c>
      <c r="G1043" s="6">
        <v>6</v>
      </c>
      <c r="H1043">
        <v>3262</v>
      </c>
      <c r="I1043">
        <v>19572</v>
      </c>
      <c r="J1043" s="2">
        <v>4133.84</v>
      </c>
      <c r="K1043" s="16">
        <f>Table13[[#This Row],[Profit]]/Table13[[#This Row],[Sales]]</f>
        <v>0.211211935417944</v>
      </c>
      <c r="L1043" s="17" t="str">
        <f t="shared" si="112"/>
        <v>Medium</v>
      </c>
      <c r="M1043" s="17" t="str">
        <f t="shared" si="113"/>
        <v>Dec</v>
      </c>
      <c r="N1043" s="18">
        <f>YEAR(Table13[[#This Row],[Order_Date]])</f>
        <v>2023</v>
      </c>
      <c r="O1043" s="18">
        <f>Table13[[#This Row],[Price]]*0.7</f>
        <v>2283.3999999999996</v>
      </c>
      <c r="P1043" s="18">
        <f t="shared" si="114"/>
        <v>5871.6000000000022</v>
      </c>
      <c r="Q1043" s="18">
        <f t="shared" si="115"/>
        <v>0.1</v>
      </c>
      <c r="R1043" s="18">
        <f t="shared" si="116"/>
        <v>15438.16</v>
      </c>
      <c r="S1043" s="18" t="str">
        <f>IF(Table13[[#This Row],[Quantity]]&lt;=3,"Small",IF(Table13[[#This Row],[Quantity]]&lt;=6,"Medium","Bulk"))</f>
        <v>Medium</v>
      </c>
      <c r="T1043" s="18" t="str">
        <f t="shared" si="117"/>
        <v>Normal</v>
      </c>
      <c r="U1043" s="18" t="str">
        <f t="shared" si="118"/>
        <v>Medium Value</v>
      </c>
    </row>
    <row r="1044" spans="1:21" x14ac:dyDescent="0.3">
      <c r="A1044" t="s">
        <v>1052</v>
      </c>
      <c r="B1044" s="1">
        <v>45002</v>
      </c>
      <c r="C1044" t="s">
        <v>1210</v>
      </c>
      <c r="D1044" t="s">
        <v>1216</v>
      </c>
      <c r="E1044" t="s">
        <v>1222</v>
      </c>
      <c r="F1044" t="s">
        <v>1227</v>
      </c>
      <c r="G1044" s="6">
        <v>8</v>
      </c>
      <c r="H1044">
        <v>2753</v>
      </c>
      <c r="I1044">
        <v>22024</v>
      </c>
      <c r="J1044" s="2">
        <v>5268.23</v>
      </c>
      <c r="K1044" s="16">
        <f>Table13[[#This Row],[Profit]]/Table13[[#This Row],[Sales]]</f>
        <v>0.23920405012713403</v>
      </c>
      <c r="L1044" s="17" t="str">
        <f t="shared" si="112"/>
        <v>High</v>
      </c>
      <c r="M1044" s="17" t="str">
        <f t="shared" si="113"/>
        <v>Mar</v>
      </c>
      <c r="N1044" s="18">
        <f>YEAR(Table13[[#This Row],[Order_Date]])</f>
        <v>2023</v>
      </c>
      <c r="O1044" s="18">
        <f>Table13[[#This Row],[Price]]*0.7</f>
        <v>1927.1</v>
      </c>
      <c r="P1044" s="18">
        <f t="shared" si="114"/>
        <v>6607.2000000000007</v>
      </c>
      <c r="Q1044" s="18">
        <f t="shared" si="115"/>
        <v>0.1</v>
      </c>
      <c r="R1044" s="18">
        <f t="shared" si="116"/>
        <v>16755.77</v>
      </c>
      <c r="S1044" s="18" t="str">
        <f>IF(Table13[[#This Row],[Quantity]]&lt;=3,"Small",IF(Table13[[#This Row],[Quantity]]&lt;=6,"Medium","Bulk"))</f>
        <v>Bulk</v>
      </c>
      <c r="T1044" s="18" t="str">
        <f t="shared" si="117"/>
        <v>Normal</v>
      </c>
      <c r="U1044" s="18" t="str">
        <f t="shared" si="118"/>
        <v>High Value</v>
      </c>
    </row>
    <row r="1045" spans="1:21" x14ac:dyDescent="0.3">
      <c r="A1045" t="s">
        <v>1053</v>
      </c>
      <c r="B1045" s="1">
        <v>45011</v>
      </c>
      <c r="C1045" t="s">
        <v>1210</v>
      </c>
      <c r="D1045" t="s">
        <v>1215</v>
      </c>
      <c r="E1045" t="s">
        <v>1220</v>
      </c>
      <c r="F1045" t="s">
        <v>1224</v>
      </c>
      <c r="G1045" s="6">
        <v>6</v>
      </c>
      <c r="H1045">
        <v>2462</v>
      </c>
      <c r="I1045">
        <v>14772</v>
      </c>
      <c r="J1045" s="2">
        <v>3316.65</v>
      </c>
      <c r="K1045" s="16">
        <f>Table13[[#This Row],[Profit]]/Table13[[#This Row],[Sales]]</f>
        <v>0.22452274573517467</v>
      </c>
      <c r="L1045" s="17" t="str">
        <f t="shared" si="112"/>
        <v>Medium</v>
      </c>
      <c r="M1045" s="17" t="str">
        <f t="shared" si="113"/>
        <v>Mar</v>
      </c>
      <c r="N1045" s="18">
        <f>YEAR(Table13[[#This Row],[Order_Date]])</f>
        <v>2023</v>
      </c>
      <c r="O1045" s="18">
        <f>Table13[[#This Row],[Price]]*0.7</f>
        <v>1723.3999999999999</v>
      </c>
      <c r="P1045" s="18">
        <f t="shared" si="114"/>
        <v>4431.6000000000004</v>
      </c>
      <c r="Q1045" s="18">
        <f t="shared" si="115"/>
        <v>0.1</v>
      </c>
      <c r="R1045" s="18">
        <f t="shared" si="116"/>
        <v>11455.35</v>
      </c>
      <c r="S1045" s="18" t="str">
        <f>IF(Table13[[#This Row],[Quantity]]&lt;=3,"Small",IF(Table13[[#This Row],[Quantity]]&lt;=6,"Medium","Bulk"))</f>
        <v>Medium</v>
      </c>
      <c r="T1045" s="18" t="str">
        <f t="shared" si="117"/>
        <v>Normal</v>
      </c>
      <c r="U1045" s="18" t="str">
        <f t="shared" si="118"/>
        <v>Medium Value</v>
      </c>
    </row>
    <row r="1046" spans="1:21" x14ac:dyDescent="0.3">
      <c r="A1046" t="s">
        <v>1054</v>
      </c>
      <c r="B1046" s="1">
        <v>45020</v>
      </c>
      <c r="C1046" t="s">
        <v>1211</v>
      </c>
      <c r="D1046" t="s">
        <v>1215</v>
      </c>
      <c r="E1046" t="s">
        <v>1219</v>
      </c>
      <c r="F1046" t="s">
        <v>1238</v>
      </c>
      <c r="G1046" s="6">
        <v>1</v>
      </c>
      <c r="H1046">
        <v>2975</v>
      </c>
      <c r="I1046">
        <v>2975</v>
      </c>
      <c r="J1046" s="2">
        <v>726.01</v>
      </c>
      <c r="K1046" s="16">
        <f>Table13[[#This Row],[Profit]]/Table13[[#This Row],[Sales]]</f>
        <v>0.24403697478991596</v>
      </c>
      <c r="L1046" s="17" t="str">
        <f t="shared" si="112"/>
        <v>Low</v>
      </c>
      <c r="M1046" s="17" t="str">
        <f t="shared" si="113"/>
        <v>Apr</v>
      </c>
      <c r="N1046" s="18">
        <f>YEAR(Table13[[#This Row],[Order_Date]])</f>
        <v>2023</v>
      </c>
      <c r="O1046" s="18">
        <f>Table13[[#This Row],[Price]]*0.7</f>
        <v>2082.5</v>
      </c>
      <c r="P1046" s="18">
        <f t="shared" si="114"/>
        <v>892.5</v>
      </c>
      <c r="Q1046" s="18">
        <f t="shared" si="115"/>
        <v>0.05</v>
      </c>
      <c r="R1046" s="18">
        <f t="shared" si="116"/>
        <v>2248.9900000000002</v>
      </c>
      <c r="S1046" s="18" t="str">
        <f>IF(Table13[[#This Row],[Quantity]]&lt;=3,"Small",IF(Table13[[#This Row],[Quantity]]&lt;=6,"Medium","Bulk"))</f>
        <v>Small</v>
      </c>
      <c r="T1046" s="18" t="str">
        <f t="shared" si="117"/>
        <v>Normal</v>
      </c>
      <c r="U1046" s="18" t="str">
        <f t="shared" si="118"/>
        <v>low Value</v>
      </c>
    </row>
    <row r="1047" spans="1:21" x14ac:dyDescent="0.3">
      <c r="A1047" t="s">
        <v>1055</v>
      </c>
      <c r="B1047" s="1">
        <v>45031</v>
      </c>
      <c r="C1047" t="s">
        <v>1210</v>
      </c>
      <c r="D1047" t="s">
        <v>1214</v>
      </c>
      <c r="E1047" t="s">
        <v>1219</v>
      </c>
      <c r="F1047" t="s">
        <v>1223</v>
      </c>
      <c r="G1047" s="6">
        <v>7</v>
      </c>
      <c r="H1047">
        <v>1600</v>
      </c>
      <c r="I1047">
        <v>11200</v>
      </c>
      <c r="J1047" s="2">
        <v>922.68</v>
      </c>
      <c r="K1047" s="16">
        <f>Table13[[#This Row],[Profit]]/Table13[[#This Row],[Sales]]</f>
        <v>8.2382142857142848E-2</v>
      </c>
      <c r="L1047" s="17" t="str">
        <f t="shared" si="112"/>
        <v>Medium</v>
      </c>
      <c r="M1047" s="17" t="str">
        <f t="shared" si="113"/>
        <v>Apr</v>
      </c>
      <c r="N1047" s="18">
        <f>YEAR(Table13[[#This Row],[Order_Date]])</f>
        <v>2023</v>
      </c>
      <c r="O1047" s="18">
        <f>Table13[[#This Row],[Price]]*0.7</f>
        <v>1120</v>
      </c>
      <c r="P1047" s="18">
        <f t="shared" si="114"/>
        <v>3360</v>
      </c>
      <c r="Q1047" s="18">
        <f t="shared" si="115"/>
        <v>0.1</v>
      </c>
      <c r="R1047" s="18">
        <f t="shared" si="116"/>
        <v>10277.32</v>
      </c>
      <c r="S1047" s="18" t="str">
        <f>IF(Table13[[#This Row],[Quantity]]&lt;=3,"Small",IF(Table13[[#This Row],[Quantity]]&lt;=6,"Medium","Bulk"))</f>
        <v>Bulk</v>
      </c>
      <c r="T1047" s="18" t="str">
        <f t="shared" si="117"/>
        <v>Normal</v>
      </c>
      <c r="U1047" s="18" t="str">
        <f t="shared" si="118"/>
        <v>Medium Value</v>
      </c>
    </row>
    <row r="1048" spans="1:21" x14ac:dyDescent="0.3">
      <c r="A1048" t="s">
        <v>1056</v>
      </c>
      <c r="B1048" s="1">
        <v>45106</v>
      </c>
      <c r="C1048" t="s">
        <v>1212</v>
      </c>
      <c r="D1048" t="s">
        <v>1215</v>
      </c>
      <c r="E1048" t="s">
        <v>1220</v>
      </c>
      <c r="F1048" t="s">
        <v>1237</v>
      </c>
      <c r="G1048" s="6">
        <v>5</v>
      </c>
      <c r="H1048">
        <v>3804</v>
      </c>
      <c r="I1048">
        <v>19020</v>
      </c>
      <c r="J1048" s="2">
        <v>2626.37</v>
      </c>
      <c r="K1048" s="16">
        <f>Table13[[#This Row],[Profit]]/Table13[[#This Row],[Sales]]</f>
        <v>0.13808464773922186</v>
      </c>
      <c r="L1048" s="17" t="str">
        <f t="shared" si="112"/>
        <v>Medium</v>
      </c>
      <c r="M1048" s="17" t="str">
        <f t="shared" si="113"/>
        <v>Jun</v>
      </c>
      <c r="N1048" s="18">
        <f>YEAR(Table13[[#This Row],[Order_Date]])</f>
        <v>2023</v>
      </c>
      <c r="O1048" s="18">
        <f>Table13[[#This Row],[Price]]*0.7</f>
        <v>2662.7999999999997</v>
      </c>
      <c r="P1048" s="18">
        <f t="shared" si="114"/>
        <v>5706.0000000000018</v>
      </c>
      <c r="Q1048" s="18">
        <f t="shared" si="115"/>
        <v>0.05</v>
      </c>
      <c r="R1048" s="18">
        <f t="shared" si="116"/>
        <v>16393.63</v>
      </c>
      <c r="S1048" s="18" t="str">
        <f>IF(Table13[[#This Row],[Quantity]]&lt;=3,"Small",IF(Table13[[#This Row],[Quantity]]&lt;=6,"Medium","Bulk"))</f>
        <v>Medium</v>
      </c>
      <c r="T1048" s="18" t="str">
        <f t="shared" si="117"/>
        <v>High Demand</v>
      </c>
      <c r="U1048" s="18" t="str">
        <f t="shared" si="118"/>
        <v>Medium Value</v>
      </c>
    </row>
    <row r="1049" spans="1:21" x14ac:dyDescent="0.3">
      <c r="A1049" t="s">
        <v>1057</v>
      </c>
      <c r="B1049" s="1">
        <v>45047</v>
      </c>
      <c r="C1049" t="s">
        <v>1213</v>
      </c>
      <c r="D1049" t="s">
        <v>1217</v>
      </c>
      <c r="E1049" t="s">
        <v>1222</v>
      </c>
      <c r="F1049" t="s">
        <v>1236</v>
      </c>
      <c r="G1049" s="6">
        <v>6</v>
      </c>
      <c r="H1049">
        <v>859</v>
      </c>
      <c r="I1049">
        <v>5154</v>
      </c>
      <c r="J1049" s="2">
        <v>1012.01</v>
      </c>
      <c r="K1049" s="16">
        <f>Table13[[#This Row],[Profit]]/Table13[[#This Row],[Sales]]</f>
        <v>0.19635428793170354</v>
      </c>
      <c r="L1049" s="17" t="str">
        <f t="shared" si="112"/>
        <v>Low</v>
      </c>
      <c r="M1049" s="17" t="str">
        <f t="shared" si="113"/>
        <v>May</v>
      </c>
      <c r="N1049" s="18">
        <f>YEAR(Table13[[#This Row],[Order_Date]])</f>
        <v>2023</v>
      </c>
      <c r="O1049" s="18">
        <f>Table13[[#This Row],[Price]]*0.7</f>
        <v>601.29999999999995</v>
      </c>
      <c r="P1049" s="18">
        <f t="shared" si="114"/>
        <v>1546.2000000000003</v>
      </c>
      <c r="Q1049" s="18">
        <f t="shared" si="115"/>
        <v>0.1</v>
      </c>
      <c r="R1049" s="18">
        <f t="shared" si="116"/>
        <v>4141.99</v>
      </c>
      <c r="S1049" s="18" t="str">
        <f>IF(Table13[[#This Row],[Quantity]]&lt;=3,"Small",IF(Table13[[#This Row],[Quantity]]&lt;=6,"Medium","Bulk"))</f>
        <v>Medium</v>
      </c>
      <c r="T1049" s="18" t="str">
        <f t="shared" si="117"/>
        <v>Normal</v>
      </c>
      <c r="U1049" s="18" t="str">
        <f t="shared" si="118"/>
        <v>low Value</v>
      </c>
    </row>
    <row r="1050" spans="1:21" x14ac:dyDescent="0.3">
      <c r="A1050" t="s">
        <v>1058</v>
      </c>
      <c r="B1050" s="1">
        <v>45187</v>
      </c>
      <c r="C1050" t="s">
        <v>1212</v>
      </c>
      <c r="D1050" t="s">
        <v>1214</v>
      </c>
      <c r="E1050" t="s">
        <v>1220</v>
      </c>
      <c r="F1050" t="s">
        <v>1228</v>
      </c>
      <c r="G1050" s="6">
        <v>9</v>
      </c>
      <c r="H1050">
        <v>2984</v>
      </c>
      <c r="I1050">
        <v>26856</v>
      </c>
      <c r="J1050" s="2">
        <v>4598</v>
      </c>
      <c r="K1050" s="16">
        <f>Table13[[#This Row],[Profit]]/Table13[[#This Row],[Sales]]</f>
        <v>0.17120941316651772</v>
      </c>
      <c r="L1050" s="17" t="str">
        <f t="shared" si="112"/>
        <v>High</v>
      </c>
      <c r="M1050" s="17" t="str">
        <f t="shared" si="113"/>
        <v>Sep</v>
      </c>
      <c r="N1050" s="18">
        <f>YEAR(Table13[[#This Row],[Order_Date]])</f>
        <v>2023</v>
      </c>
      <c r="O1050" s="18">
        <f>Table13[[#This Row],[Price]]*0.7</f>
        <v>2088.7999999999997</v>
      </c>
      <c r="P1050" s="18">
        <f t="shared" si="114"/>
        <v>8056.8000000000029</v>
      </c>
      <c r="Q1050" s="18">
        <f t="shared" si="115"/>
        <v>0.1</v>
      </c>
      <c r="R1050" s="18">
        <f t="shared" si="116"/>
        <v>22258</v>
      </c>
      <c r="S1050" s="18" t="str">
        <f>IF(Table13[[#This Row],[Quantity]]&lt;=3,"Small",IF(Table13[[#This Row],[Quantity]]&lt;=6,"Medium","Bulk"))</f>
        <v>Bulk</v>
      </c>
      <c r="T1050" s="18" t="str">
        <f t="shared" si="117"/>
        <v>High Demand</v>
      </c>
      <c r="U1050" s="18" t="str">
        <f t="shared" si="118"/>
        <v>High Value</v>
      </c>
    </row>
    <row r="1051" spans="1:21" x14ac:dyDescent="0.3">
      <c r="A1051" t="s">
        <v>1059</v>
      </c>
      <c r="B1051" s="1">
        <v>45020</v>
      </c>
      <c r="C1051" t="s">
        <v>1212</v>
      </c>
      <c r="D1051" t="s">
        <v>1217</v>
      </c>
      <c r="E1051" t="s">
        <v>1221</v>
      </c>
      <c r="F1051" t="s">
        <v>1226</v>
      </c>
      <c r="G1051" s="6">
        <v>9</v>
      </c>
      <c r="H1051">
        <v>2618</v>
      </c>
      <c r="I1051">
        <v>23562</v>
      </c>
      <c r="J1051" s="2">
        <v>4460.7700000000004</v>
      </c>
      <c r="K1051" s="16">
        <f>Table13[[#This Row],[Profit]]/Table13[[#This Row],[Sales]]</f>
        <v>0.18932051608522199</v>
      </c>
      <c r="L1051" s="17" t="str">
        <f t="shared" si="112"/>
        <v>High</v>
      </c>
      <c r="M1051" s="17" t="str">
        <f t="shared" si="113"/>
        <v>Apr</v>
      </c>
      <c r="N1051" s="18">
        <f>YEAR(Table13[[#This Row],[Order_Date]])</f>
        <v>2023</v>
      </c>
      <c r="O1051" s="18">
        <f>Table13[[#This Row],[Price]]*0.7</f>
        <v>1832.6</v>
      </c>
      <c r="P1051" s="18">
        <f t="shared" si="114"/>
        <v>7068.6000000000022</v>
      </c>
      <c r="Q1051" s="18">
        <f t="shared" si="115"/>
        <v>0.1</v>
      </c>
      <c r="R1051" s="18">
        <f t="shared" si="116"/>
        <v>19101.23</v>
      </c>
      <c r="S1051" s="18" t="str">
        <f>IF(Table13[[#This Row],[Quantity]]&lt;=3,"Small",IF(Table13[[#This Row],[Quantity]]&lt;=6,"Medium","Bulk"))</f>
        <v>Bulk</v>
      </c>
      <c r="T1051" s="18" t="str">
        <f t="shared" si="117"/>
        <v>High Demand</v>
      </c>
      <c r="U1051" s="18" t="str">
        <f t="shared" si="118"/>
        <v>High Value</v>
      </c>
    </row>
    <row r="1052" spans="1:21" x14ac:dyDescent="0.3">
      <c r="A1052" t="s">
        <v>1060</v>
      </c>
      <c r="B1052" s="1">
        <v>44995</v>
      </c>
      <c r="C1052" t="s">
        <v>1213</v>
      </c>
      <c r="D1052" t="s">
        <v>1218</v>
      </c>
      <c r="E1052" t="s">
        <v>1220</v>
      </c>
      <c r="F1052" t="s">
        <v>1237</v>
      </c>
      <c r="G1052" s="6">
        <v>9</v>
      </c>
      <c r="H1052">
        <v>2634</v>
      </c>
      <c r="I1052">
        <v>23706</v>
      </c>
      <c r="J1052" s="2">
        <v>4404.37</v>
      </c>
      <c r="K1052" s="16">
        <f>Table13[[#This Row],[Profit]]/Table13[[#This Row],[Sales]]</f>
        <v>0.18579136083691891</v>
      </c>
      <c r="L1052" s="17" t="str">
        <f t="shared" si="112"/>
        <v>High</v>
      </c>
      <c r="M1052" s="17" t="str">
        <f t="shared" si="113"/>
        <v>Mar</v>
      </c>
      <c r="N1052" s="18">
        <f>YEAR(Table13[[#This Row],[Order_Date]])</f>
        <v>2023</v>
      </c>
      <c r="O1052" s="18">
        <f>Table13[[#This Row],[Price]]*0.7</f>
        <v>1843.8</v>
      </c>
      <c r="P1052" s="18">
        <f t="shared" si="114"/>
        <v>7111.7999999999993</v>
      </c>
      <c r="Q1052" s="18">
        <f t="shared" si="115"/>
        <v>0.1</v>
      </c>
      <c r="R1052" s="18">
        <f t="shared" si="116"/>
        <v>19301.63</v>
      </c>
      <c r="S1052" s="18" t="str">
        <f>IF(Table13[[#This Row],[Quantity]]&lt;=3,"Small",IF(Table13[[#This Row],[Quantity]]&lt;=6,"Medium","Bulk"))</f>
        <v>Bulk</v>
      </c>
      <c r="T1052" s="18" t="str">
        <f t="shared" si="117"/>
        <v>Normal</v>
      </c>
      <c r="U1052" s="18" t="str">
        <f t="shared" si="118"/>
        <v>High Value</v>
      </c>
    </row>
    <row r="1053" spans="1:21" x14ac:dyDescent="0.3">
      <c r="A1053" t="s">
        <v>1061</v>
      </c>
      <c r="B1053" s="1">
        <v>45258</v>
      </c>
      <c r="C1053" t="s">
        <v>1212</v>
      </c>
      <c r="D1053" t="s">
        <v>1215</v>
      </c>
      <c r="E1053" t="s">
        <v>1221</v>
      </c>
      <c r="F1053" t="s">
        <v>1226</v>
      </c>
      <c r="G1053" s="6">
        <v>2</v>
      </c>
      <c r="H1053">
        <v>411</v>
      </c>
      <c r="I1053">
        <v>822</v>
      </c>
      <c r="J1053" s="2">
        <v>142.09</v>
      </c>
      <c r="K1053" s="16">
        <f>Table13[[#This Row],[Profit]]/Table13[[#This Row],[Sales]]</f>
        <v>0.17285888077858882</v>
      </c>
      <c r="L1053" s="17" t="str">
        <f t="shared" si="112"/>
        <v>Low</v>
      </c>
      <c r="M1053" s="17" t="str">
        <f t="shared" si="113"/>
        <v>Nov</v>
      </c>
      <c r="N1053" s="18">
        <f>YEAR(Table13[[#This Row],[Order_Date]])</f>
        <v>2023</v>
      </c>
      <c r="O1053" s="18">
        <f>Table13[[#This Row],[Price]]*0.7</f>
        <v>287.7</v>
      </c>
      <c r="P1053" s="18">
        <f t="shared" si="114"/>
        <v>246.60000000000002</v>
      </c>
      <c r="Q1053" s="18">
        <f t="shared" si="115"/>
        <v>0.05</v>
      </c>
      <c r="R1053" s="18">
        <f t="shared" si="116"/>
        <v>679.91</v>
      </c>
      <c r="S1053" s="18" t="str">
        <f>IF(Table13[[#This Row],[Quantity]]&lt;=3,"Small",IF(Table13[[#This Row],[Quantity]]&lt;=6,"Medium","Bulk"))</f>
        <v>Small</v>
      </c>
      <c r="T1053" s="18" t="str">
        <f t="shared" si="117"/>
        <v>High Demand</v>
      </c>
      <c r="U1053" s="18" t="str">
        <f t="shared" si="118"/>
        <v>low Value</v>
      </c>
    </row>
    <row r="1054" spans="1:21" x14ac:dyDescent="0.3">
      <c r="A1054" t="s">
        <v>1062</v>
      </c>
      <c r="B1054" s="1">
        <v>45180</v>
      </c>
      <c r="C1054" t="s">
        <v>1213</v>
      </c>
      <c r="D1054" t="s">
        <v>1216</v>
      </c>
      <c r="E1054" t="s">
        <v>1220</v>
      </c>
      <c r="F1054" t="s">
        <v>1237</v>
      </c>
      <c r="G1054" s="6">
        <v>9</v>
      </c>
      <c r="H1054">
        <v>1141</v>
      </c>
      <c r="I1054">
        <v>10269</v>
      </c>
      <c r="J1054" s="2">
        <v>2423.31</v>
      </c>
      <c r="K1054" s="16">
        <f>Table13[[#This Row],[Profit]]/Table13[[#This Row],[Sales]]</f>
        <v>0.23598305579900672</v>
      </c>
      <c r="L1054" s="17" t="str">
        <f t="shared" si="112"/>
        <v>Medium</v>
      </c>
      <c r="M1054" s="17" t="str">
        <f t="shared" si="113"/>
        <v>Sep</v>
      </c>
      <c r="N1054" s="18">
        <f>YEAR(Table13[[#This Row],[Order_Date]])</f>
        <v>2023</v>
      </c>
      <c r="O1054" s="18">
        <f>Table13[[#This Row],[Price]]*0.7</f>
        <v>798.69999999999993</v>
      </c>
      <c r="P1054" s="18">
        <f t="shared" si="114"/>
        <v>3080.7000000000007</v>
      </c>
      <c r="Q1054" s="18">
        <f t="shared" si="115"/>
        <v>0.1</v>
      </c>
      <c r="R1054" s="18">
        <f t="shared" si="116"/>
        <v>7845.6900000000005</v>
      </c>
      <c r="S1054" s="18" t="str">
        <f>IF(Table13[[#This Row],[Quantity]]&lt;=3,"Small",IF(Table13[[#This Row],[Quantity]]&lt;=6,"Medium","Bulk"))</f>
        <v>Bulk</v>
      </c>
      <c r="T1054" s="18" t="str">
        <f t="shared" si="117"/>
        <v>Normal</v>
      </c>
      <c r="U1054" s="18" t="str">
        <f t="shared" si="118"/>
        <v>Medium Value</v>
      </c>
    </row>
    <row r="1055" spans="1:21" x14ac:dyDescent="0.3">
      <c r="A1055" t="s">
        <v>1063</v>
      </c>
      <c r="B1055" s="1">
        <v>44941</v>
      </c>
      <c r="C1055" t="s">
        <v>1213</v>
      </c>
      <c r="D1055" t="s">
        <v>1218</v>
      </c>
      <c r="E1055" t="s">
        <v>1222</v>
      </c>
      <c r="F1055" t="s">
        <v>1236</v>
      </c>
      <c r="G1055" s="6">
        <v>2</v>
      </c>
      <c r="H1055">
        <v>2937</v>
      </c>
      <c r="I1055">
        <v>5874</v>
      </c>
      <c r="J1055" s="2">
        <v>1092.17</v>
      </c>
      <c r="K1055" s="16">
        <f>Table13[[#This Row],[Profit]]/Table13[[#This Row],[Sales]]</f>
        <v>0.18593292475314949</v>
      </c>
      <c r="L1055" s="17" t="str">
        <f t="shared" si="112"/>
        <v>Low</v>
      </c>
      <c r="M1055" s="17" t="str">
        <f t="shared" si="113"/>
        <v>Jan</v>
      </c>
      <c r="N1055" s="18">
        <f>YEAR(Table13[[#This Row],[Order_Date]])</f>
        <v>2023</v>
      </c>
      <c r="O1055" s="18">
        <f>Table13[[#This Row],[Price]]*0.7</f>
        <v>2055.9</v>
      </c>
      <c r="P1055" s="18">
        <f t="shared" si="114"/>
        <v>1762.1999999999998</v>
      </c>
      <c r="Q1055" s="18">
        <f t="shared" si="115"/>
        <v>0.05</v>
      </c>
      <c r="R1055" s="18">
        <f t="shared" si="116"/>
        <v>4781.83</v>
      </c>
      <c r="S1055" s="18" t="str">
        <f>IF(Table13[[#This Row],[Quantity]]&lt;=3,"Small",IF(Table13[[#This Row],[Quantity]]&lt;=6,"Medium","Bulk"))</f>
        <v>Small</v>
      </c>
      <c r="T1055" s="18" t="str">
        <f t="shared" si="117"/>
        <v>Normal</v>
      </c>
      <c r="U1055" s="18" t="str">
        <f t="shared" si="118"/>
        <v>low Value</v>
      </c>
    </row>
    <row r="1056" spans="1:21" x14ac:dyDescent="0.3">
      <c r="A1056" t="s">
        <v>1064</v>
      </c>
      <c r="B1056" s="1">
        <v>45231</v>
      </c>
      <c r="C1056" t="s">
        <v>1211</v>
      </c>
      <c r="D1056" t="s">
        <v>1216</v>
      </c>
      <c r="E1056" t="s">
        <v>1219</v>
      </c>
      <c r="F1056" t="s">
        <v>1232</v>
      </c>
      <c r="G1056" s="6">
        <v>6</v>
      </c>
      <c r="H1056">
        <v>4464</v>
      </c>
      <c r="I1056">
        <v>26784</v>
      </c>
      <c r="J1056" s="2">
        <v>5617.56</v>
      </c>
      <c r="K1056" s="16">
        <f>Table13[[#This Row],[Profit]]/Table13[[#This Row],[Sales]]</f>
        <v>0.2097356630824373</v>
      </c>
      <c r="L1056" s="17" t="str">
        <f t="shared" si="112"/>
        <v>High</v>
      </c>
      <c r="M1056" s="17" t="str">
        <f t="shared" si="113"/>
        <v>Nov</v>
      </c>
      <c r="N1056" s="18">
        <f>YEAR(Table13[[#This Row],[Order_Date]])</f>
        <v>2023</v>
      </c>
      <c r="O1056" s="18">
        <f>Table13[[#This Row],[Price]]*0.7</f>
        <v>3124.7999999999997</v>
      </c>
      <c r="P1056" s="18">
        <f t="shared" si="114"/>
        <v>8035.2000000000007</v>
      </c>
      <c r="Q1056" s="18">
        <f t="shared" si="115"/>
        <v>0.1</v>
      </c>
      <c r="R1056" s="18">
        <f t="shared" si="116"/>
        <v>21166.44</v>
      </c>
      <c r="S1056" s="18" t="str">
        <f>IF(Table13[[#This Row],[Quantity]]&lt;=3,"Small",IF(Table13[[#This Row],[Quantity]]&lt;=6,"Medium","Bulk"))</f>
        <v>Medium</v>
      </c>
      <c r="T1056" s="18" t="str">
        <f t="shared" si="117"/>
        <v>Normal</v>
      </c>
      <c r="U1056" s="18" t="str">
        <f t="shared" si="118"/>
        <v>High Value</v>
      </c>
    </row>
    <row r="1057" spans="1:21" x14ac:dyDescent="0.3">
      <c r="A1057" t="s">
        <v>1065</v>
      </c>
      <c r="B1057" s="1">
        <v>44955</v>
      </c>
      <c r="C1057" t="s">
        <v>1210</v>
      </c>
      <c r="D1057" t="s">
        <v>1215</v>
      </c>
      <c r="E1057" t="s">
        <v>1220</v>
      </c>
      <c r="F1057" t="s">
        <v>1228</v>
      </c>
      <c r="G1057" s="6">
        <v>7</v>
      </c>
      <c r="H1057">
        <v>727</v>
      </c>
      <c r="I1057">
        <v>5089</v>
      </c>
      <c r="J1057" s="2">
        <v>797.54</v>
      </c>
      <c r="K1057" s="16">
        <f>Table13[[#This Row],[Profit]]/Table13[[#This Row],[Sales]]</f>
        <v>0.15671841226174099</v>
      </c>
      <c r="L1057" s="17" t="str">
        <f t="shared" si="112"/>
        <v>Low</v>
      </c>
      <c r="M1057" s="17" t="str">
        <f t="shared" si="113"/>
        <v>Jan</v>
      </c>
      <c r="N1057" s="18">
        <f>YEAR(Table13[[#This Row],[Order_Date]])</f>
        <v>2023</v>
      </c>
      <c r="O1057" s="18">
        <f>Table13[[#This Row],[Price]]*0.7</f>
        <v>508.9</v>
      </c>
      <c r="P1057" s="18">
        <f t="shared" si="114"/>
        <v>1526.7000000000003</v>
      </c>
      <c r="Q1057" s="18">
        <f t="shared" si="115"/>
        <v>0.1</v>
      </c>
      <c r="R1057" s="18">
        <f t="shared" si="116"/>
        <v>4291.46</v>
      </c>
      <c r="S1057" s="18" t="str">
        <f>IF(Table13[[#This Row],[Quantity]]&lt;=3,"Small",IF(Table13[[#This Row],[Quantity]]&lt;=6,"Medium","Bulk"))</f>
        <v>Bulk</v>
      </c>
      <c r="T1057" s="18" t="str">
        <f t="shared" si="117"/>
        <v>Normal</v>
      </c>
      <c r="U1057" s="18" t="str">
        <f t="shared" si="118"/>
        <v>low Value</v>
      </c>
    </row>
    <row r="1058" spans="1:21" x14ac:dyDescent="0.3">
      <c r="A1058" t="s">
        <v>1066</v>
      </c>
      <c r="B1058" s="1">
        <v>45205</v>
      </c>
      <c r="C1058" t="s">
        <v>1212</v>
      </c>
      <c r="D1058" t="s">
        <v>1214</v>
      </c>
      <c r="E1058" t="s">
        <v>1220</v>
      </c>
      <c r="F1058" t="s">
        <v>1237</v>
      </c>
      <c r="G1058" s="6">
        <v>1</v>
      </c>
      <c r="H1058">
        <v>1376</v>
      </c>
      <c r="I1058">
        <v>1376</v>
      </c>
      <c r="J1058" s="2">
        <v>154.91999999999999</v>
      </c>
      <c r="K1058" s="16">
        <f>Table13[[#This Row],[Profit]]/Table13[[#This Row],[Sales]]</f>
        <v>0.11258720930232557</v>
      </c>
      <c r="L1058" s="17" t="str">
        <f t="shared" si="112"/>
        <v>Low</v>
      </c>
      <c r="M1058" s="17" t="str">
        <f t="shared" si="113"/>
        <v>Oct</v>
      </c>
      <c r="N1058" s="18">
        <f>YEAR(Table13[[#This Row],[Order_Date]])</f>
        <v>2023</v>
      </c>
      <c r="O1058" s="18">
        <f>Table13[[#This Row],[Price]]*0.7</f>
        <v>963.19999999999993</v>
      </c>
      <c r="P1058" s="18">
        <f t="shared" si="114"/>
        <v>412.80000000000007</v>
      </c>
      <c r="Q1058" s="18">
        <f t="shared" si="115"/>
        <v>0.05</v>
      </c>
      <c r="R1058" s="18">
        <f t="shared" si="116"/>
        <v>1221.08</v>
      </c>
      <c r="S1058" s="18" t="str">
        <f>IF(Table13[[#This Row],[Quantity]]&lt;=3,"Small",IF(Table13[[#This Row],[Quantity]]&lt;=6,"Medium","Bulk"))</f>
        <v>Small</v>
      </c>
      <c r="T1058" s="18" t="str">
        <f t="shared" si="117"/>
        <v>High Demand</v>
      </c>
      <c r="U1058" s="18" t="str">
        <f t="shared" si="118"/>
        <v>low Value</v>
      </c>
    </row>
    <row r="1059" spans="1:21" x14ac:dyDescent="0.3">
      <c r="A1059" t="s">
        <v>1067</v>
      </c>
      <c r="B1059" s="1">
        <v>45164</v>
      </c>
      <c r="C1059" t="s">
        <v>1212</v>
      </c>
      <c r="D1059" t="s">
        <v>1217</v>
      </c>
      <c r="E1059" t="s">
        <v>1222</v>
      </c>
      <c r="F1059" t="s">
        <v>1230</v>
      </c>
      <c r="G1059" s="6">
        <v>4</v>
      </c>
      <c r="H1059">
        <v>2713</v>
      </c>
      <c r="I1059">
        <v>10852</v>
      </c>
      <c r="J1059" s="2">
        <v>1772.71</v>
      </c>
      <c r="K1059" s="16">
        <f>Table13[[#This Row],[Profit]]/Table13[[#This Row],[Sales]]</f>
        <v>0.16335329893107262</v>
      </c>
      <c r="L1059" s="17" t="str">
        <f t="shared" si="112"/>
        <v>Medium</v>
      </c>
      <c r="M1059" s="17" t="str">
        <f t="shared" si="113"/>
        <v>Aug</v>
      </c>
      <c r="N1059" s="18">
        <f>YEAR(Table13[[#This Row],[Order_Date]])</f>
        <v>2023</v>
      </c>
      <c r="O1059" s="18">
        <f>Table13[[#This Row],[Price]]*0.7</f>
        <v>1899.1</v>
      </c>
      <c r="P1059" s="18">
        <f t="shared" si="114"/>
        <v>3255.6000000000004</v>
      </c>
      <c r="Q1059" s="18">
        <f t="shared" si="115"/>
        <v>0.05</v>
      </c>
      <c r="R1059" s="18">
        <f t="shared" si="116"/>
        <v>9079.2899999999991</v>
      </c>
      <c r="S1059" s="18" t="str">
        <f>IF(Table13[[#This Row],[Quantity]]&lt;=3,"Small",IF(Table13[[#This Row],[Quantity]]&lt;=6,"Medium","Bulk"))</f>
        <v>Medium</v>
      </c>
      <c r="T1059" s="18" t="str">
        <f t="shared" si="117"/>
        <v>High Demand</v>
      </c>
      <c r="U1059" s="18" t="str">
        <f t="shared" si="118"/>
        <v>Medium Value</v>
      </c>
    </row>
    <row r="1060" spans="1:21" x14ac:dyDescent="0.3">
      <c r="A1060" t="s">
        <v>1068</v>
      </c>
      <c r="B1060" s="1">
        <v>45046</v>
      </c>
      <c r="C1060" t="s">
        <v>1212</v>
      </c>
      <c r="D1060" t="s">
        <v>1217</v>
      </c>
      <c r="E1060" t="s">
        <v>1222</v>
      </c>
      <c r="F1060" t="s">
        <v>1234</v>
      </c>
      <c r="G1060" s="6">
        <v>6</v>
      </c>
      <c r="H1060">
        <v>1754</v>
      </c>
      <c r="I1060">
        <v>10524</v>
      </c>
      <c r="J1060" s="2">
        <v>1268.32</v>
      </c>
      <c r="K1060" s="16">
        <f>Table13[[#This Row],[Profit]]/Table13[[#This Row],[Sales]]</f>
        <v>0.12051691372101862</v>
      </c>
      <c r="L1060" s="17" t="str">
        <f t="shared" si="112"/>
        <v>Medium</v>
      </c>
      <c r="M1060" s="17" t="str">
        <f t="shared" si="113"/>
        <v>Apr</v>
      </c>
      <c r="N1060" s="18">
        <f>YEAR(Table13[[#This Row],[Order_Date]])</f>
        <v>2023</v>
      </c>
      <c r="O1060" s="18">
        <f>Table13[[#This Row],[Price]]*0.7</f>
        <v>1227.8</v>
      </c>
      <c r="P1060" s="18">
        <f t="shared" si="114"/>
        <v>3157.2000000000007</v>
      </c>
      <c r="Q1060" s="18">
        <f t="shared" si="115"/>
        <v>0.1</v>
      </c>
      <c r="R1060" s="18">
        <f t="shared" si="116"/>
        <v>9255.68</v>
      </c>
      <c r="S1060" s="18" t="str">
        <f>IF(Table13[[#This Row],[Quantity]]&lt;=3,"Small",IF(Table13[[#This Row],[Quantity]]&lt;=6,"Medium","Bulk"))</f>
        <v>Medium</v>
      </c>
      <c r="T1060" s="18" t="str">
        <f t="shared" si="117"/>
        <v>High Demand</v>
      </c>
      <c r="U1060" s="18" t="str">
        <f t="shared" si="118"/>
        <v>Medium Value</v>
      </c>
    </row>
    <row r="1061" spans="1:21" x14ac:dyDescent="0.3">
      <c r="A1061" t="s">
        <v>1069</v>
      </c>
      <c r="B1061" s="1">
        <v>45267</v>
      </c>
      <c r="C1061" t="s">
        <v>1210</v>
      </c>
      <c r="D1061" t="s">
        <v>1214</v>
      </c>
      <c r="E1061" t="s">
        <v>1221</v>
      </c>
      <c r="F1061" t="s">
        <v>1231</v>
      </c>
      <c r="G1061" s="6">
        <v>4</v>
      </c>
      <c r="H1061">
        <v>1041</v>
      </c>
      <c r="I1061">
        <v>4164</v>
      </c>
      <c r="J1061" s="2">
        <v>502.19</v>
      </c>
      <c r="K1061" s="16">
        <f>Table13[[#This Row],[Profit]]/Table13[[#This Row],[Sales]]</f>
        <v>0.12060278578290105</v>
      </c>
      <c r="L1061" s="17" t="str">
        <f t="shared" si="112"/>
        <v>Low</v>
      </c>
      <c r="M1061" s="17" t="str">
        <f t="shared" si="113"/>
        <v>Dec</v>
      </c>
      <c r="N1061" s="18">
        <f>YEAR(Table13[[#This Row],[Order_Date]])</f>
        <v>2023</v>
      </c>
      <c r="O1061" s="18">
        <f>Table13[[#This Row],[Price]]*0.7</f>
        <v>728.69999999999993</v>
      </c>
      <c r="P1061" s="18">
        <f t="shared" si="114"/>
        <v>1249.2000000000003</v>
      </c>
      <c r="Q1061" s="18">
        <f t="shared" si="115"/>
        <v>0.05</v>
      </c>
      <c r="R1061" s="18">
        <f t="shared" si="116"/>
        <v>3661.81</v>
      </c>
      <c r="S1061" s="18" t="str">
        <f>IF(Table13[[#This Row],[Quantity]]&lt;=3,"Small",IF(Table13[[#This Row],[Quantity]]&lt;=6,"Medium","Bulk"))</f>
        <v>Medium</v>
      </c>
      <c r="T1061" s="18" t="str">
        <f t="shared" si="117"/>
        <v>Normal</v>
      </c>
      <c r="U1061" s="18" t="str">
        <f t="shared" si="118"/>
        <v>low Value</v>
      </c>
    </row>
    <row r="1062" spans="1:21" x14ac:dyDescent="0.3">
      <c r="A1062" t="s">
        <v>1070</v>
      </c>
      <c r="B1062" s="1">
        <v>45153</v>
      </c>
      <c r="C1062" t="s">
        <v>1211</v>
      </c>
      <c r="D1062" t="s">
        <v>1216</v>
      </c>
      <c r="E1062" t="s">
        <v>1221</v>
      </c>
      <c r="F1062" t="s">
        <v>1229</v>
      </c>
      <c r="G1062" s="6">
        <v>1</v>
      </c>
      <c r="H1062">
        <v>4887</v>
      </c>
      <c r="I1062">
        <v>4887</v>
      </c>
      <c r="J1062" s="2">
        <v>963.86</v>
      </c>
      <c r="K1062" s="16">
        <f>Table13[[#This Row],[Profit]]/Table13[[#This Row],[Sales]]</f>
        <v>0.19722938408021282</v>
      </c>
      <c r="L1062" s="17" t="str">
        <f t="shared" si="112"/>
        <v>Low</v>
      </c>
      <c r="M1062" s="17" t="str">
        <f t="shared" si="113"/>
        <v>Aug</v>
      </c>
      <c r="N1062" s="18">
        <f>YEAR(Table13[[#This Row],[Order_Date]])</f>
        <v>2023</v>
      </c>
      <c r="O1062" s="18">
        <f>Table13[[#This Row],[Price]]*0.7</f>
        <v>3420.8999999999996</v>
      </c>
      <c r="P1062" s="18">
        <f t="shared" si="114"/>
        <v>1466.1000000000004</v>
      </c>
      <c r="Q1062" s="18">
        <f t="shared" si="115"/>
        <v>0.05</v>
      </c>
      <c r="R1062" s="18">
        <f t="shared" si="116"/>
        <v>3923.14</v>
      </c>
      <c r="S1062" s="18" t="str">
        <f>IF(Table13[[#This Row],[Quantity]]&lt;=3,"Small",IF(Table13[[#This Row],[Quantity]]&lt;=6,"Medium","Bulk"))</f>
        <v>Small</v>
      </c>
      <c r="T1062" s="18" t="str">
        <f t="shared" si="117"/>
        <v>Normal</v>
      </c>
      <c r="U1062" s="18" t="str">
        <f t="shared" si="118"/>
        <v>low Value</v>
      </c>
    </row>
    <row r="1063" spans="1:21" x14ac:dyDescent="0.3">
      <c r="A1063" t="s">
        <v>1071</v>
      </c>
      <c r="B1063" s="1">
        <v>45199</v>
      </c>
      <c r="C1063" t="s">
        <v>1213</v>
      </c>
      <c r="D1063" t="s">
        <v>1218</v>
      </c>
      <c r="E1063" t="s">
        <v>1219</v>
      </c>
      <c r="F1063" t="s">
        <v>1232</v>
      </c>
      <c r="G1063" s="6">
        <v>5</v>
      </c>
      <c r="H1063">
        <v>3961</v>
      </c>
      <c r="I1063">
        <v>19805</v>
      </c>
      <c r="J1063" s="2">
        <v>2691.29</v>
      </c>
      <c r="K1063" s="16">
        <f>Table13[[#This Row],[Profit]]/Table13[[#This Row],[Sales]]</f>
        <v>0.13588942186316585</v>
      </c>
      <c r="L1063" s="17" t="str">
        <f t="shared" si="112"/>
        <v>Medium</v>
      </c>
      <c r="M1063" s="17" t="str">
        <f t="shared" si="113"/>
        <v>Sep</v>
      </c>
      <c r="N1063" s="18">
        <f>YEAR(Table13[[#This Row],[Order_Date]])</f>
        <v>2023</v>
      </c>
      <c r="O1063" s="18">
        <f>Table13[[#This Row],[Price]]*0.7</f>
        <v>2772.7</v>
      </c>
      <c r="P1063" s="18">
        <f t="shared" si="114"/>
        <v>5941.5</v>
      </c>
      <c r="Q1063" s="18">
        <f t="shared" si="115"/>
        <v>0.05</v>
      </c>
      <c r="R1063" s="18">
        <f t="shared" si="116"/>
        <v>17113.71</v>
      </c>
      <c r="S1063" s="18" t="str">
        <f>IF(Table13[[#This Row],[Quantity]]&lt;=3,"Small",IF(Table13[[#This Row],[Quantity]]&lt;=6,"Medium","Bulk"))</f>
        <v>Medium</v>
      </c>
      <c r="T1063" s="18" t="str">
        <f t="shared" si="117"/>
        <v>Normal</v>
      </c>
      <c r="U1063" s="18" t="str">
        <f t="shared" si="118"/>
        <v>Medium Value</v>
      </c>
    </row>
    <row r="1064" spans="1:21" x14ac:dyDescent="0.3">
      <c r="A1064" t="s">
        <v>1072</v>
      </c>
      <c r="B1064" s="1">
        <v>45243</v>
      </c>
      <c r="C1064" t="s">
        <v>1211</v>
      </c>
      <c r="D1064" t="s">
        <v>1214</v>
      </c>
      <c r="E1064" t="s">
        <v>1220</v>
      </c>
      <c r="F1064" t="s">
        <v>1224</v>
      </c>
      <c r="G1064" s="6">
        <v>4</v>
      </c>
      <c r="H1064">
        <v>1289</v>
      </c>
      <c r="I1064">
        <v>5156</v>
      </c>
      <c r="J1064" s="2">
        <v>479.64</v>
      </c>
      <c r="K1064" s="16">
        <f>Table13[[#This Row],[Profit]]/Table13[[#This Row],[Sales]]</f>
        <v>9.3025601241272307E-2</v>
      </c>
      <c r="L1064" s="17" t="str">
        <f t="shared" si="112"/>
        <v>Low</v>
      </c>
      <c r="M1064" s="17" t="str">
        <f t="shared" si="113"/>
        <v>Nov</v>
      </c>
      <c r="N1064" s="18">
        <f>YEAR(Table13[[#This Row],[Order_Date]])</f>
        <v>2023</v>
      </c>
      <c r="O1064" s="18">
        <f>Table13[[#This Row],[Price]]*0.7</f>
        <v>902.3</v>
      </c>
      <c r="P1064" s="18">
        <f t="shared" si="114"/>
        <v>1546.8000000000002</v>
      </c>
      <c r="Q1064" s="18">
        <f t="shared" si="115"/>
        <v>0.05</v>
      </c>
      <c r="R1064" s="18">
        <f t="shared" si="116"/>
        <v>4676.3599999999997</v>
      </c>
      <c r="S1064" s="18" t="str">
        <f>IF(Table13[[#This Row],[Quantity]]&lt;=3,"Small",IF(Table13[[#This Row],[Quantity]]&lt;=6,"Medium","Bulk"))</f>
        <v>Medium</v>
      </c>
      <c r="T1064" s="18" t="str">
        <f t="shared" si="117"/>
        <v>Normal</v>
      </c>
      <c r="U1064" s="18" t="str">
        <f t="shared" si="118"/>
        <v>low Value</v>
      </c>
    </row>
    <row r="1065" spans="1:21" x14ac:dyDescent="0.3">
      <c r="A1065" t="s">
        <v>1073</v>
      </c>
      <c r="B1065" s="1">
        <v>45152</v>
      </c>
      <c r="C1065" t="s">
        <v>1210</v>
      </c>
      <c r="D1065" t="s">
        <v>1215</v>
      </c>
      <c r="E1065" t="s">
        <v>1221</v>
      </c>
      <c r="F1065" t="s">
        <v>1229</v>
      </c>
      <c r="G1065" s="6">
        <v>7</v>
      </c>
      <c r="H1065">
        <v>1324</v>
      </c>
      <c r="I1065">
        <v>9268</v>
      </c>
      <c r="J1065" s="2">
        <v>1064.4000000000001</v>
      </c>
      <c r="K1065" s="16">
        <f>Table13[[#This Row],[Profit]]/Table13[[#This Row],[Sales]]</f>
        <v>0.11484678463530429</v>
      </c>
      <c r="L1065" s="17" t="str">
        <f t="shared" si="112"/>
        <v>Low</v>
      </c>
      <c r="M1065" s="17" t="str">
        <f t="shared" si="113"/>
        <v>Aug</v>
      </c>
      <c r="N1065" s="18">
        <f>YEAR(Table13[[#This Row],[Order_Date]])</f>
        <v>2023</v>
      </c>
      <c r="O1065" s="18">
        <f>Table13[[#This Row],[Price]]*0.7</f>
        <v>926.8</v>
      </c>
      <c r="P1065" s="18">
        <f t="shared" si="114"/>
        <v>2780.4000000000005</v>
      </c>
      <c r="Q1065" s="18">
        <f t="shared" si="115"/>
        <v>0.1</v>
      </c>
      <c r="R1065" s="18">
        <f t="shared" si="116"/>
        <v>8203.6</v>
      </c>
      <c r="S1065" s="18" t="str">
        <f>IF(Table13[[#This Row],[Quantity]]&lt;=3,"Small",IF(Table13[[#This Row],[Quantity]]&lt;=6,"Medium","Bulk"))</f>
        <v>Bulk</v>
      </c>
      <c r="T1065" s="18" t="str">
        <f t="shared" si="117"/>
        <v>Normal</v>
      </c>
      <c r="U1065" s="18" t="str">
        <f t="shared" si="118"/>
        <v>low Value</v>
      </c>
    </row>
    <row r="1066" spans="1:21" x14ac:dyDescent="0.3">
      <c r="A1066" t="s">
        <v>1074</v>
      </c>
      <c r="B1066" s="1">
        <v>45048</v>
      </c>
      <c r="C1066" t="s">
        <v>1210</v>
      </c>
      <c r="D1066" t="s">
        <v>1214</v>
      </c>
      <c r="E1066" t="s">
        <v>1220</v>
      </c>
      <c r="F1066" t="s">
        <v>1228</v>
      </c>
      <c r="G1066" s="6">
        <v>6</v>
      </c>
      <c r="H1066">
        <v>3982</v>
      </c>
      <c r="I1066">
        <v>23892</v>
      </c>
      <c r="J1066" s="2">
        <v>3343.21</v>
      </c>
      <c r="K1066" s="16">
        <f>Table13[[#This Row],[Profit]]/Table13[[#This Row],[Sales]]</f>
        <v>0.13993010212623472</v>
      </c>
      <c r="L1066" s="17" t="str">
        <f t="shared" si="112"/>
        <v>High</v>
      </c>
      <c r="M1066" s="17" t="str">
        <f t="shared" si="113"/>
        <v>May</v>
      </c>
      <c r="N1066" s="18">
        <f>YEAR(Table13[[#This Row],[Order_Date]])</f>
        <v>2023</v>
      </c>
      <c r="O1066" s="18">
        <f>Table13[[#This Row],[Price]]*0.7</f>
        <v>2787.3999999999996</v>
      </c>
      <c r="P1066" s="18">
        <f t="shared" si="114"/>
        <v>7167.6000000000022</v>
      </c>
      <c r="Q1066" s="18">
        <f t="shared" si="115"/>
        <v>0.1</v>
      </c>
      <c r="R1066" s="18">
        <f t="shared" si="116"/>
        <v>20548.79</v>
      </c>
      <c r="S1066" s="18" t="str">
        <f>IF(Table13[[#This Row],[Quantity]]&lt;=3,"Small",IF(Table13[[#This Row],[Quantity]]&lt;=6,"Medium","Bulk"))</f>
        <v>Medium</v>
      </c>
      <c r="T1066" s="18" t="str">
        <f t="shared" si="117"/>
        <v>Normal</v>
      </c>
      <c r="U1066" s="18" t="str">
        <f t="shared" si="118"/>
        <v>High Value</v>
      </c>
    </row>
    <row r="1067" spans="1:21" x14ac:dyDescent="0.3">
      <c r="A1067" t="s">
        <v>1075</v>
      </c>
      <c r="B1067" s="1">
        <v>44950</v>
      </c>
      <c r="C1067" t="s">
        <v>1212</v>
      </c>
      <c r="D1067" t="s">
        <v>1214</v>
      </c>
      <c r="E1067" t="s">
        <v>1219</v>
      </c>
      <c r="F1067" t="s">
        <v>1232</v>
      </c>
      <c r="G1067" s="6">
        <v>1</v>
      </c>
      <c r="H1067">
        <v>3691</v>
      </c>
      <c r="I1067">
        <v>3691</v>
      </c>
      <c r="J1067" s="2">
        <v>346.69</v>
      </c>
      <c r="K1067" s="16">
        <f>Table13[[#This Row],[Profit]]/Table13[[#This Row],[Sales]]</f>
        <v>9.3928474668111619E-2</v>
      </c>
      <c r="L1067" s="17" t="str">
        <f t="shared" si="112"/>
        <v>Low</v>
      </c>
      <c r="M1067" s="17" t="str">
        <f t="shared" si="113"/>
        <v>Jan</v>
      </c>
      <c r="N1067" s="18">
        <f>YEAR(Table13[[#This Row],[Order_Date]])</f>
        <v>2023</v>
      </c>
      <c r="O1067" s="18">
        <f>Table13[[#This Row],[Price]]*0.7</f>
        <v>2583.6999999999998</v>
      </c>
      <c r="P1067" s="18">
        <f t="shared" si="114"/>
        <v>1107.3000000000002</v>
      </c>
      <c r="Q1067" s="18">
        <f t="shared" si="115"/>
        <v>0.05</v>
      </c>
      <c r="R1067" s="18">
        <f t="shared" si="116"/>
        <v>3344.31</v>
      </c>
      <c r="S1067" s="18" t="str">
        <f>IF(Table13[[#This Row],[Quantity]]&lt;=3,"Small",IF(Table13[[#This Row],[Quantity]]&lt;=6,"Medium","Bulk"))</f>
        <v>Small</v>
      </c>
      <c r="T1067" s="18" t="str">
        <f t="shared" si="117"/>
        <v>High Demand</v>
      </c>
      <c r="U1067" s="18" t="str">
        <f t="shared" si="118"/>
        <v>low Value</v>
      </c>
    </row>
    <row r="1068" spans="1:21" x14ac:dyDescent="0.3">
      <c r="A1068" t="s">
        <v>1076</v>
      </c>
      <c r="B1068" s="1">
        <v>44963</v>
      </c>
      <c r="C1068" t="s">
        <v>1211</v>
      </c>
      <c r="D1068" t="s">
        <v>1218</v>
      </c>
      <c r="E1068" t="s">
        <v>1222</v>
      </c>
      <c r="F1068" t="s">
        <v>1227</v>
      </c>
      <c r="G1068" s="6">
        <v>4</v>
      </c>
      <c r="H1068">
        <v>537</v>
      </c>
      <c r="I1068">
        <v>2148</v>
      </c>
      <c r="J1068" s="2">
        <v>218.3</v>
      </c>
      <c r="K1068" s="16">
        <f>Table13[[#This Row],[Profit]]/Table13[[#This Row],[Sales]]</f>
        <v>0.1016294227188082</v>
      </c>
      <c r="L1068" s="17" t="str">
        <f t="shared" si="112"/>
        <v>Low</v>
      </c>
      <c r="M1068" s="17" t="str">
        <f t="shared" si="113"/>
        <v>Feb</v>
      </c>
      <c r="N1068" s="18">
        <f>YEAR(Table13[[#This Row],[Order_Date]])</f>
        <v>2023</v>
      </c>
      <c r="O1068" s="18">
        <f>Table13[[#This Row],[Price]]*0.7</f>
        <v>375.9</v>
      </c>
      <c r="P1068" s="18">
        <f t="shared" si="114"/>
        <v>644.40000000000009</v>
      </c>
      <c r="Q1068" s="18">
        <f t="shared" si="115"/>
        <v>0.05</v>
      </c>
      <c r="R1068" s="18">
        <f t="shared" si="116"/>
        <v>1929.7</v>
      </c>
      <c r="S1068" s="18" t="str">
        <f>IF(Table13[[#This Row],[Quantity]]&lt;=3,"Small",IF(Table13[[#This Row],[Quantity]]&lt;=6,"Medium","Bulk"))</f>
        <v>Medium</v>
      </c>
      <c r="T1068" s="18" t="str">
        <f t="shared" si="117"/>
        <v>Normal</v>
      </c>
      <c r="U1068" s="18" t="str">
        <f t="shared" si="118"/>
        <v>low Value</v>
      </c>
    </row>
    <row r="1069" spans="1:21" x14ac:dyDescent="0.3">
      <c r="A1069" t="s">
        <v>1077</v>
      </c>
      <c r="B1069" s="1">
        <v>45012</v>
      </c>
      <c r="C1069" t="s">
        <v>1210</v>
      </c>
      <c r="D1069" t="s">
        <v>1215</v>
      </c>
      <c r="E1069" t="s">
        <v>1221</v>
      </c>
      <c r="F1069" t="s">
        <v>1235</v>
      </c>
      <c r="G1069" s="6">
        <v>8</v>
      </c>
      <c r="H1069">
        <v>1115</v>
      </c>
      <c r="I1069">
        <v>8920</v>
      </c>
      <c r="J1069" s="2">
        <v>1818.51</v>
      </c>
      <c r="K1069" s="16">
        <f>Table13[[#This Row],[Profit]]/Table13[[#This Row],[Sales]]</f>
        <v>0.20386883408071749</v>
      </c>
      <c r="L1069" s="17" t="str">
        <f t="shared" si="112"/>
        <v>Low</v>
      </c>
      <c r="M1069" s="17" t="str">
        <f t="shared" si="113"/>
        <v>Mar</v>
      </c>
      <c r="N1069" s="18">
        <f>YEAR(Table13[[#This Row],[Order_Date]])</f>
        <v>2023</v>
      </c>
      <c r="O1069" s="18">
        <f>Table13[[#This Row],[Price]]*0.7</f>
        <v>780.5</v>
      </c>
      <c r="P1069" s="18">
        <f t="shared" si="114"/>
        <v>2676</v>
      </c>
      <c r="Q1069" s="18">
        <f t="shared" si="115"/>
        <v>0.1</v>
      </c>
      <c r="R1069" s="18">
        <f t="shared" si="116"/>
        <v>7101.49</v>
      </c>
      <c r="S1069" s="18" t="str">
        <f>IF(Table13[[#This Row],[Quantity]]&lt;=3,"Small",IF(Table13[[#This Row],[Quantity]]&lt;=6,"Medium","Bulk"))</f>
        <v>Bulk</v>
      </c>
      <c r="T1069" s="18" t="str">
        <f t="shared" si="117"/>
        <v>Normal</v>
      </c>
      <c r="U1069" s="18" t="str">
        <f t="shared" si="118"/>
        <v>low Value</v>
      </c>
    </row>
    <row r="1070" spans="1:21" x14ac:dyDescent="0.3">
      <c r="A1070" t="s">
        <v>1078</v>
      </c>
      <c r="B1070" s="1">
        <v>45013</v>
      </c>
      <c r="C1070" t="s">
        <v>1210</v>
      </c>
      <c r="D1070" t="s">
        <v>1216</v>
      </c>
      <c r="E1070" t="s">
        <v>1221</v>
      </c>
      <c r="F1070" t="s">
        <v>1235</v>
      </c>
      <c r="G1070" s="6">
        <v>1</v>
      </c>
      <c r="H1070">
        <v>3767</v>
      </c>
      <c r="I1070">
        <v>3767</v>
      </c>
      <c r="J1070" s="2">
        <v>687.42</v>
      </c>
      <c r="K1070" s="16">
        <f>Table13[[#This Row],[Profit]]/Table13[[#This Row],[Sales]]</f>
        <v>0.18248473586408281</v>
      </c>
      <c r="L1070" s="17" t="str">
        <f t="shared" si="112"/>
        <v>Low</v>
      </c>
      <c r="M1070" s="17" t="str">
        <f t="shared" si="113"/>
        <v>Mar</v>
      </c>
      <c r="N1070" s="18">
        <f>YEAR(Table13[[#This Row],[Order_Date]])</f>
        <v>2023</v>
      </c>
      <c r="O1070" s="18">
        <f>Table13[[#This Row],[Price]]*0.7</f>
        <v>2636.8999999999996</v>
      </c>
      <c r="P1070" s="18">
        <f t="shared" si="114"/>
        <v>1130.1000000000004</v>
      </c>
      <c r="Q1070" s="18">
        <f t="shared" si="115"/>
        <v>0.05</v>
      </c>
      <c r="R1070" s="18">
        <f t="shared" si="116"/>
        <v>3079.58</v>
      </c>
      <c r="S1070" s="18" t="str">
        <f>IF(Table13[[#This Row],[Quantity]]&lt;=3,"Small",IF(Table13[[#This Row],[Quantity]]&lt;=6,"Medium","Bulk"))</f>
        <v>Small</v>
      </c>
      <c r="T1070" s="18" t="str">
        <f t="shared" si="117"/>
        <v>Normal</v>
      </c>
      <c r="U1070" s="18" t="str">
        <f t="shared" si="118"/>
        <v>low Value</v>
      </c>
    </row>
    <row r="1071" spans="1:21" x14ac:dyDescent="0.3">
      <c r="A1071" t="s">
        <v>1079</v>
      </c>
      <c r="B1071" s="1">
        <v>45040</v>
      </c>
      <c r="C1071" t="s">
        <v>1210</v>
      </c>
      <c r="D1071" t="s">
        <v>1217</v>
      </c>
      <c r="E1071" t="s">
        <v>1219</v>
      </c>
      <c r="F1071" t="s">
        <v>1238</v>
      </c>
      <c r="G1071" s="6">
        <v>5</v>
      </c>
      <c r="H1071">
        <v>2924</v>
      </c>
      <c r="I1071">
        <v>14620</v>
      </c>
      <c r="J1071" s="2">
        <v>3049.33</v>
      </c>
      <c r="K1071" s="16">
        <f>Table13[[#This Row],[Profit]]/Table13[[#This Row],[Sales]]</f>
        <v>0.20857250341997263</v>
      </c>
      <c r="L1071" s="17" t="str">
        <f t="shared" si="112"/>
        <v>Medium</v>
      </c>
      <c r="M1071" s="17" t="str">
        <f t="shared" si="113"/>
        <v>Apr</v>
      </c>
      <c r="N1071" s="18">
        <f>YEAR(Table13[[#This Row],[Order_Date]])</f>
        <v>2023</v>
      </c>
      <c r="O1071" s="18">
        <f>Table13[[#This Row],[Price]]*0.7</f>
        <v>2046.8</v>
      </c>
      <c r="P1071" s="18">
        <f t="shared" si="114"/>
        <v>4386</v>
      </c>
      <c r="Q1071" s="18">
        <f t="shared" si="115"/>
        <v>0.05</v>
      </c>
      <c r="R1071" s="18">
        <f t="shared" si="116"/>
        <v>11570.67</v>
      </c>
      <c r="S1071" s="18" t="str">
        <f>IF(Table13[[#This Row],[Quantity]]&lt;=3,"Small",IF(Table13[[#This Row],[Quantity]]&lt;=6,"Medium","Bulk"))</f>
        <v>Medium</v>
      </c>
      <c r="T1071" s="18" t="str">
        <f t="shared" si="117"/>
        <v>Normal</v>
      </c>
      <c r="U1071" s="18" t="str">
        <f t="shared" si="118"/>
        <v>Medium Value</v>
      </c>
    </row>
    <row r="1072" spans="1:21" x14ac:dyDescent="0.3">
      <c r="A1072" t="s">
        <v>1080</v>
      </c>
      <c r="B1072" s="1">
        <v>45140</v>
      </c>
      <c r="C1072" t="s">
        <v>1211</v>
      </c>
      <c r="D1072" t="s">
        <v>1214</v>
      </c>
      <c r="E1072" t="s">
        <v>1221</v>
      </c>
      <c r="F1072" t="s">
        <v>1229</v>
      </c>
      <c r="G1072" s="6">
        <v>4</v>
      </c>
      <c r="H1072">
        <v>4566</v>
      </c>
      <c r="I1072">
        <v>18264</v>
      </c>
      <c r="J1072" s="2">
        <v>3443.12</v>
      </c>
      <c r="K1072" s="16">
        <f>Table13[[#This Row],[Profit]]/Table13[[#This Row],[Sales]]</f>
        <v>0.18851949189662723</v>
      </c>
      <c r="L1072" s="17" t="str">
        <f t="shared" si="112"/>
        <v>Medium</v>
      </c>
      <c r="M1072" s="17" t="str">
        <f t="shared" si="113"/>
        <v>Aug</v>
      </c>
      <c r="N1072" s="18">
        <f>YEAR(Table13[[#This Row],[Order_Date]])</f>
        <v>2023</v>
      </c>
      <c r="O1072" s="18">
        <f>Table13[[#This Row],[Price]]*0.7</f>
        <v>3196.2</v>
      </c>
      <c r="P1072" s="18">
        <f t="shared" si="114"/>
        <v>5479.2000000000007</v>
      </c>
      <c r="Q1072" s="18">
        <f t="shared" si="115"/>
        <v>0.05</v>
      </c>
      <c r="R1072" s="18">
        <f t="shared" si="116"/>
        <v>14820.880000000001</v>
      </c>
      <c r="S1072" s="18" t="str">
        <f>IF(Table13[[#This Row],[Quantity]]&lt;=3,"Small",IF(Table13[[#This Row],[Quantity]]&lt;=6,"Medium","Bulk"))</f>
        <v>Medium</v>
      </c>
      <c r="T1072" s="18" t="str">
        <f t="shared" si="117"/>
        <v>Normal</v>
      </c>
      <c r="U1072" s="18" t="str">
        <f t="shared" si="118"/>
        <v>Medium Value</v>
      </c>
    </row>
    <row r="1073" spans="1:21" x14ac:dyDescent="0.3">
      <c r="A1073" t="s">
        <v>1081</v>
      </c>
      <c r="B1073" s="1">
        <v>45065</v>
      </c>
      <c r="C1073" t="s">
        <v>1212</v>
      </c>
      <c r="D1073" t="s">
        <v>1217</v>
      </c>
      <c r="E1073" t="s">
        <v>1220</v>
      </c>
      <c r="F1073" t="s">
        <v>1237</v>
      </c>
      <c r="G1073" s="6">
        <v>8</v>
      </c>
      <c r="H1073">
        <v>322</v>
      </c>
      <c r="I1073">
        <v>2576</v>
      </c>
      <c r="J1073" s="2">
        <v>530.30999999999995</v>
      </c>
      <c r="K1073" s="16">
        <f>Table13[[#This Row],[Profit]]/Table13[[#This Row],[Sales]]</f>
        <v>0.20586568322981363</v>
      </c>
      <c r="L1073" s="17" t="str">
        <f t="shared" si="112"/>
        <v>Low</v>
      </c>
      <c r="M1073" s="17" t="str">
        <f t="shared" si="113"/>
        <v>May</v>
      </c>
      <c r="N1073" s="18">
        <f>YEAR(Table13[[#This Row],[Order_Date]])</f>
        <v>2023</v>
      </c>
      <c r="O1073" s="18">
        <f>Table13[[#This Row],[Price]]*0.7</f>
        <v>225.39999999999998</v>
      </c>
      <c r="P1073" s="18">
        <f t="shared" si="114"/>
        <v>772.80000000000018</v>
      </c>
      <c r="Q1073" s="18">
        <f t="shared" si="115"/>
        <v>0.1</v>
      </c>
      <c r="R1073" s="18">
        <f t="shared" si="116"/>
        <v>2045.6900000000003</v>
      </c>
      <c r="S1073" s="18" t="str">
        <f>IF(Table13[[#This Row],[Quantity]]&lt;=3,"Small",IF(Table13[[#This Row],[Quantity]]&lt;=6,"Medium","Bulk"))</f>
        <v>Bulk</v>
      </c>
      <c r="T1073" s="18" t="str">
        <f t="shared" si="117"/>
        <v>High Demand</v>
      </c>
      <c r="U1073" s="18" t="str">
        <f t="shared" si="118"/>
        <v>low Value</v>
      </c>
    </row>
    <row r="1074" spans="1:21" x14ac:dyDescent="0.3">
      <c r="A1074" t="s">
        <v>1082</v>
      </c>
      <c r="B1074" s="1">
        <v>45117</v>
      </c>
      <c r="C1074" t="s">
        <v>1213</v>
      </c>
      <c r="D1074" t="s">
        <v>1239</v>
      </c>
      <c r="E1074" t="s">
        <v>1219</v>
      </c>
      <c r="F1074" t="s">
        <v>1233</v>
      </c>
      <c r="G1074" s="6">
        <v>2</v>
      </c>
      <c r="H1074">
        <v>4181</v>
      </c>
      <c r="I1074">
        <v>8362</v>
      </c>
      <c r="J1074" s="2">
        <v>1361.78</v>
      </c>
      <c r="K1074" s="16">
        <f>Table13[[#This Row],[Profit]]/Table13[[#This Row],[Sales]]</f>
        <v>0.16285338435780913</v>
      </c>
      <c r="L1074" s="17" t="str">
        <f t="shared" si="112"/>
        <v>Low</v>
      </c>
      <c r="M1074" s="17" t="str">
        <f t="shared" si="113"/>
        <v>Jul</v>
      </c>
      <c r="N1074" s="18">
        <f>YEAR(Table13[[#This Row],[Order_Date]])</f>
        <v>2023</v>
      </c>
      <c r="O1074" s="18">
        <f>Table13[[#This Row],[Price]]*0.7</f>
        <v>2926.7</v>
      </c>
      <c r="P1074" s="18">
        <f t="shared" si="114"/>
        <v>2508.6000000000004</v>
      </c>
      <c r="Q1074" s="18">
        <f t="shared" si="115"/>
        <v>0.05</v>
      </c>
      <c r="R1074" s="18">
        <f t="shared" si="116"/>
        <v>7000.2199999999993</v>
      </c>
      <c r="S1074" s="18" t="str">
        <f>IF(Table13[[#This Row],[Quantity]]&lt;=3,"Small",IF(Table13[[#This Row],[Quantity]]&lt;=6,"Medium","Bulk"))</f>
        <v>Small</v>
      </c>
      <c r="T1074" s="18" t="str">
        <f t="shared" si="117"/>
        <v>Normal</v>
      </c>
      <c r="U1074" s="18" t="str">
        <f t="shared" si="118"/>
        <v>low Value</v>
      </c>
    </row>
    <row r="1075" spans="1:21" x14ac:dyDescent="0.3">
      <c r="A1075" t="s">
        <v>1083</v>
      </c>
      <c r="B1075" s="1">
        <v>44947</v>
      </c>
      <c r="C1075" t="s">
        <v>1211</v>
      </c>
      <c r="D1075" t="s">
        <v>1214</v>
      </c>
      <c r="E1075" t="s">
        <v>1219</v>
      </c>
      <c r="F1075" t="s">
        <v>1232</v>
      </c>
      <c r="G1075" s="6">
        <v>7</v>
      </c>
      <c r="H1075">
        <v>274</v>
      </c>
      <c r="I1075">
        <v>1918</v>
      </c>
      <c r="J1075" s="2">
        <v>164.03</v>
      </c>
      <c r="K1075" s="16">
        <f>Table13[[#This Row],[Profit]]/Table13[[#This Row],[Sales]]</f>
        <v>8.5521376433785198E-2</v>
      </c>
      <c r="L1075" s="17" t="str">
        <f t="shared" si="112"/>
        <v>Low</v>
      </c>
      <c r="M1075" s="17" t="str">
        <f t="shared" si="113"/>
        <v>Jan</v>
      </c>
      <c r="N1075" s="18">
        <f>YEAR(Table13[[#This Row],[Order_Date]])</f>
        <v>2023</v>
      </c>
      <c r="O1075" s="18">
        <f>Table13[[#This Row],[Price]]*0.7</f>
        <v>191.79999999999998</v>
      </c>
      <c r="P1075" s="18">
        <f t="shared" si="114"/>
        <v>575.40000000000009</v>
      </c>
      <c r="Q1075" s="18">
        <f t="shared" si="115"/>
        <v>0.1</v>
      </c>
      <c r="R1075" s="18">
        <f t="shared" si="116"/>
        <v>1753.97</v>
      </c>
      <c r="S1075" s="18" t="str">
        <f>IF(Table13[[#This Row],[Quantity]]&lt;=3,"Small",IF(Table13[[#This Row],[Quantity]]&lt;=6,"Medium","Bulk"))</f>
        <v>Bulk</v>
      </c>
      <c r="T1075" s="18" t="str">
        <f t="shared" si="117"/>
        <v>Normal</v>
      </c>
      <c r="U1075" s="18" t="str">
        <f t="shared" si="118"/>
        <v>low Value</v>
      </c>
    </row>
    <row r="1076" spans="1:21" x14ac:dyDescent="0.3">
      <c r="A1076" t="s">
        <v>1084</v>
      </c>
      <c r="B1076" s="1">
        <v>45232</v>
      </c>
      <c r="C1076" t="s">
        <v>1210</v>
      </c>
      <c r="D1076" t="s">
        <v>1215</v>
      </c>
      <c r="E1076" t="s">
        <v>1219</v>
      </c>
      <c r="F1076" t="s">
        <v>1238</v>
      </c>
      <c r="G1076" s="6">
        <v>6</v>
      </c>
      <c r="H1076">
        <v>3971</v>
      </c>
      <c r="I1076">
        <v>23826</v>
      </c>
      <c r="J1076" s="2">
        <v>5645.32</v>
      </c>
      <c r="K1076" s="16">
        <f>Table13[[#This Row],[Profit]]/Table13[[#This Row],[Sales]]</f>
        <v>0.23693947788130612</v>
      </c>
      <c r="L1076" s="17" t="str">
        <f t="shared" si="112"/>
        <v>High</v>
      </c>
      <c r="M1076" s="17" t="str">
        <f t="shared" si="113"/>
        <v>Nov</v>
      </c>
      <c r="N1076" s="18">
        <f>YEAR(Table13[[#This Row],[Order_Date]])</f>
        <v>2023</v>
      </c>
      <c r="O1076" s="18">
        <f>Table13[[#This Row],[Price]]*0.7</f>
        <v>2779.7</v>
      </c>
      <c r="P1076" s="18">
        <f t="shared" si="114"/>
        <v>7147.8000000000029</v>
      </c>
      <c r="Q1076" s="18">
        <f t="shared" si="115"/>
        <v>0.1</v>
      </c>
      <c r="R1076" s="18">
        <f t="shared" si="116"/>
        <v>18180.68</v>
      </c>
      <c r="S1076" s="18" t="str">
        <f>IF(Table13[[#This Row],[Quantity]]&lt;=3,"Small",IF(Table13[[#This Row],[Quantity]]&lt;=6,"Medium","Bulk"))</f>
        <v>Medium</v>
      </c>
      <c r="T1076" s="18" t="str">
        <f t="shared" si="117"/>
        <v>Normal</v>
      </c>
      <c r="U1076" s="18" t="str">
        <f t="shared" si="118"/>
        <v>High Value</v>
      </c>
    </row>
    <row r="1077" spans="1:21" x14ac:dyDescent="0.3">
      <c r="A1077" t="s">
        <v>1085</v>
      </c>
      <c r="B1077" s="1">
        <v>45027</v>
      </c>
      <c r="C1077" t="s">
        <v>1212</v>
      </c>
      <c r="D1077" t="s">
        <v>1217</v>
      </c>
      <c r="E1077" t="s">
        <v>1222</v>
      </c>
      <c r="F1077" t="s">
        <v>1236</v>
      </c>
      <c r="G1077" s="6">
        <v>8</v>
      </c>
      <c r="H1077">
        <v>720</v>
      </c>
      <c r="I1077">
        <v>5760</v>
      </c>
      <c r="J1077" s="2">
        <v>661.26</v>
      </c>
      <c r="K1077" s="16">
        <f>Table13[[#This Row],[Profit]]/Table13[[#This Row],[Sales]]</f>
        <v>0.11480208333333333</v>
      </c>
      <c r="L1077" s="17" t="str">
        <f t="shared" si="112"/>
        <v>Low</v>
      </c>
      <c r="M1077" s="17" t="str">
        <f t="shared" si="113"/>
        <v>Apr</v>
      </c>
      <c r="N1077" s="18">
        <f>YEAR(Table13[[#This Row],[Order_Date]])</f>
        <v>2023</v>
      </c>
      <c r="O1077" s="18">
        <f>Table13[[#This Row],[Price]]*0.7</f>
        <v>503.99999999999994</v>
      </c>
      <c r="P1077" s="18">
        <f t="shared" si="114"/>
        <v>1728.0000000000005</v>
      </c>
      <c r="Q1077" s="18">
        <f t="shared" si="115"/>
        <v>0.1</v>
      </c>
      <c r="R1077" s="18">
        <f t="shared" si="116"/>
        <v>5098.74</v>
      </c>
      <c r="S1077" s="18" t="str">
        <f>IF(Table13[[#This Row],[Quantity]]&lt;=3,"Small",IF(Table13[[#This Row],[Quantity]]&lt;=6,"Medium","Bulk"))</f>
        <v>Bulk</v>
      </c>
      <c r="T1077" s="18" t="str">
        <f t="shared" si="117"/>
        <v>High Demand</v>
      </c>
      <c r="U1077" s="18" t="str">
        <f t="shared" si="118"/>
        <v>low Value</v>
      </c>
    </row>
    <row r="1078" spans="1:21" x14ac:dyDescent="0.3">
      <c r="A1078" t="s">
        <v>1086</v>
      </c>
      <c r="B1078" s="1">
        <v>45263</v>
      </c>
      <c r="C1078" t="s">
        <v>1210</v>
      </c>
      <c r="D1078" t="s">
        <v>1217</v>
      </c>
      <c r="E1078" t="s">
        <v>1220</v>
      </c>
      <c r="F1078" t="s">
        <v>1228</v>
      </c>
      <c r="G1078" s="6">
        <v>8</v>
      </c>
      <c r="H1078">
        <v>442</v>
      </c>
      <c r="I1078">
        <v>3536</v>
      </c>
      <c r="J1078" s="2">
        <v>450.8</v>
      </c>
      <c r="K1078" s="16">
        <f>Table13[[#This Row],[Profit]]/Table13[[#This Row],[Sales]]</f>
        <v>0.12748868778280542</v>
      </c>
      <c r="L1078" s="17" t="str">
        <f t="shared" si="112"/>
        <v>Low</v>
      </c>
      <c r="M1078" s="17" t="str">
        <f t="shared" si="113"/>
        <v>Dec</v>
      </c>
      <c r="N1078" s="18">
        <f>YEAR(Table13[[#This Row],[Order_Date]])</f>
        <v>2023</v>
      </c>
      <c r="O1078" s="18">
        <f>Table13[[#This Row],[Price]]*0.7</f>
        <v>309.39999999999998</v>
      </c>
      <c r="P1078" s="18">
        <f t="shared" si="114"/>
        <v>1060.8000000000002</v>
      </c>
      <c r="Q1078" s="18">
        <f t="shared" si="115"/>
        <v>0.1</v>
      </c>
      <c r="R1078" s="18">
        <f t="shared" si="116"/>
        <v>3085.2</v>
      </c>
      <c r="S1078" s="18" t="str">
        <f>IF(Table13[[#This Row],[Quantity]]&lt;=3,"Small",IF(Table13[[#This Row],[Quantity]]&lt;=6,"Medium","Bulk"))</f>
        <v>Bulk</v>
      </c>
      <c r="T1078" s="18" t="str">
        <f t="shared" si="117"/>
        <v>Normal</v>
      </c>
      <c r="U1078" s="18" t="str">
        <f t="shared" si="118"/>
        <v>low Value</v>
      </c>
    </row>
    <row r="1079" spans="1:21" x14ac:dyDescent="0.3">
      <c r="A1079" t="s">
        <v>1087</v>
      </c>
      <c r="B1079" s="1">
        <v>45163</v>
      </c>
      <c r="C1079" t="s">
        <v>1211</v>
      </c>
      <c r="D1079" t="s">
        <v>1217</v>
      </c>
      <c r="E1079" t="s">
        <v>1220</v>
      </c>
      <c r="F1079" t="s">
        <v>1225</v>
      </c>
      <c r="G1079" s="6">
        <v>3</v>
      </c>
      <c r="H1079">
        <v>4691</v>
      </c>
      <c r="I1079">
        <v>14073</v>
      </c>
      <c r="J1079" s="2">
        <v>1534.5</v>
      </c>
      <c r="K1079" s="16">
        <f>Table13[[#This Row],[Profit]]/Table13[[#This Row],[Sales]]</f>
        <v>0.10903858452355575</v>
      </c>
      <c r="L1079" s="17" t="str">
        <f t="shared" si="112"/>
        <v>Medium</v>
      </c>
      <c r="M1079" s="17" t="str">
        <f t="shared" si="113"/>
        <v>Aug</v>
      </c>
      <c r="N1079" s="18">
        <f>YEAR(Table13[[#This Row],[Order_Date]])</f>
        <v>2023</v>
      </c>
      <c r="O1079" s="18">
        <f>Table13[[#This Row],[Price]]*0.7</f>
        <v>3283.7</v>
      </c>
      <c r="P1079" s="18">
        <f t="shared" si="114"/>
        <v>4221.9000000000015</v>
      </c>
      <c r="Q1079" s="18">
        <f t="shared" si="115"/>
        <v>0.05</v>
      </c>
      <c r="R1079" s="18">
        <f t="shared" si="116"/>
        <v>12538.5</v>
      </c>
      <c r="S1079" s="18" t="str">
        <f>IF(Table13[[#This Row],[Quantity]]&lt;=3,"Small",IF(Table13[[#This Row],[Quantity]]&lt;=6,"Medium","Bulk"))</f>
        <v>Small</v>
      </c>
      <c r="T1079" s="18" t="str">
        <f t="shared" si="117"/>
        <v>Normal</v>
      </c>
      <c r="U1079" s="18" t="str">
        <f t="shared" si="118"/>
        <v>Medium Value</v>
      </c>
    </row>
    <row r="1080" spans="1:21" x14ac:dyDescent="0.3">
      <c r="A1080" t="s">
        <v>1088</v>
      </c>
      <c r="B1080" s="1">
        <v>45068</v>
      </c>
      <c r="C1080" t="s">
        <v>1213</v>
      </c>
      <c r="D1080" t="s">
        <v>1218</v>
      </c>
      <c r="E1080" t="s">
        <v>1219</v>
      </c>
      <c r="F1080" t="s">
        <v>1238</v>
      </c>
      <c r="G1080" s="6">
        <v>1</v>
      </c>
      <c r="H1080">
        <v>2894</v>
      </c>
      <c r="I1080">
        <v>2894</v>
      </c>
      <c r="J1080" s="2">
        <v>285.70999999999998</v>
      </c>
      <c r="K1080" s="16">
        <f>Table13[[#This Row],[Profit]]/Table13[[#This Row],[Sales]]</f>
        <v>9.8724948168624732E-2</v>
      </c>
      <c r="L1080" s="17" t="str">
        <f t="shared" si="112"/>
        <v>Low</v>
      </c>
      <c r="M1080" s="17" t="str">
        <f t="shared" si="113"/>
        <v>May</v>
      </c>
      <c r="N1080" s="18">
        <f>YEAR(Table13[[#This Row],[Order_Date]])</f>
        <v>2023</v>
      </c>
      <c r="O1080" s="18">
        <f>Table13[[#This Row],[Price]]*0.7</f>
        <v>2025.8</v>
      </c>
      <c r="P1080" s="18">
        <f t="shared" si="114"/>
        <v>868.2</v>
      </c>
      <c r="Q1080" s="18">
        <f t="shared" si="115"/>
        <v>0.05</v>
      </c>
      <c r="R1080" s="18">
        <f t="shared" si="116"/>
        <v>2608.29</v>
      </c>
      <c r="S1080" s="18" t="str">
        <f>IF(Table13[[#This Row],[Quantity]]&lt;=3,"Small",IF(Table13[[#This Row],[Quantity]]&lt;=6,"Medium","Bulk"))</f>
        <v>Small</v>
      </c>
      <c r="T1080" s="18" t="str">
        <f t="shared" si="117"/>
        <v>Normal</v>
      </c>
      <c r="U1080" s="18" t="str">
        <f t="shared" si="118"/>
        <v>low Value</v>
      </c>
    </row>
    <row r="1081" spans="1:21" x14ac:dyDescent="0.3">
      <c r="A1081" t="s">
        <v>1089</v>
      </c>
      <c r="B1081" s="1">
        <v>45270</v>
      </c>
      <c r="C1081" t="s">
        <v>1212</v>
      </c>
      <c r="D1081" t="s">
        <v>1217</v>
      </c>
      <c r="E1081" t="s">
        <v>1221</v>
      </c>
      <c r="F1081" t="s">
        <v>1229</v>
      </c>
      <c r="G1081" s="6">
        <v>6</v>
      </c>
      <c r="H1081">
        <v>3533</v>
      </c>
      <c r="I1081">
        <v>21198</v>
      </c>
      <c r="J1081" s="2">
        <v>2621.37</v>
      </c>
      <c r="K1081" s="16">
        <f>Table13[[#This Row],[Profit]]/Table13[[#This Row],[Sales]]</f>
        <v>0.12366119445230682</v>
      </c>
      <c r="L1081" s="17" t="str">
        <f t="shared" si="112"/>
        <v>High</v>
      </c>
      <c r="M1081" s="17" t="str">
        <f t="shared" si="113"/>
        <v>Dec</v>
      </c>
      <c r="N1081" s="18">
        <f>YEAR(Table13[[#This Row],[Order_Date]])</f>
        <v>2023</v>
      </c>
      <c r="O1081" s="18">
        <f>Table13[[#This Row],[Price]]*0.7</f>
        <v>2473.1</v>
      </c>
      <c r="P1081" s="18">
        <f t="shared" si="114"/>
        <v>6359.4000000000015</v>
      </c>
      <c r="Q1081" s="18">
        <f t="shared" si="115"/>
        <v>0.1</v>
      </c>
      <c r="R1081" s="18">
        <f t="shared" si="116"/>
        <v>18576.63</v>
      </c>
      <c r="S1081" s="18" t="str">
        <f>IF(Table13[[#This Row],[Quantity]]&lt;=3,"Small",IF(Table13[[#This Row],[Quantity]]&lt;=6,"Medium","Bulk"))</f>
        <v>Medium</v>
      </c>
      <c r="T1081" s="18" t="str">
        <f t="shared" si="117"/>
        <v>High Demand</v>
      </c>
      <c r="U1081" s="18" t="str">
        <f t="shared" si="118"/>
        <v>High Value</v>
      </c>
    </row>
    <row r="1082" spans="1:21" x14ac:dyDescent="0.3">
      <c r="A1082" t="s">
        <v>1090</v>
      </c>
      <c r="B1082" s="1">
        <v>45200</v>
      </c>
      <c r="C1082" t="s">
        <v>1213</v>
      </c>
      <c r="D1082" t="s">
        <v>1216</v>
      </c>
      <c r="E1082" t="s">
        <v>1221</v>
      </c>
      <c r="F1082" t="s">
        <v>1235</v>
      </c>
      <c r="G1082" s="6">
        <v>6</v>
      </c>
      <c r="H1082">
        <v>957</v>
      </c>
      <c r="I1082">
        <v>5742</v>
      </c>
      <c r="J1082" s="2">
        <v>597.23</v>
      </c>
      <c r="K1082" s="16">
        <f>Table13[[#This Row],[Profit]]/Table13[[#This Row],[Sales]]</f>
        <v>0.1040107976314873</v>
      </c>
      <c r="L1082" s="17" t="str">
        <f t="shared" si="112"/>
        <v>Low</v>
      </c>
      <c r="M1082" s="17" t="str">
        <f t="shared" si="113"/>
        <v>Oct</v>
      </c>
      <c r="N1082" s="18">
        <f>YEAR(Table13[[#This Row],[Order_Date]])</f>
        <v>2023</v>
      </c>
      <c r="O1082" s="18">
        <f>Table13[[#This Row],[Price]]*0.7</f>
        <v>669.9</v>
      </c>
      <c r="P1082" s="18">
        <f t="shared" si="114"/>
        <v>1722.6000000000004</v>
      </c>
      <c r="Q1082" s="18">
        <f t="shared" si="115"/>
        <v>0.1</v>
      </c>
      <c r="R1082" s="18">
        <f t="shared" si="116"/>
        <v>5144.7700000000004</v>
      </c>
      <c r="S1082" s="18" t="str">
        <f>IF(Table13[[#This Row],[Quantity]]&lt;=3,"Small",IF(Table13[[#This Row],[Quantity]]&lt;=6,"Medium","Bulk"))</f>
        <v>Medium</v>
      </c>
      <c r="T1082" s="18" t="str">
        <f t="shared" si="117"/>
        <v>Normal</v>
      </c>
      <c r="U1082" s="18" t="str">
        <f t="shared" si="118"/>
        <v>low Value</v>
      </c>
    </row>
    <row r="1083" spans="1:21" x14ac:dyDescent="0.3">
      <c r="A1083" t="s">
        <v>1091</v>
      </c>
      <c r="B1083" s="1">
        <v>45088</v>
      </c>
      <c r="C1083" t="s">
        <v>1210</v>
      </c>
      <c r="D1083" t="s">
        <v>1217</v>
      </c>
      <c r="E1083" t="s">
        <v>1222</v>
      </c>
      <c r="F1083" t="s">
        <v>1227</v>
      </c>
      <c r="G1083" s="6">
        <v>8</v>
      </c>
      <c r="H1083">
        <v>2627</v>
      </c>
      <c r="I1083">
        <v>21016</v>
      </c>
      <c r="J1083" s="2">
        <v>1685.81</v>
      </c>
      <c r="K1083" s="16">
        <f>Table13[[#This Row],[Profit]]/Table13[[#This Row],[Sales]]</f>
        <v>8.021555005709935E-2</v>
      </c>
      <c r="L1083" s="17" t="str">
        <f t="shared" si="112"/>
        <v>High</v>
      </c>
      <c r="M1083" s="17" t="str">
        <f t="shared" si="113"/>
        <v>Jun</v>
      </c>
      <c r="N1083" s="18">
        <f>YEAR(Table13[[#This Row],[Order_Date]])</f>
        <v>2023</v>
      </c>
      <c r="O1083" s="18">
        <f>Table13[[#This Row],[Price]]*0.7</f>
        <v>1838.8999999999999</v>
      </c>
      <c r="P1083" s="18">
        <f t="shared" si="114"/>
        <v>6304.8000000000011</v>
      </c>
      <c r="Q1083" s="18">
        <f t="shared" si="115"/>
        <v>0.1</v>
      </c>
      <c r="R1083" s="18">
        <f t="shared" si="116"/>
        <v>19330.189999999999</v>
      </c>
      <c r="S1083" s="18" t="str">
        <f>IF(Table13[[#This Row],[Quantity]]&lt;=3,"Small",IF(Table13[[#This Row],[Quantity]]&lt;=6,"Medium","Bulk"))</f>
        <v>Bulk</v>
      </c>
      <c r="T1083" s="18" t="str">
        <f t="shared" si="117"/>
        <v>Normal</v>
      </c>
      <c r="U1083" s="18" t="str">
        <f t="shared" si="118"/>
        <v>High Value</v>
      </c>
    </row>
    <row r="1084" spans="1:21" x14ac:dyDescent="0.3">
      <c r="A1084" t="s">
        <v>1092</v>
      </c>
      <c r="B1084" s="1">
        <v>45062</v>
      </c>
      <c r="C1084" t="s">
        <v>1211</v>
      </c>
      <c r="D1084" t="s">
        <v>1215</v>
      </c>
      <c r="E1084" t="s">
        <v>1219</v>
      </c>
      <c r="F1084" t="s">
        <v>1223</v>
      </c>
      <c r="G1084" s="6">
        <v>2</v>
      </c>
      <c r="H1084">
        <v>2713</v>
      </c>
      <c r="I1084">
        <v>5426</v>
      </c>
      <c r="J1084" s="2">
        <v>1161.82</v>
      </c>
      <c r="K1084" s="16">
        <f>Table13[[#This Row],[Profit]]/Table13[[#This Row],[Sales]]</f>
        <v>0.21412089937338738</v>
      </c>
      <c r="L1084" s="17" t="str">
        <f t="shared" si="112"/>
        <v>Low</v>
      </c>
      <c r="M1084" s="17" t="str">
        <f t="shared" si="113"/>
        <v>May</v>
      </c>
      <c r="N1084" s="18">
        <f>YEAR(Table13[[#This Row],[Order_Date]])</f>
        <v>2023</v>
      </c>
      <c r="O1084" s="18">
        <f>Table13[[#This Row],[Price]]*0.7</f>
        <v>1899.1</v>
      </c>
      <c r="P1084" s="18">
        <f t="shared" si="114"/>
        <v>1627.8000000000002</v>
      </c>
      <c r="Q1084" s="18">
        <f t="shared" si="115"/>
        <v>0.05</v>
      </c>
      <c r="R1084" s="18">
        <f t="shared" si="116"/>
        <v>4264.18</v>
      </c>
      <c r="S1084" s="18" t="str">
        <f>IF(Table13[[#This Row],[Quantity]]&lt;=3,"Small",IF(Table13[[#This Row],[Quantity]]&lt;=6,"Medium","Bulk"))</f>
        <v>Small</v>
      </c>
      <c r="T1084" s="18" t="str">
        <f t="shared" si="117"/>
        <v>Normal</v>
      </c>
      <c r="U1084" s="18" t="str">
        <f t="shared" si="118"/>
        <v>low Value</v>
      </c>
    </row>
    <row r="1085" spans="1:21" x14ac:dyDescent="0.3">
      <c r="A1085" t="s">
        <v>1093</v>
      </c>
      <c r="B1085" s="1">
        <v>45212</v>
      </c>
      <c r="C1085" t="s">
        <v>1213</v>
      </c>
      <c r="D1085" t="s">
        <v>1217</v>
      </c>
      <c r="E1085" t="s">
        <v>1222</v>
      </c>
      <c r="F1085" t="s">
        <v>1236</v>
      </c>
      <c r="G1085" s="6">
        <v>4</v>
      </c>
      <c r="H1085">
        <v>1192</v>
      </c>
      <c r="I1085">
        <v>4768</v>
      </c>
      <c r="J1085" s="2">
        <v>1032.46</v>
      </c>
      <c r="K1085" s="16">
        <f>Table13[[#This Row],[Profit]]/Table13[[#This Row],[Sales]]</f>
        <v>0.21653942953020136</v>
      </c>
      <c r="L1085" s="17" t="str">
        <f t="shared" si="112"/>
        <v>Low</v>
      </c>
      <c r="M1085" s="17" t="str">
        <f t="shared" si="113"/>
        <v>Oct</v>
      </c>
      <c r="N1085" s="18">
        <f>YEAR(Table13[[#This Row],[Order_Date]])</f>
        <v>2023</v>
      </c>
      <c r="O1085" s="18">
        <f>Table13[[#This Row],[Price]]*0.7</f>
        <v>834.4</v>
      </c>
      <c r="P1085" s="18">
        <f t="shared" si="114"/>
        <v>1430.4</v>
      </c>
      <c r="Q1085" s="18">
        <f t="shared" si="115"/>
        <v>0.05</v>
      </c>
      <c r="R1085" s="18">
        <f t="shared" si="116"/>
        <v>3735.54</v>
      </c>
      <c r="S1085" s="18" t="str">
        <f>IF(Table13[[#This Row],[Quantity]]&lt;=3,"Small",IF(Table13[[#This Row],[Quantity]]&lt;=6,"Medium","Bulk"))</f>
        <v>Medium</v>
      </c>
      <c r="T1085" s="18" t="str">
        <f t="shared" si="117"/>
        <v>Normal</v>
      </c>
      <c r="U1085" s="18" t="str">
        <f t="shared" si="118"/>
        <v>low Value</v>
      </c>
    </row>
    <row r="1086" spans="1:21" x14ac:dyDescent="0.3">
      <c r="A1086" t="s">
        <v>1094</v>
      </c>
      <c r="B1086" s="1">
        <v>45018</v>
      </c>
      <c r="C1086" t="s">
        <v>1210</v>
      </c>
      <c r="D1086" t="s">
        <v>1216</v>
      </c>
      <c r="E1086" t="s">
        <v>1222</v>
      </c>
      <c r="F1086" t="s">
        <v>1234</v>
      </c>
      <c r="G1086" s="6">
        <v>2</v>
      </c>
      <c r="H1086">
        <v>3278</v>
      </c>
      <c r="I1086">
        <v>6556</v>
      </c>
      <c r="J1086" s="2">
        <v>1312.7</v>
      </c>
      <c r="K1086" s="16">
        <f>Table13[[#This Row],[Profit]]/Table13[[#This Row],[Sales]]</f>
        <v>0.20022879804759</v>
      </c>
      <c r="L1086" s="17" t="str">
        <f t="shared" si="112"/>
        <v>Low</v>
      </c>
      <c r="M1086" s="17" t="str">
        <f t="shared" si="113"/>
        <v>Apr</v>
      </c>
      <c r="N1086" s="18">
        <f>YEAR(Table13[[#This Row],[Order_Date]])</f>
        <v>2023</v>
      </c>
      <c r="O1086" s="18">
        <f>Table13[[#This Row],[Price]]*0.7</f>
        <v>2294.6</v>
      </c>
      <c r="P1086" s="18">
        <f t="shared" si="114"/>
        <v>1966.8000000000002</v>
      </c>
      <c r="Q1086" s="18">
        <f t="shared" si="115"/>
        <v>0.05</v>
      </c>
      <c r="R1086" s="18">
        <f t="shared" si="116"/>
        <v>5243.3</v>
      </c>
      <c r="S1086" s="18" t="str">
        <f>IF(Table13[[#This Row],[Quantity]]&lt;=3,"Small",IF(Table13[[#This Row],[Quantity]]&lt;=6,"Medium","Bulk"))</f>
        <v>Small</v>
      </c>
      <c r="T1086" s="18" t="str">
        <f t="shared" si="117"/>
        <v>Normal</v>
      </c>
      <c r="U1086" s="18" t="str">
        <f t="shared" si="118"/>
        <v>low Value</v>
      </c>
    </row>
    <row r="1087" spans="1:21" x14ac:dyDescent="0.3">
      <c r="A1087" t="s">
        <v>1095</v>
      </c>
      <c r="B1087" s="1">
        <v>45290</v>
      </c>
      <c r="C1087" t="s">
        <v>1213</v>
      </c>
      <c r="D1087" t="s">
        <v>1218</v>
      </c>
      <c r="E1087" t="s">
        <v>1219</v>
      </c>
      <c r="F1087" t="s">
        <v>1233</v>
      </c>
      <c r="G1087" s="6">
        <v>5</v>
      </c>
      <c r="H1087">
        <v>4781</v>
      </c>
      <c r="I1087">
        <v>23905</v>
      </c>
      <c r="J1087" s="2">
        <v>5919.09</v>
      </c>
      <c r="K1087" s="16">
        <f>Table13[[#This Row],[Profit]]/Table13[[#This Row],[Sales]]</f>
        <v>0.24760886843756538</v>
      </c>
      <c r="L1087" s="17" t="str">
        <f t="shared" si="112"/>
        <v>High</v>
      </c>
      <c r="M1087" s="17" t="str">
        <f t="shared" si="113"/>
        <v>Dec</v>
      </c>
      <c r="N1087" s="18">
        <f>YEAR(Table13[[#This Row],[Order_Date]])</f>
        <v>2023</v>
      </c>
      <c r="O1087" s="18">
        <f>Table13[[#This Row],[Price]]*0.7</f>
        <v>3346.7</v>
      </c>
      <c r="P1087" s="18">
        <f t="shared" si="114"/>
        <v>7171.5</v>
      </c>
      <c r="Q1087" s="18">
        <f t="shared" si="115"/>
        <v>0.05</v>
      </c>
      <c r="R1087" s="18">
        <f t="shared" si="116"/>
        <v>17985.91</v>
      </c>
      <c r="S1087" s="18" t="str">
        <f>IF(Table13[[#This Row],[Quantity]]&lt;=3,"Small",IF(Table13[[#This Row],[Quantity]]&lt;=6,"Medium","Bulk"))</f>
        <v>Medium</v>
      </c>
      <c r="T1087" s="18" t="str">
        <f t="shared" si="117"/>
        <v>Normal</v>
      </c>
      <c r="U1087" s="18" t="str">
        <f t="shared" si="118"/>
        <v>High Value</v>
      </c>
    </row>
    <row r="1088" spans="1:21" x14ac:dyDescent="0.3">
      <c r="A1088" t="s">
        <v>1096</v>
      </c>
      <c r="B1088" s="1">
        <v>45176</v>
      </c>
      <c r="C1088" t="s">
        <v>1213</v>
      </c>
      <c r="D1088" t="s">
        <v>1214</v>
      </c>
      <c r="E1088" t="s">
        <v>1219</v>
      </c>
      <c r="F1088" t="s">
        <v>1233</v>
      </c>
      <c r="G1088" s="6">
        <v>5</v>
      </c>
      <c r="H1088">
        <v>4006</v>
      </c>
      <c r="I1088">
        <v>20030</v>
      </c>
      <c r="J1088" s="2">
        <v>2909.18</v>
      </c>
      <c r="K1088" s="16">
        <f>Table13[[#This Row],[Profit]]/Table13[[#This Row],[Sales]]</f>
        <v>0.14524113829256116</v>
      </c>
      <c r="L1088" s="17" t="str">
        <f t="shared" si="112"/>
        <v>High</v>
      </c>
      <c r="M1088" s="17" t="str">
        <f t="shared" si="113"/>
        <v>Sep</v>
      </c>
      <c r="N1088" s="18">
        <f>YEAR(Table13[[#This Row],[Order_Date]])</f>
        <v>2023</v>
      </c>
      <c r="O1088" s="18">
        <f>Table13[[#This Row],[Price]]*0.7</f>
        <v>2804.2</v>
      </c>
      <c r="P1088" s="18">
        <f t="shared" si="114"/>
        <v>6009</v>
      </c>
      <c r="Q1088" s="18">
        <f t="shared" si="115"/>
        <v>0.05</v>
      </c>
      <c r="R1088" s="18">
        <f t="shared" si="116"/>
        <v>17120.82</v>
      </c>
      <c r="S1088" s="18" t="str">
        <f>IF(Table13[[#This Row],[Quantity]]&lt;=3,"Small",IF(Table13[[#This Row],[Quantity]]&lt;=6,"Medium","Bulk"))</f>
        <v>Medium</v>
      </c>
      <c r="T1088" s="18" t="str">
        <f t="shared" si="117"/>
        <v>Normal</v>
      </c>
      <c r="U1088" s="18" t="str">
        <f t="shared" si="118"/>
        <v>High Value</v>
      </c>
    </row>
    <row r="1089" spans="1:21" x14ac:dyDescent="0.3">
      <c r="A1089" t="s">
        <v>1097</v>
      </c>
      <c r="B1089" s="1">
        <v>45115</v>
      </c>
      <c r="C1089" t="s">
        <v>1210</v>
      </c>
      <c r="D1089" t="s">
        <v>1217</v>
      </c>
      <c r="E1089" t="s">
        <v>1221</v>
      </c>
      <c r="F1089" t="s">
        <v>1226</v>
      </c>
      <c r="G1089" s="6">
        <v>8</v>
      </c>
      <c r="H1089">
        <v>1034</v>
      </c>
      <c r="I1089">
        <v>8272</v>
      </c>
      <c r="J1089" s="2">
        <v>1211.17</v>
      </c>
      <c r="K1089" s="16">
        <f>Table13[[#This Row],[Profit]]/Table13[[#This Row],[Sales]]</f>
        <v>0.14641803675048357</v>
      </c>
      <c r="L1089" s="17" t="str">
        <f t="shared" si="112"/>
        <v>Low</v>
      </c>
      <c r="M1089" s="17" t="str">
        <f t="shared" si="113"/>
        <v>Jul</v>
      </c>
      <c r="N1089" s="18">
        <f>YEAR(Table13[[#This Row],[Order_Date]])</f>
        <v>2023</v>
      </c>
      <c r="O1089" s="18">
        <f>Table13[[#This Row],[Price]]*0.7</f>
        <v>723.8</v>
      </c>
      <c r="P1089" s="18">
        <f t="shared" si="114"/>
        <v>2481.6000000000004</v>
      </c>
      <c r="Q1089" s="18">
        <f t="shared" si="115"/>
        <v>0.1</v>
      </c>
      <c r="R1089" s="18">
        <f t="shared" si="116"/>
        <v>7060.83</v>
      </c>
      <c r="S1089" s="18" t="str">
        <f>IF(Table13[[#This Row],[Quantity]]&lt;=3,"Small",IF(Table13[[#This Row],[Quantity]]&lt;=6,"Medium","Bulk"))</f>
        <v>Bulk</v>
      </c>
      <c r="T1089" s="18" t="str">
        <f t="shared" si="117"/>
        <v>Normal</v>
      </c>
      <c r="U1089" s="18" t="str">
        <f t="shared" si="118"/>
        <v>low Value</v>
      </c>
    </row>
    <row r="1090" spans="1:21" x14ac:dyDescent="0.3">
      <c r="A1090" t="s">
        <v>1098</v>
      </c>
      <c r="B1090" s="1">
        <v>45230</v>
      </c>
      <c r="C1090" t="s">
        <v>1212</v>
      </c>
      <c r="D1090" t="s">
        <v>1217</v>
      </c>
      <c r="E1090" t="s">
        <v>1220</v>
      </c>
      <c r="F1090" t="s">
        <v>1237</v>
      </c>
      <c r="G1090" s="6">
        <v>9</v>
      </c>
      <c r="H1090">
        <v>1338</v>
      </c>
      <c r="I1090">
        <v>12042</v>
      </c>
      <c r="J1090" s="2">
        <v>2205.39</v>
      </c>
      <c r="K1090" s="16">
        <f>Table13[[#This Row],[Profit]]/Table13[[#This Row],[Sales]]</f>
        <v>0.18314150473343296</v>
      </c>
      <c r="L1090" s="17" t="str">
        <f t="shared" ref="L1090:L1153" si="119">IF(I1090&gt;20000,"High",IF(I1090&gt;10000,"Medium","Low"))</f>
        <v>Medium</v>
      </c>
      <c r="M1090" s="17" t="str">
        <f t="shared" ref="M1090:M1153" si="120">TEXT(B1090,"mmm")</f>
        <v>Oct</v>
      </c>
      <c r="N1090" s="18">
        <f>YEAR(Table13[[#This Row],[Order_Date]])</f>
        <v>2023</v>
      </c>
      <c r="O1090" s="18">
        <f>Table13[[#This Row],[Price]]*0.7</f>
        <v>936.59999999999991</v>
      </c>
      <c r="P1090" s="18">
        <f t="shared" ref="P1090:P1153" si="121">I1090 - (G1090 *O1090)</f>
        <v>3612.6000000000004</v>
      </c>
      <c r="Q1090" s="18">
        <f t="shared" ref="Q1090:Q1153" si="122">IF(G1090&gt;5,0.1,0.05)</f>
        <v>0.1</v>
      </c>
      <c r="R1090" s="18">
        <f t="shared" ref="R1090:R1153" si="123">I1090*(1-K1090)</f>
        <v>9836.61</v>
      </c>
      <c r="S1090" s="18" t="str">
        <f>IF(Table13[[#This Row],[Quantity]]&lt;=3,"Small",IF(Table13[[#This Row],[Quantity]]&lt;=6,"Medium","Bulk"))</f>
        <v>Bulk</v>
      </c>
      <c r="T1090" s="18" t="str">
        <f t="shared" ref="T1090:T1153" si="124">IF(C1090="North","High Demand","Normal")</f>
        <v>High Demand</v>
      </c>
      <c r="U1090" s="18" t="str">
        <f t="shared" ref="U1090:U1153" si="125">IF(I1090&gt;20000,"High Value",IF(I1090&gt;10000,"Medium Value","low Value"))</f>
        <v>Medium Value</v>
      </c>
    </row>
    <row r="1091" spans="1:21" x14ac:dyDescent="0.3">
      <c r="A1091" t="s">
        <v>1099</v>
      </c>
      <c r="B1091" s="1">
        <v>45262</v>
      </c>
      <c r="C1091" t="s">
        <v>1210</v>
      </c>
      <c r="D1091" t="s">
        <v>1239</v>
      </c>
      <c r="E1091" t="s">
        <v>1222</v>
      </c>
      <c r="F1091" t="s">
        <v>1236</v>
      </c>
      <c r="G1091" s="6">
        <v>9</v>
      </c>
      <c r="H1091">
        <v>3310</v>
      </c>
      <c r="I1091">
        <v>29790</v>
      </c>
      <c r="J1091" s="2">
        <v>3264.27</v>
      </c>
      <c r="K1091" s="16">
        <f>Table13[[#This Row],[Profit]]/Table13[[#This Row],[Sales]]</f>
        <v>0.10957603222557906</v>
      </c>
      <c r="L1091" s="17" t="str">
        <f t="shared" si="119"/>
        <v>High</v>
      </c>
      <c r="M1091" s="17" t="str">
        <f t="shared" si="120"/>
        <v>Dec</v>
      </c>
      <c r="N1091" s="18">
        <f>YEAR(Table13[[#This Row],[Order_Date]])</f>
        <v>2023</v>
      </c>
      <c r="O1091" s="18">
        <f>Table13[[#This Row],[Price]]*0.7</f>
        <v>2317</v>
      </c>
      <c r="P1091" s="18">
        <f t="shared" si="121"/>
        <v>8937</v>
      </c>
      <c r="Q1091" s="18">
        <f t="shared" si="122"/>
        <v>0.1</v>
      </c>
      <c r="R1091" s="18">
        <f t="shared" si="123"/>
        <v>26525.73</v>
      </c>
      <c r="S1091" s="18" t="str">
        <f>IF(Table13[[#This Row],[Quantity]]&lt;=3,"Small",IF(Table13[[#This Row],[Quantity]]&lt;=6,"Medium","Bulk"))</f>
        <v>Bulk</v>
      </c>
      <c r="T1091" s="18" t="str">
        <f t="shared" si="124"/>
        <v>Normal</v>
      </c>
      <c r="U1091" s="18" t="str">
        <f t="shared" si="125"/>
        <v>High Value</v>
      </c>
    </row>
    <row r="1092" spans="1:21" x14ac:dyDescent="0.3">
      <c r="A1092" t="s">
        <v>1100</v>
      </c>
      <c r="B1092" s="1">
        <v>45132</v>
      </c>
      <c r="C1092" t="s">
        <v>1212</v>
      </c>
      <c r="D1092" t="s">
        <v>1217</v>
      </c>
      <c r="E1092" t="s">
        <v>1219</v>
      </c>
      <c r="F1092" t="s">
        <v>1223</v>
      </c>
      <c r="G1092" s="6">
        <v>3</v>
      </c>
      <c r="H1092">
        <v>483</v>
      </c>
      <c r="I1092">
        <v>1449</v>
      </c>
      <c r="J1092" s="2">
        <v>279.36</v>
      </c>
      <c r="K1092" s="16">
        <f>Table13[[#This Row],[Profit]]/Table13[[#This Row],[Sales]]</f>
        <v>0.19279503105590062</v>
      </c>
      <c r="L1092" s="17" t="str">
        <f t="shared" si="119"/>
        <v>Low</v>
      </c>
      <c r="M1092" s="17" t="str">
        <f t="shared" si="120"/>
        <v>Jul</v>
      </c>
      <c r="N1092" s="18">
        <f>YEAR(Table13[[#This Row],[Order_Date]])</f>
        <v>2023</v>
      </c>
      <c r="O1092" s="18">
        <f>Table13[[#This Row],[Price]]*0.7</f>
        <v>338.09999999999997</v>
      </c>
      <c r="P1092" s="18">
        <f t="shared" si="121"/>
        <v>434.70000000000005</v>
      </c>
      <c r="Q1092" s="18">
        <f t="shared" si="122"/>
        <v>0.05</v>
      </c>
      <c r="R1092" s="18">
        <f t="shared" si="123"/>
        <v>1169.6400000000001</v>
      </c>
      <c r="S1092" s="18" t="str">
        <f>IF(Table13[[#This Row],[Quantity]]&lt;=3,"Small",IF(Table13[[#This Row],[Quantity]]&lt;=6,"Medium","Bulk"))</f>
        <v>Small</v>
      </c>
      <c r="T1092" s="18" t="str">
        <f t="shared" si="124"/>
        <v>High Demand</v>
      </c>
      <c r="U1092" s="18" t="str">
        <f t="shared" si="125"/>
        <v>low Value</v>
      </c>
    </row>
    <row r="1093" spans="1:21" x14ac:dyDescent="0.3">
      <c r="A1093" t="s">
        <v>1101</v>
      </c>
      <c r="B1093" s="1">
        <v>45184</v>
      </c>
      <c r="C1093" t="s">
        <v>1213</v>
      </c>
      <c r="D1093" t="s">
        <v>1214</v>
      </c>
      <c r="E1093" t="s">
        <v>1219</v>
      </c>
      <c r="F1093" t="s">
        <v>1233</v>
      </c>
      <c r="G1093" s="6">
        <v>6</v>
      </c>
      <c r="H1093">
        <v>1994</v>
      </c>
      <c r="I1093">
        <v>11964</v>
      </c>
      <c r="J1093" s="2">
        <v>1344.73</v>
      </c>
      <c r="K1093" s="16">
        <f>Table13[[#This Row],[Profit]]/Table13[[#This Row],[Sales]]</f>
        <v>0.11239802741558008</v>
      </c>
      <c r="L1093" s="17" t="str">
        <f t="shared" si="119"/>
        <v>Medium</v>
      </c>
      <c r="M1093" s="17" t="str">
        <f t="shared" si="120"/>
        <v>Sep</v>
      </c>
      <c r="N1093" s="18">
        <f>YEAR(Table13[[#This Row],[Order_Date]])</f>
        <v>2023</v>
      </c>
      <c r="O1093" s="18">
        <f>Table13[[#This Row],[Price]]*0.7</f>
        <v>1395.8</v>
      </c>
      <c r="P1093" s="18">
        <f t="shared" si="121"/>
        <v>3589.2000000000007</v>
      </c>
      <c r="Q1093" s="18">
        <f t="shared" si="122"/>
        <v>0.1</v>
      </c>
      <c r="R1093" s="18">
        <f t="shared" si="123"/>
        <v>10619.27</v>
      </c>
      <c r="S1093" s="18" t="str">
        <f>IF(Table13[[#This Row],[Quantity]]&lt;=3,"Small",IF(Table13[[#This Row],[Quantity]]&lt;=6,"Medium","Bulk"))</f>
        <v>Medium</v>
      </c>
      <c r="T1093" s="18" t="str">
        <f t="shared" si="124"/>
        <v>Normal</v>
      </c>
      <c r="U1093" s="18" t="str">
        <f t="shared" si="125"/>
        <v>Medium Value</v>
      </c>
    </row>
    <row r="1094" spans="1:21" x14ac:dyDescent="0.3">
      <c r="A1094" t="s">
        <v>1102</v>
      </c>
      <c r="B1094" s="1">
        <v>45151</v>
      </c>
      <c r="C1094" t="s">
        <v>1211</v>
      </c>
      <c r="D1094" t="s">
        <v>1217</v>
      </c>
      <c r="E1094" t="s">
        <v>1219</v>
      </c>
      <c r="F1094" t="s">
        <v>1223</v>
      </c>
      <c r="G1094" s="6">
        <v>2</v>
      </c>
      <c r="H1094">
        <v>3638</v>
      </c>
      <c r="I1094">
        <v>7276</v>
      </c>
      <c r="J1094" s="2">
        <v>663.25</v>
      </c>
      <c r="K1094" s="16">
        <f>Table13[[#This Row],[Profit]]/Table13[[#This Row],[Sales]]</f>
        <v>9.1155854865310609E-2</v>
      </c>
      <c r="L1094" s="17" t="str">
        <f t="shared" si="119"/>
        <v>Low</v>
      </c>
      <c r="M1094" s="17" t="str">
        <f t="shared" si="120"/>
        <v>Aug</v>
      </c>
      <c r="N1094" s="18">
        <f>YEAR(Table13[[#This Row],[Order_Date]])</f>
        <v>2023</v>
      </c>
      <c r="O1094" s="18">
        <f>Table13[[#This Row],[Price]]*0.7</f>
        <v>2546.6</v>
      </c>
      <c r="P1094" s="18">
        <f t="shared" si="121"/>
        <v>2182.8000000000002</v>
      </c>
      <c r="Q1094" s="18">
        <f t="shared" si="122"/>
        <v>0.05</v>
      </c>
      <c r="R1094" s="18">
        <f t="shared" si="123"/>
        <v>6612.75</v>
      </c>
      <c r="S1094" s="18" t="str">
        <f>IF(Table13[[#This Row],[Quantity]]&lt;=3,"Small",IF(Table13[[#This Row],[Quantity]]&lt;=6,"Medium","Bulk"))</f>
        <v>Small</v>
      </c>
      <c r="T1094" s="18" t="str">
        <f t="shared" si="124"/>
        <v>Normal</v>
      </c>
      <c r="U1094" s="18" t="str">
        <f t="shared" si="125"/>
        <v>low Value</v>
      </c>
    </row>
    <row r="1095" spans="1:21" x14ac:dyDescent="0.3">
      <c r="A1095" t="s">
        <v>1103</v>
      </c>
      <c r="B1095" s="1">
        <v>45162</v>
      </c>
      <c r="C1095" t="s">
        <v>1210</v>
      </c>
      <c r="D1095" t="s">
        <v>1215</v>
      </c>
      <c r="E1095" t="s">
        <v>1221</v>
      </c>
      <c r="F1095" t="s">
        <v>1235</v>
      </c>
      <c r="G1095" s="6">
        <v>8</v>
      </c>
      <c r="H1095">
        <v>2088</v>
      </c>
      <c r="I1095">
        <v>16704</v>
      </c>
      <c r="J1095" s="2">
        <v>3732.1</v>
      </c>
      <c r="K1095" s="16">
        <f>Table13[[#This Row],[Profit]]/Table13[[#This Row],[Sales]]</f>
        <v>0.22342552681992336</v>
      </c>
      <c r="L1095" s="17" t="str">
        <f t="shared" si="119"/>
        <v>Medium</v>
      </c>
      <c r="M1095" s="17" t="str">
        <f t="shared" si="120"/>
        <v>Aug</v>
      </c>
      <c r="N1095" s="18">
        <f>YEAR(Table13[[#This Row],[Order_Date]])</f>
        <v>2023</v>
      </c>
      <c r="O1095" s="18">
        <f>Table13[[#This Row],[Price]]*0.7</f>
        <v>1461.6</v>
      </c>
      <c r="P1095" s="18">
        <f t="shared" si="121"/>
        <v>5011.2000000000007</v>
      </c>
      <c r="Q1095" s="18">
        <f t="shared" si="122"/>
        <v>0.1</v>
      </c>
      <c r="R1095" s="18">
        <f t="shared" si="123"/>
        <v>12971.900000000001</v>
      </c>
      <c r="S1095" s="18" t="str">
        <f>IF(Table13[[#This Row],[Quantity]]&lt;=3,"Small",IF(Table13[[#This Row],[Quantity]]&lt;=6,"Medium","Bulk"))</f>
        <v>Bulk</v>
      </c>
      <c r="T1095" s="18" t="str">
        <f t="shared" si="124"/>
        <v>Normal</v>
      </c>
      <c r="U1095" s="18" t="str">
        <f t="shared" si="125"/>
        <v>Medium Value</v>
      </c>
    </row>
    <row r="1096" spans="1:21" x14ac:dyDescent="0.3">
      <c r="A1096" t="s">
        <v>1104</v>
      </c>
      <c r="B1096" s="1">
        <v>45123</v>
      </c>
      <c r="C1096" t="s">
        <v>1212</v>
      </c>
      <c r="D1096" t="s">
        <v>1218</v>
      </c>
      <c r="E1096" t="s">
        <v>1219</v>
      </c>
      <c r="F1096" t="s">
        <v>1223</v>
      </c>
      <c r="G1096" s="6">
        <v>1</v>
      </c>
      <c r="H1096">
        <v>709</v>
      </c>
      <c r="I1096">
        <v>709</v>
      </c>
      <c r="J1096" s="2">
        <v>125.28</v>
      </c>
      <c r="K1096" s="16">
        <f>Table13[[#This Row],[Profit]]/Table13[[#This Row],[Sales]]</f>
        <v>0.17669957686882934</v>
      </c>
      <c r="L1096" s="17" t="str">
        <f t="shared" si="119"/>
        <v>Low</v>
      </c>
      <c r="M1096" s="17" t="str">
        <f t="shared" si="120"/>
        <v>Jul</v>
      </c>
      <c r="N1096" s="18">
        <f>YEAR(Table13[[#This Row],[Order_Date]])</f>
        <v>2023</v>
      </c>
      <c r="O1096" s="18">
        <f>Table13[[#This Row],[Price]]*0.7</f>
        <v>496.29999999999995</v>
      </c>
      <c r="P1096" s="18">
        <f t="shared" si="121"/>
        <v>212.70000000000005</v>
      </c>
      <c r="Q1096" s="18">
        <f t="shared" si="122"/>
        <v>0.05</v>
      </c>
      <c r="R1096" s="18">
        <f t="shared" si="123"/>
        <v>583.72</v>
      </c>
      <c r="S1096" s="18" t="str">
        <f>IF(Table13[[#This Row],[Quantity]]&lt;=3,"Small",IF(Table13[[#This Row],[Quantity]]&lt;=6,"Medium","Bulk"))</f>
        <v>Small</v>
      </c>
      <c r="T1096" s="18" t="str">
        <f t="shared" si="124"/>
        <v>High Demand</v>
      </c>
      <c r="U1096" s="18" t="str">
        <f t="shared" si="125"/>
        <v>low Value</v>
      </c>
    </row>
    <row r="1097" spans="1:21" x14ac:dyDescent="0.3">
      <c r="A1097" t="s">
        <v>1105</v>
      </c>
      <c r="B1097" s="1">
        <v>45125</v>
      </c>
      <c r="C1097" t="s">
        <v>1210</v>
      </c>
      <c r="D1097" t="s">
        <v>1215</v>
      </c>
      <c r="E1097" t="s">
        <v>1220</v>
      </c>
      <c r="F1097" t="s">
        <v>1225</v>
      </c>
      <c r="G1097" s="6">
        <v>9</v>
      </c>
      <c r="H1097">
        <v>2334</v>
      </c>
      <c r="I1097">
        <v>21006</v>
      </c>
      <c r="J1097" s="2">
        <v>3071.16</v>
      </c>
      <c r="K1097" s="16">
        <f>Table13[[#This Row],[Profit]]/Table13[[#This Row],[Sales]]</f>
        <v>0.14620394173093401</v>
      </c>
      <c r="L1097" s="17" t="str">
        <f t="shared" si="119"/>
        <v>High</v>
      </c>
      <c r="M1097" s="17" t="str">
        <f t="shared" si="120"/>
        <v>Jul</v>
      </c>
      <c r="N1097" s="18">
        <f>YEAR(Table13[[#This Row],[Order_Date]])</f>
        <v>2023</v>
      </c>
      <c r="O1097" s="18">
        <f>Table13[[#This Row],[Price]]*0.7</f>
        <v>1633.8</v>
      </c>
      <c r="P1097" s="18">
        <f t="shared" si="121"/>
        <v>6301.8000000000011</v>
      </c>
      <c r="Q1097" s="18">
        <f t="shared" si="122"/>
        <v>0.1</v>
      </c>
      <c r="R1097" s="18">
        <f t="shared" si="123"/>
        <v>17934.84</v>
      </c>
      <c r="S1097" s="18" t="str">
        <f>IF(Table13[[#This Row],[Quantity]]&lt;=3,"Small",IF(Table13[[#This Row],[Quantity]]&lt;=6,"Medium","Bulk"))</f>
        <v>Bulk</v>
      </c>
      <c r="T1097" s="18" t="str">
        <f t="shared" si="124"/>
        <v>Normal</v>
      </c>
      <c r="U1097" s="18" t="str">
        <f t="shared" si="125"/>
        <v>High Value</v>
      </c>
    </row>
    <row r="1098" spans="1:21" x14ac:dyDescent="0.3">
      <c r="A1098" t="s">
        <v>1106</v>
      </c>
      <c r="B1098" s="1">
        <v>45116</v>
      </c>
      <c r="C1098" t="s">
        <v>1210</v>
      </c>
      <c r="D1098" t="s">
        <v>1217</v>
      </c>
      <c r="E1098" t="s">
        <v>1220</v>
      </c>
      <c r="F1098" t="s">
        <v>1224</v>
      </c>
      <c r="G1098" s="6">
        <v>2</v>
      </c>
      <c r="H1098">
        <v>1504</v>
      </c>
      <c r="I1098">
        <v>3008</v>
      </c>
      <c r="J1098" s="2">
        <v>390.87</v>
      </c>
      <c r="K1098" s="16">
        <f>Table13[[#This Row],[Profit]]/Table13[[#This Row],[Sales]]</f>
        <v>0.12994348404255318</v>
      </c>
      <c r="L1098" s="17" t="str">
        <f t="shared" si="119"/>
        <v>Low</v>
      </c>
      <c r="M1098" s="17" t="str">
        <f t="shared" si="120"/>
        <v>Jul</v>
      </c>
      <c r="N1098" s="18">
        <f>YEAR(Table13[[#This Row],[Order_Date]])</f>
        <v>2023</v>
      </c>
      <c r="O1098" s="18">
        <f>Table13[[#This Row],[Price]]*0.7</f>
        <v>1052.8</v>
      </c>
      <c r="P1098" s="18">
        <f t="shared" si="121"/>
        <v>902.40000000000009</v>
      </c>
      <c r="Q1098" s="18">
        <f t="shared" si="122"/>
        <v>0.05</v>
      </c>
      <c r="R1098" s="18">
        <f t="shared" si="123"/>
        <v>2617.13</v>
      </c>
      <c r="S1098" s="18" t="str">
        <f>IF(Table13[[#This Row],[Quantity]]&lt;=3,"Small",IF(Table13[[#This Row],[Quantity]]&lt;=6,"Medium","Bulk"))</f>
        <v>Small</v>
      </c>
      <c r="T1098" s="18" t="str">
        <f t="shared" si="124"/>
        <v>Normal</v>
      </c>
      <c r="U1098" s="18" t="str">
        <f t="shared" si="125"/>
        <v>low Value</v>
      </c>
    </row>
    <row r="1099" spans="1:21" x14ac:dyDescent="0.3">
      <c r="A1099" t="s">
        <v>1107</v>
      </c>
      <c r="B1099" s="1">
        <v>44975</v>
      </c>
      <c r="C1099" t="s">
        <v>1211</v>
      </c>
      <c r="D1099" t="s">
        <v>1215</v>
      </c>
      <c r="E1099" t="s">
        <v>1220</v>
      </c>
      <c r="F1099" t="s">
        <v>1225</v>
      </c>
      <c r="G1099" s="6">
        <v>8</v>
      </c>
      <c r="H1099">
        <v>1006</v>
      </c>
      <c r="I1099">
        <v>8048</v>
      </c>
      <c r="J1099" s="2">
        <v>1307.76</v>
      </c>
      <c r="K1099" s="16">
        <f>Table13[[#This Row],[Profit]]/Table13[[#This Row],[Sales]]</f>
        <v>0.16249502982107356</v>
      </c>
      <c r="L1099" s="17" t="str">
        <f t="shared" si="119"/>
        <v>Low</v>
      </c>
      <c r="M1099" s="17" t="str">
        <f t="shared" si="120"/>
        <v>Feb</v>
      </c>
      <c r="N1099" s="18">
        <f>YEAR(Table13[[#This Row],[Order_Date]])</f>
        <v>2023</v>
      </c>
      <c r="O1099" s="18">
        <f>Table13[[#This Row],[Price]]*0.7</f>
        <v>704.19999999999993</v>
      </c>
      <c r="P1099" s="18">
        <f t="shared" si="121"/>
        <v>2414.4000000000005</v>
      </c>
      <c r="Q1099" s="18">
        <f t="shared" si="122"/>
        <v>0.1</v>
      </c>
      <c r="R1099" s="18">
        <f t="shared" si="123"/>
        <v>6740.24</v>
      </c>
      <c r="S1099" s="18" t="str">
        <f>IF(Table13[[#This Row],[Quantity]]&lt;=3,"Small",IF(Table13[[#This Row],[Quantity]]&lt;=6,"Medium","Bulk"))</f>
        <v>Bulk</v>
      </c>
      <c r="T1099" s="18" t="str">
        <f t="shared" si="124"/>
        <v>Normal</v>
      </c>
      <c r="U1099" s="18" t="str">
        <f t="shared" si="125"/>
        <v>low Value</v>
      </c>
    </row>
    <row r="1100" spans="1:21" x14ac:dyDescent="0.3">
      <c r="A1100" t="s">
        <v>1108</v>
      </c>
      <c r="B1100" s="1">
        <v>45162</v>
      </c>
      <c r="C1100" t="s">
        <v>1210</v>
      </c>
      <c r="D1100" t="s">
        <v>1218</v>
      </c>
      <c r="E1100" t="s">
        <v>1219</v>
      </c>
      <c r="F1100" t="s">
        <v>1223</v>
      </c>
      <c r="G1100" s="6">
        <v>8</v>
      </c>
      <c r="H1100">
        <v>1769</v>
      </c>
      <c r="I1100">
        <v>14152</v>
      </c>
      <c r="J1100" s="2">
        <v>2397.5</v>
      </c>
      <c r="K1100" s="16">
        <f>Table13[[#This Row],[Profit]]/Table13[[#This Row],[Sales]]</f>
        <v>0.16941068400226117</v>
      </c>
      <c r="L1100" s="17" t="str">
        <f t="shared" si="119"/>
        <v>Medium</v>
      </c>
      <c r="M1100" s="17" t="str">
        <f t="shared" si="120"/>
        <v>Aug</v>
      </c>
      <c r="N1100" s="18">
        <f>YEAR(Table13[[#This Row],[Order_Date]])</f>
        <v>2023</v>
      </c>
      <c r="O1100" s="18">
        <f>Table13[[#This Row],[Price]]*0.7</f>
        <v>1238.3</v>
      </c>
      <c r="P1100" s="18">
        <f t="shared" si="121"/>
        <v>4245.6000000000004</v>
      </c>
      <c r="Q1100" s="18">
        <f t="shared" si="122"/>
        <v>0.1</v>
      </c>
      <c r="R1100" s="18">
        <f t="shared" si="123"/>
        <v>11754.5</v>
      </c>
      <c r="S1100" s="18" t="str">
        <f>IF(Table13[[#This Row],[Quantity]]&lt;=3,"Small",IF(Table13[[#This Row],[Quantity]]&lt;=6,"Medium","Bulk"))</f>
        <v>Bulk</v>
      </c>
      <c r="T1100" s="18" t="str">
        <f t="shared" si="124"/>
        <v>Normal</v>
      </c>
      <c r="U1100" s="18" t="str">
        <f t="shared" si="125"/>
        <v>Medium Value</v>
      </c>
    </row>
    <row r="1101" spans="1:21" x14ac:dyDescent="0.3">
      <c r="A1101" t="s">
        <v>1109</v>
      </c>
      <c r="B1101" s="1">
        <v>44935</v>
      </c>
      <c r="C1101" t="s">
        <v>1212</v>
      </c>
      <c r="D1101" t="s">
        <v>1216</v>
      </c>
      <c r="E1101" t="s">
        <v>1222</v>
      </c>
      <c r="F1101" t="s">
        <v>1227</v>
      </c>
      <c r="G1101" s="6">
        <v>4</v>
      </c>
      <c r="H1101">
        <v>1597</v>
      </c>
      <c r="I1101">
        <v>6388</v>
      </c>
      <c r="J1101" s="2">
        <v>803.64</v>
      </c>
      <c r="K1101" s="16">
        <f>Table13[[#This Row],[Profit]]/Table13[[#This Row],[Sales]]</f>
        <v>0.1258046336881653</v>
      </c>
      <c r="L1101" s="17" t="str">
        <f t="shared" si="119"/>
        <v>Low</v>
      </c>
      <c r="M1101" s="17" t="str">
        <f t="shared" si="120"/>
        <v>Jan</v>
      </c>
      <c r="N1101" s="18">
        <f>YEAR(Table13[[#This Row],[Order_Date]])</f>
        <v>2023</v>
      </c>
      <c r="O1101" s="18">
        <f>Table13[[#This Row],[Price]]*0.7</f>
        <v>1117.8999999999999</v>
      </c>
      <c r="P1101" s="18">
        <f t="shared" si="121"/>
        <v>1916.4000000000005</v>
      </c>
      <c r="Q1101" s="18">
        <f t="shared" si="122"/>
        <v>0.05</v>
      </c>
      <c r="R1101" s="18">
        <f t="shared" si="123"/>
        <v>5584.36</v>
      </c>
      <c r="S1101" s="18" t="str">
        <f>IF(Table13[[#This Row],[Quantity]]&lt;=3,"Small",IF(Table13[[#This Row],[Quantity]]&lt;=6,"Medium","Bulk"))</f>
        <v>Medium</v>
      </c>
      <c r="T1101" s="18" t="str">
        <f t="shared" si="124"/>
        <v>High Demand</v>
      </c>
      <c r="U1101" s="18" t="str">
        <f t="shared" si="125"/>
        <v>low Value</v>
      </c>
    </row>
    <row r="1102" spans="1:21" x14ac:dyDescent="0.3">
      <c r="A1102" t="s">
        <v>1110</v>
      </c>
      <c r="B1102" s="1">
        <v>45192</v>
      </c>
      <c r="C1102" t="s">
        <v>1211</v>
      </c>
      <c r="D1102" t="s">
        <v>1214</v>
      </c>
      <c r="E1102" t="s">
        <v>1222</v>
      </c>
      <c r="F1102" t="s">
        <v>1234</v>
      </c>
      <c r="G1102" s="6">
        <v>5</v>
      </c>
      <c r="H1102">
        <v>1921</v>
      </c>
      <c r="I1102">
        <v>9605</v>
      </c>
      <c r="J1102" s="2">
        <v>1826.03</v>
      </c>
      <c r="K1102" s="16">
        <f>Table13[[#This Row],[Profit]]/Table13[[#This Row],[Sales]]</f>
        <v>0.19011244143675168</v>
      </c>
      <c r="L1102" s="17" t="str">
        <f t="shared" si="119"/>
        <v>Low</v>
      </c>
      <c r="M1102" s="17" t="str">
        <f t="shared" si="120"/>
        <v>Sep</v>
      </c>
      <c r="N1102" s="18">
        <f>YEAR(Table13[[#This Row],[Order_Date]])</f>
        <v>2023</v>
      </c>
      <c r="O1102" s="18">
        <f>Table13[[#This Row],[Price]]*0.7</f>
        <v>1344.6999999999998</v>
      </c>
      <c r="P1102" s="18">
        <f t="shared" si="121"/>
        <v>2881.5000000000009</v>
      </c>
      <c r="Q1102" s="18">
        <f t="shared" si="122"/>
        <v>0.05</v>
      </c>
      <c r="R1102" s="18">
        <f t="shared" si="123"/>
        <v>7778.97</v>
      </c>
      <c r="S1102" s="18" t="str">
        <f>IF(Table13[[#This Row],[Quantity]]&lt;=3,"Small",IF(Table13[[#This Row],[Quantity]]&lt;=6,"Medium","Bulk"))</f>
        <v>Medium</v>
      </c>
      <c r="T1102" s="18" t="str">
        <f t="shared" si="124"/>
        <v>Normal</v>
      </c>
      <c r="U1102" s="18" t="str">
        <f t="shared" si="125"/>
        <v>low Value</v>
      </c>
    </row>
    <row r="1103" spans="1:21" x14ac:dyDescent="0.3">
      <c r="A1103" t="s">
        <v>1111</v>
      </c>
      <c r="B1103" s="1">
        <v>45228</v>
      </c>
      <c r="C1103" t="s">
        <v>1213</v>
      </c>
      <c r="D1103" t="s">
        <v>1217</v>
      </c>
      <c r="E1103" t="s">
        <v>1222</v>
      </c>
      <c r="F1103" t="s">
        <v>1234</v>
      </c>
      <c r="G1103" s="6">
        <v>1</v>
      </c>
      <c r="H1103">
        <v>1499</v>
      </c>
      <c r="I1103">
        <v>1499</v>
      </c>
      <c r="J1103" s="2">
        <v>211.51</v>
      </c>
      <c r="K1103" s="16">
        <f>Table13[[#This Row],[Profit]]/Table13[[#This Row],[Sales]]</f>
        <v>0.14110073382254837</v>
      </c>
      <c r="L1103" s="17" t="str">
        <f t="shared" si="119"/>
        <v>Low</v>
      </c>
      <c r="M1103" s="17" t="str">
        <f t="shared" si="120"/>
        <v>Oct</v>
      </c>
      <c r="N1103" s="18">
        <f>YEAR(Table13[[#This Row],[Order_Date]])</f>
        <v>2023</v>
      </c>
      <c r="O1103" s="18">
        <f>Table13[[#This Row],[Price]]*0.7</f>
        <v>1049.3</v>
      </c>
      <c r="P1103" s="18">
        <f t="shared" si="121"/>
        <v>449.70000000000005</v>
      </c>
      <c r="Q1103" s="18">
        <f t="shared" si="122"/>
        <v>0.05</v>
      </c>
      <c r="R1103" s="18">
        <f t="shared" si="123"/>
        <v>1287.49</v>
      </c>
      <c r="S1103" s="18" t="str">
        <f>IF(Table13[[#This Row],[Quantity]]&lt;=3,"Small",IF(Table13[[#This Row],[Quantity]]&lt;=6,"Medium","Bulk"))</f>
        <v>Small</v>
      </c>
      <c r="T1103" s="18" t="str">
        <f t="shared" si="124"/>
        <v>Normal</v>
      </c>
      <c r="U1103" s="18" t="str">
        <f t="shared" si="125"/>
        <v>low Value</v>
      </c>
    </row>
    <row r="1104" spans="1:21" x14ac:dyDescent="0.3">
      <c r="A1104" t="s">
        <v>1112</v>
      </c>
      <c r="B1104" s="1">
        <v>45103</v>
      </c>
      <c r="C1104" t="s">
        <v>1212</v>
      </c>
      <c r="D1104" t="s">
        <v>1218</v>
      </c>
      <c r="E1104" t="s">
        <v>1222</v>
      </c>
      <c r="F1104" t="s">
        <v>1234</v>
      </c>
      <c r="G1104" s="6">
        <v>9</v>
      </c>
      <c r="H1104">
        <v>2442</v>
      </c>
      <c r="I1104">
        <v>21978</v>
      </c>
      <c r="J1104" s="2">
        <v>4308.6099999999997</v>
      </c>
      <c r="K1104" s="16">
        <f>Table13[[#This Row],[Profit]]/Table13[[#This Row],[Sales]]</f>
        <v>0.19604195104195102</v>
      </c>
      <c r="L1104" s="17" t="str">
        <f t="shared" si="119"/>
        <v>High</v>
      </c>
      <c r="M1104" s="17" t="str">
        <f t="shared" si="120"/>
        <v>Jun</v>
      </c>
      <c r="N1104" s="18">
        <f>YEAR(Table13[[#This Row],[Order_Date]])</f>
        <v>2023</v>
      </c>
      <c r="O1104" s="18">
        <f>Table13[[#This Row],[Price]]*0.7</f>
        <v>1709.3999999999999</v>
      </c>
      <c r="P1104" s="18">
        <f t="shared" si="121"/>
        <v>6593.4000000000015</v>
      </c>
      <c r="Q1104" s="18">
        <f t="shared" si="122"/>
        <v>0.1</v>
      </c>
      <c r="R1104" s="18">
        <f t="shared" si="123"/>
        <v>17669.39</v>
      </c>
      <c r="S1104" s="18" t="str">
        <f>IF(Table13[[#This Row],[Quantity]]&lt;=3,"Small",IF(Table13[[#This Row],[Quantity]]&lt;=6,"Medium","Bulk"))</f>
        <v>Bulk</v>
      </c>
      <c r="T1104" s="18" t="str">
        <f t="shared" si="124"/>
        <v>High Demand</v>
      </c>
      <c r="U1104" s="18" t="str">
        <f t="shared" si="125"/>
        <v>High Value</v>
      </c>
    </row>
    <row r="1105" spans="1:21" x14ac:dyDescent="0.3">
      <c r="A1105" t="s">
        <v>1113</v>
      </c>
      <c r="B1105" s="1">
        <v>45144</v>
      </c>
      <c r="C1105" t="s">
        <v>1211</v>
      </c>
      <c r="D1105" t="s">
        <v>1218</v>
      </c>
      <c r="E1105" t="s">
        <v>1219</v>
      </c>
      <c r="F1105" t="s">
        <v>1233</v>
      </c>
      <c r="G1105" s="6">
        <v>6</v>
      </c>
      <c r="H1105">
        <v>4459</v>
      </c>
      <c r="I1105">
        <v>26754</v>
      </c>
      <c r="J1105" s="2">
        <v>4454.01</v>
      </c>
      <c r="K1105" s="16">
        <f>Table13[[#This Row],[Profit]]/Table13[[#This Row],[Sales]]</f>
        <v>0.16648015250056067</v>
      </c>
      <c r="L1105" s="17" t="str">
        <f t="shared" si="119"/>
        <v>High</v>
      </c>
      <c r="M1105" s="17" t="str">
        <f t="shared" si="120"/>
        <v>Aug</v>
      </c>
      <c r="N1105" s="18">
        <f>YEAR(Table13[[#This Row],[Order_Date]])</f>
        <v>2023</v>
      </c>
      <c r="O1105" s="18">
        <f>Table13[[#This Row],[Price]]*0.7</f>
        <v>3121.2999999999997</v>
      </c>
      <c r="P1105" s="18">
        <f t="shared" si="121"/>
        <v>8026.2000000000007</v>
      </c>
      <c r="Q1105" s="18">
        <f t="shared" si="122"/>
        <v>0.1</v>
      </c>
      <c r="R1105" s="18">
        <f t="shared" si="123"/>
        <v>22299.989999999998</v>
      </c>
      <c r="S1105" s="18" t="str">
        <f>IF(Table13[[#This Row],[Quantity]]&lt;=3,"Small",IF(Table13[[#This Row],[Quantity]]&lt;=6,"Medium","Bulk"))</f>
        <v>Medium</v>
      </c>
      <c r="T1105" s="18" t="str">
        <f t="shared" si="124"/>
        <v>Normal</v>
      </c>
      <c r="U1105" s="18" t="str">
        <f t="shared" si="125"/>
        <v>High Value</v>
      </c>
    </row>
    <row r="1106" spans="1:21" x14ac:dyDescent="0.3">
      <c r="A1106" t="s">
        <v>1114</v>
      </c>
      <c r="B1106" s="1">
        <v>45217</v>
      </c>
      <c r="C1106" t="s">
        <v>1212</v>
      </c>
      <c r="D1106" t="s">
        <v>1216</v>
      </c>
      <c r="E1106" t="s">
        <v>1221</v>
      </c>
      <c r="F1106" t="s">
        <v>1229</v>
      </c>
      <c r="G1106" s="6">
        <v>4</v>
      </c>
      <c r="H1106">
        <v>997</v>
      </c>
      <c r="I1106">
        <v>3988</v>
      </c>
      <c r="J1106" s="2">
        <v>769.76</v>
      </c>
      <c r="K1106" s="16">
        <f>Table13[[#This Row],[Profit]]/Table13[[#This Row],[Sales]]</f>
        <v>0.19301905717151455</v>
      </c>
      <c r="L1106" s="17" t="str">
        <f t="shared" si="119"/>
        <v>Low</v>
      </c>
      <c r="M1106" s="17" t="str">
        <f t="shared" si="120"/>
        <v>Oct</v>
      </c>
      <c r="N1106" s="18">
        <f>YEAR(Table13[[#This Row],[Order_Date]])</f>
        <v>2023</v>
      </c>
      <c r="O1106" s="18">
        <f>Table13[[#This Row],[Price]]*0.7</f>
        <v>697.9</v>
      </c>
      <c r="P1106" s="18">
        <f t="shared" si="121"/>
        <v>1196.4000000000001</v>
      </c>
      <c r="Q1106" s="18">
        <f t="shared" si="122"/>
        <v>0.05</v>
      </c>
      <c r="R1106" s="18">
        <f t="shared" si="123"/>
        <v>3218.24</v>
      </c>
      <c r="S1106" s="18" t="str">
        <f>IF(Table13[[#This Row],[Quantity]]&lt;=3,"Small",IF(Table13[[#This Row],[Quantity]]&lt;=6,"Medium","Bulk"))</f>
        <v>Medium</v>
      </c>
      <c r="T1106" s="18" t="str">
        <f t="shared" si="124"/>
        <v>High Demand</v>
      </c>
      <c r="U1106" s="18" t="str">
        <f t="shared" si="125"/>
        <v>low Value</v>
      </c>
    </row>
    <row r="1107" spans="1:21" x14ac:dyDescent="0.3">
      <c r="A1107" t="s">
        <v>1115</v>
      </c>
      <c r="B1107" s="1">
        <v>45257</v>
      </c>
      <c r="C1107" t="s">
        <v>1213</v>
      </c>
      <c r="D1107" t="s">
        <v>1218</v>
      </c>
      <c r="E1107" t="s">
        <v>1219</v>
      </c>
      <c r="F1107" t="s">
        <v>1233</v>
      </c>
      <c r="G1107" s="6">
        <v>7</v>
      </c>
      <c r="H1107">
        <v>3918</v>
      </c>
      <c r="I1107">
        <v>27426</v>
      </c>
      <c r="J1107" s="2">
        <v>3470.03</v>
      </c>
      <c r="K1107" s="16">
        <f>Table13[[#This Row],[Profit]]/Table13[[#This Row],[Sales]]</f>
        <v>0.12652337198279007</v>
      </c>
      <c r="L1107" s="17" t="str">
        <f t="shared" si="119"/>
        <v>High</v>
      </c>
      <c r="M1107" s="17" t="str">
        <f t="shared" si="120"/>
        <v>Nov</v>
      </c>
      <c r="N1107" s="18">
        <f>YEAR(Table13[[#This Row],[Order_Date]])</f>
        <v>2023</v>
      </c>
      <c r="O1107" s="18">
        <f>Table13[[#This Row],[Price]]*0.7</f>
        <v>2742.6</v>
      </c>
      <c r="P1107" s="18">
        <f t="shared" si="121"/>
        <v>8227.7999999999993</v>
      </c>
      <c r="Q1107" s="18">
        <f t="shared" si="122"/>
        <v>0.1</v>
      </c>
      <c r="R1107" s="18">
        <f t="shared" si="123"/>
        <v>23955.97</v>
      </c>
      <c r="S1107" s="18" t="str">
        <f>IF(Table13[[#This Row],[Quantity]]&lt;=3,"Small",IF(Table13[[#This Row],[Quantity]]&lt;=6,"Medium","Bulk"))</f>
        <v>Bulk</v>
      </c>
      <c r="T1107" s="18" t="str">
        <f t="shared" si="124"/>
        <v>Normal</v>
      </c>
      <c r="U1107" s="18" t="str">
        <f t="shared" si="125"/>
        <v>High Value</v>
      </c>
    </row>
    <row r="1108" spans="1:21" x14ac:dyDescent="0.3">
      <c r="A1108" t="s">
        <v>1116</v>
      </c>
      <c r="B1108" s="1">
        <v>44981</v>
      </c>
      <c r="C1108" t="s">
        <v>1210</v>
      </c>
      <c r="D1108" t="s">
        <v>1217</v>
      </c>
      <c r="E1108" t="s">
        <v>1220</v>
      </c>
      <c r="F1108" t="s">
        <v>1228</v>
      </c>
      <c r="G1108" s="6">
        <v>7</v>
      </c>
      <c r="H1108">
        <v>595</v>
      </c>
      <c r="I1108">
        <v>4165</v>
      </c>
      <c r="J1108" s="2">
        <v>340.36</v>
      </c>
      <c r="K1108" s="16">
        <f>Table13[[#This Row],[Profit]]/Table13[[#This Row],[Sales]]</f>
        <v>8.1719087635054019E-2</v>
      </c>
      <c r="L1108" s="17" t="str">
        <f t="shared" si="119"/>
        <v>Low</v>
      </c>
      <c r="M1108" s="17" t="str">
        <f t="shared" si="120"/>
        <v>Feb</v>
      </c>
      <c r="N1108" s="18">
        <f>YEAR(Table13[[#This Row],[Order_Date]])</f>
        <v>2023</v>
      </c>
      <c r="O1108" s="18">
        <f>Table13[[#This Row],[Price]]*0.7</f>
        <v>416.5</v>
      </c>
      <c r="P1108" s="18">
        <f t="shared" si="121"/>
        <v>1249.5</v>
      </c>
      <c r="Q1108" s="18">
        <f t="shared" si="122"/>
        <v>0.1</v>
      </c>
      <c r="R1108" s="18">
        <f t="shared" si="123"/>
        <v>3824.6400000000003</v>
      </c>
      <c r="S1108" s="18" t="str">
        <f>IF(Table13[[#This Row],[Quantity]]&lt;=3,"Small",IF(Table13[[#This Row],[Quantity]]&lt;=6,"Medium","Bulk"))</f>
        <v>Bulk</v>
      </c>
      <c r="T1108" s="18" t="str">
        <f t="shared" si="124"/>
        <v>Normal</v>
      </c>
      <c r="U1108" s="18" t="str">
        <f t="shared" si="125"/>
        <v>low Value</v>
      </c>
    </row>
    <row r="1109" spans="1:21" x14ac:dyDescent="0.3">
      <c r="A1109" t="s">
        <v>1117</v>
      </c>
      <c r="B1109" s="1">
        <v>45259</v>
      </c>
      <c r="C1109" t="s">
        <v>1210</v>
      </c>
      <c r="D1109" t="s">
        <v>1216</v>
      </c>
      <c r="E1109" t="s">
        <v>1220</v>
      </c>
      <c r="F1109" t="s">
        <v>1224</v>
      </c>
      <c r="G1109" s="6">
        <v>8</v>
      </c>
      <c r="H1109">
        <v>656</v>
      </c>
      <c r="I1109">
        <v>5248</v>
      </c>
      <c r="J1109" s="2">
        <v>828.63</v>
      </c>
      <c r="K1109" s="16">
        <f>Table13[[#This Row],[Profit]]/Table13[[#This Row],[Sales]]</f>
        <v>0.15789443597560976</v>
      </c>
      <c r="L1109" s="17" t="str">
        <f t="shared" si="119"/>
        <v>Low</v>
      </c>
      <c r="M1109" s="17" t="str">
        <f t="shared" si="120"/>
        <v>Nov</v>
      </c>
      <c r="N1109" s="18">
        <f>YEAR(Table13[[#This Row],[Order_Date]])</f>
        <v>2023</v>
      </c>
      <c r="O1109" s="18">
        <f>Table13[[#This Row],[Price]]*0.7</f>
        <v>459.2</v>
      </c>
      <c r="P1109" s="18">
        <f t="shared" si="121"/>
        <v>1574.4</v>
      </c>
      <c r="Q1109" s="18">
        <f t="shared" si="122"/>
        <v>0.1</v>
      </c>
      <c r="R1109" s="18">
        <f t="shared" si="123"/>
        <v>4419.37</v>
      </c>
      <c r="S1109" s="18" t="str">
        <f>IF(Table13[[#This Row],[Quantity]]&lt;=3,"Small",IF(Table13[[#This Row],[Quantity]]&lt;=6,"Medium","Bulk"))</f>
        <v>Bulk</v>
      </c>
      <c r="T1109" s="18" t="str">
        <f t="shared" si="124"/>
        <v>Normal</v>
      </c>
      <c r="U1109" s="18" t="str">
        <f t="shared" si="125"/>
        <v>low Value</v>
      </c>
    </row>
    <row r="1110" spans="1:21" x14ac:dyDescent="0.3">
      <c r="A1110" t="s">
        <v>1118</v>
      </c>
      <c r="B1110" s="1">
        <v>45210</v>
      </c>
      <c r="C1110" t="s">
        <v>1213</v>
      </c>
      <c r="D1110" t="s">
        <v>1214</v>
      </c>
      <c r="E1110" t="s">
        <v>1222</v>
      </c>
      <c r="F1110" t="s">
        <v>1236</v>
      </c>
      <c r="G1110" s="6">
        <v>1</v>
      </c>
      <c r="H1110">
        <v>2662</v>
      </c>
      <c r="I1110">
        <v>2662</v>
      </c>
      <c r="J1110" s="2">
        <v>419.08</v>
      </c>
      <c r="K1110" s="16">
        <f>Table13[[#This Row],[Profit]]/Table13[[#This Row],[Sales]]</f>
        <v>0.1574305033809166</v>
      </c>
      <c r="L1110" s="17" t="str">
        <f t="shared" si="119"/>
        <v>Low</v>
      </c>
      <c r="M1110" s="17" t="str">
        <f t="shared" si="120"/>
        <v>Oct</v>
      </c>
      <c r="N1110" s="18">
        <f>YEAR(Table13[[#This Row],[Order_Date]])</f>
        <v>2023</v>
      </c>
      <c r="O1110" s="18">
        <f>Table13[[#This Row],[Price]]*0.7</f>
        <v>1863.3999999999999</v>
      </c>
      <c r="P1110" s="18">
        <f t="shared" si="121"/>
        <v>798.60000000000014</v>
      </c>
      <c r="Q1110" s="18">
        <f t="shared" si="122"/>
        <v>0.05</v>
      </c>
      <c r="R1110" s="18">
        <f t="shared" si="123"/>
        <v>2242.92</v>
      </c>
      <c r="S1110" s="18" t="str">
        <f>IF(Table13[[#This Row],[Quantity]]&lt;=3,"Small",IF(Table13[[#This Row],[Quantity]]&lt;=6,"Medium","Bulk"))</f>
        <v>Small</v>
      </c>
      <c r="T1110" s="18" t="str">
        <f t="shared" si="124"/>
        <v>Normal</v>
      </c>
      <c r="U1110" s="18" t="str">
        <f t="shared" si="125"/>
        <v>low Value</v>
      </c>
    </row>
    <row r="1111" spans="1:21" x14ac:dyDescent="0.3">
      <c r="A1111" t="s">
        <v>1119</v>
      </c>
      <c r="B1111" s="1">
        <v>45096</v>
      </c>
      <c r="C1111" t="s">
        <v>1213</v>
      </c>
      <c r="D1111" t="s">
        <v>1215</v>
      </c>
      <c r="E1111" t="s">
        <v>1219</v>
      </c>
      <c r="F1111" t="s">
        <v>1238</v>
      </c>
      <c r="G1111" s="6">
        <v>8</v>
      </c>
      <c r="H1111">
        <v>662</v>
      </c>
      <c r="I1111">
        <v>5296</v>
      </c>
      <c r="J1111" s="2">
        <v>477.8</v>
      </c>
      <c r="K1111" s="16">
        <f>Table13[[#This Row],[Profit]]/Table13[[#This Row],[Sales]]</f>
        <v>9.0219033232628407E-2</v>
      </c>
      <c r="L1111" s="17" t="str">
        <f t="shared" si="119"/>
        <v>Low</v>
      </c>
      <c r="M1111" s="17" t="str">
        <f t="shared" si="120"/>
        <v>Jun</v>
      </c>
      <c r="N1111" s="18">
        <f>YEAR(Table13[[#This Row],[Order_Date]])</f>
        <v>2023</v>
      </c>
      <c r="O1111" s="18">
        <f>Table13[[#This Row],[Price]]*0.7</f>
        <v>463.4</v>
      </c>
      <c r="P1111" s="18">
        <f t="shared" si="121"/>
        <v>1588.8000000000002</v>
      </c>
      <c r="Q1111" s="18">
        <f t="shared" si="122"/>
        <v>0.1</v>
      </c>
      <c r="R1111" s="18">
        <f t="shared" si="123"/>
        <v>4818.2</v>
      </c>
      <c r="S1111" s="18" t="str">
        <f>IF(Table13[[#This Row],[Quantity]]&lt;=3,"Small",IF(Table13[[#This Row],[Quantity]]&lt;=6,"Medium","Bulk"))</f>
        <v>Bulk</v>
      </c>
      <c r="T1111" s="18" t="str">
        <f t="shared" si="124"/>
        <v>Normal</v>
      </c>
      <c r="U1111" s="18" t="str">
        <f t="shared" si="125"/>
        <v>low Value</v>
      </c>
    </row>
    <row r="1112" spans="1:21" x14ac:dyDescent="0.3">
      <c r="A1112" t="s">
        <v>1120</v>
      </c>
      <c r="B1112" s="1">
        <v>45079</v>
      </c>
      <c r="C1112" t="s">
        <v>1212</v>
      </c>
      <c r="D1112" t="s">
        <v>1215</v>
      </c>
      <c r="E1112" t="s">
        <v>1222</v>
      </c>
      <c r="F1112" t="s">
        <v>1227</v>
      </c>
      <c r="G1112" s="6">
        <v>8</v>
      </c>
      <c r="H1112">
        <v>4151</v>
      </c>
      <c r="I1112">
        <v>33208</v>
      </c>
      <c r="J1112" s="2">
        <v>6481.16</v>
      </c>
      <c r="K1112" s="16">
        <f>Table13[[#This Row],[Profit]]/Table13[[#This Row],[Sales]]</f>
        <v>0.19516863406408094</v>
      </c>
      <c r="L1112" s="17" t="str">
        <f t="shared" si="119"/>
        <v>High</v>
      </c>
      <c r="M1112" s="17" t="str">
        <f t="shared" si="120"/>
        <v>Jun</v>
      </c>
      <c r="N1112" s="18">
        <f>YEAR(Table13[[#This Row],[Order_Date]])</f>
        <v>2023</v>
      </c>
      <c r="O1112" s="18">
        <f>Table13[[#This Row],[Price]]*0.7</f>
        <v>2905.7</v>
      </c>
      <c r="P1112" s="18">
        <f t="shared" si="121"/>
        <v>9962.4000000000015</v>
      </c>
      <c r="Q1112" s="18">
        <f t="shared" si="122"/>
        <v>0.1</v>
      </c>
      <c r="R1112" s="18">
        <f t="shared" si="123"/>
        <v>26726.84</v>
      </c>
      <c r="S1112" s="18" t="str">
        <f>IF(Table13[[#This Row],[Quantity]]&lt;=3,"Small",IF(Table13[[#This Row],[Quantity]]&lt;=6,"Medium","Bulk"))</f>
        <v>Bulk</v>
      </c>
      <c r="T1112" s="18" t="str">
        <f t="shared" si="124"/>
        <v>High Demand</v>
      </c>
      <c r="U1112" s="18" t="str">
        <f t="shared" si="125"/>
        <v>High Value</v>
      </c>
    </row>
    <row r="1113" spans="1:21" x14ac:dyDescent="0.3">
      <c r="A1113" t="s">
        <v>1121</v>
      </c>
      <c r="B1113" s="1">
        <v>45067</v>
      </c>
      <c r="C1113" t="s">
        <v>1213</v>
      </c>
      <c r="D1113" t="s">
        <v>1239</v>
      </c>
      <c r="E1113" t="s">
        <v>1222</v>
      </c>
      <c r="F1113" t="s">
        <v>1227</v>
      </c>
      <c r="G1113" s="6">
        <v>5</v>
      </c>
      <c r="H1113">
        <v>4658</v>
      </c>
      <c r="I1113">
        <v>23290</v>
      </c>
      <c r="J1113" s="2">
        <v>2283.86</v>
      </c>
      <c r="K1113" s="16">
        <f>Table13[[#This Row],[Profit]]/Table13[[#This Row],[Sales]]</f>
        <v>9.8061829111206533E-2</v>
      </c>
      <c r="L1113" s="17" t="str">
        <f t="shared" si="119"/>
        <v>High</v>
      </c>
      <c r="M1113" s="17" t="str">
        <f t="shared" si="120"/>
        <v>May</v>
      </c>
      <c r="N1113" s="18">
        <f>YEAR(Table13[[#This Row],[Order_Date]])</f>
        <v>2023</v>
      </c>
      <c r="O1113" s="18">
        <f>Table13[[#This Row],[Price]]*0.7</f>
        <v>3260.6</v>
      </c>
      <c r="P1113" s="18">
        <f t="shared" si="121"/>
        <v>6987</v>
      </c>
      <c r="Q1113" s="18">
        <f t="shared" si="122"/>
        <v>0.05</v>
      </c>
      <c r="R1113" s="18">
        <f t="shared" si="123"/>
        <v>21006.14</v>
      </c>
      <c r="S1113" s="18" t="str">
        <f>IF(Table13[[#This Row],[Quantity]]&lt;=3,"Small",IF(Table13[[#This Row],[Quantity]]&lt;=6,"Medium","Bulk"))</f>
        <v>Medium</v>
      </c>
      <c r="T1113" s="18" t="str">
        <f t="shared" si="124"/>
        <v>Normal</v>
      </c>
      <c r="U1113" s="18" t="str">
        <f t="shared" si="125"/>
        <v>High Value</v>
      </c>
    </row>
    <row r="1114" spans="1:21" x14ac:dyDescent="0.3">
      <c r="A1114" t="s">
        <v>1122</v>
      </c>
      <c r="B1114" s="1">
        <v>44993</v>
      </c>
      <c r="C1114" t="s">
        <v>1211</v>
      </c>
      <c r="D1114" t="s">
        <v>1215</v>
      </c>
      <c r="E1114" t="s">
        <v>1222</v>
      </c>
      <c r="F1114" t="s">
        <v>1227</v>
      </c>
      <c r="G1114" s="6">
        <v>3</v>
      </c>
      <c r="H1114">
        <v>4270</v>
      </c>
      <c r="I1114">
        <v>12810</v>
      </c>
      <c r="J1114" s="2">
        <v>2620.79</v>
      </c>
      <c r="K1114" s="16">
        <f>Table13[[#This Row],[Profit]]/Table13[[#This Row],[Sales]]</f>
        <v>0.20458938329430132</v>
      </c>
      <c r="L1114" s="17" t="str">
        <f t="shared" si="119"/>
        <v>Medium</v>
      </c>
      <c r="M1114" s="17" t="str">
        <f t="shared" si="120"/>
        <v>Mar</v>
      </c>
      <c r="N1114" s="18">
        <f>YEAR(Table13[[#This Row],[Order_Date]])</f>
        <v>2023</v>
      </c>
      <c r="O1114" s="18">
        <f>Table13[[#This Row],[Price]]*0.7</f>
        <v>2989</v>
      </c>
      <c r="P1114" s="18">
        <f t="shared" si="121"/>
        <v>3843</v>
      </c>
      <c r="Q1114" s="18">
        <f t="shared" si="122"/>
        <v>0.05</v>
      </c>
      <c r="R1114" s="18">
        <f t="shared" si="123"/>
        <v>10189.210000000001</v>
      </c>
      <c r="S1114" s="18" t="str">
        <f>IF(Table13[[#This Row],[Quantity]]&lt;=3,"Small",IF(Table13[[#This Row],[Quantity]]&lt;=6,"Medium","Bulk"))</f>
        <v>Small</v>
      </c>
      <c r="T1114" s="18" t="str">
        <f t="shared" si="124"/>
        <v>Normal</v>
      </c>
      <c r="U1114" s="18" t="str">
        <f t="shared" si="125"/>
        <v>Medium Value</v>
      </c>
    </row>
    <row r="1115" spans="1:21" x14ac:dyDescent="0.3">
      <c r="A1115" t="s">
        <v>1123</v>
      </c>
      <c r="B1115" s="1">
        <v>44978</v>
      </c>
      <c r="C1115" t="s">
        <v>1210</v>
      </c>
      <c r="D1115" t="s">
        <v>1218</v>
      </c>
      <c r="E1115" t="s">
        <v>1219</v>
      </c>
      <c r="F1115" t="s">
        <v>1232</v>
      </c>
      <c r="G1115" s="6">
        <v>7</v>
      </c>
      <c r="H1115">
        <v>797</v>
      </c>
      <c r="I1115">
        <v>5579</v>
      </c>
      <c r="J1115" s="2">
        <v>529.91999999999996</v>
      </c>
      <c r="K1115" s="16">
        <f>Table13[[#This Row],[Profit]]/Table13[[#This Row],[Sales]]</f>
        <v>9.4984764294676463E-2</v>
      </c>
      <c r="L1115" s="17" t="str">
        <f t="shared" si="119"/>
        <v>Low</v>
      </c>
      <c r="M1115" s="17" t="str">
        <f t="shared" si="120"/>
        <v>Feb</v>
      </c>
      <c r="N1115" s="18">
        <f>YEAR(Table13[[#This Row],[Order_Date]])</f>
        <v>2023</v>
      </c>
      <c r="O1115" s="18">
        <f>Table13[[#This Row],[Price]]*0.7</f>
        <v>557.9</v>
      </c>
      <c r="P1115" s="18">
        <f t="shared" si="121"/>
        <v>1673.7000000000003</v>
      </c>
      <c r="Q1115" s="18">
        <f t="shared" si="122"/>
        <v>0.1</v>
      </c>
      <c r="R1115" s="18">
        <f t="shared" si="123"/>
        <v>5049.08</v>
      </c>
      <c r="S1115" s="18" t="str">
        <f>IF(Table13[[#This Row],[Quantity]]&lt;=3,"Small",IF(Table13[[#This Row],[Quantity]]&lt;=6,"Medium","Bulk"))</f>
        <v>Bulk</v>
      </c>
      <c r="T1115" s="18" t="str">
        <f t="shared" si="124"/>
        <v>Normal</v>
      </c>
      <c r="U1115" s="18" t="str">
        <f t="shared" si="125"/>
        <v>low Value</v>
      </c>
    </row>
    <row r="1116" spans="1:21" x14ac:dyDescent="0.3">
      <c r="A1116" t="s">
        <v>1124</v>
      </c>
      <c r="B1116" s="1">
        <v>44990</v>
      </c>
      <c r="C1116" t="s">
        <v>1210</v>
      </c>
      <c r="D1116" t="s">
        <v>1215</v>
      </c>
      <c r="E1116" t="s">
        <v>1220</v>
      </c>
      <c r="F1116" t="s">
        <v>1228</v>
      </c>
      <c r="G1116" s="6">
        <v>8</v>
      </c>
      <c r="H1116">
        <v>1731</v>
      </c>
      <c r="I1116">
        <v>13848</v>
      </c>
      <c r="J1116" s="2">
        <v>3125.24</v>
      </c>
      <c r="K1116" s="16">
        <f>Table13[[#This Row],[Profit]]/Table13[[#This Row],[Sales]]</f>
        <v>0.22568168688619294</v>
      </c>
      <c r="L1116" s="17" t="str">
        <f t="shared" si="119"/>
        <v>Medium</v>
      </c>
      <c r="M1116" s="17" t="str">
        <f t="shared" si="120"/>
        <v>Mar</v>
      </c>
      <c r="N1116" s="18">
        <f>YEAR(Table13[[#This Row],[Order_Date]])</f>
        <v>2023</v>
      </c>
      <c r="O1116" s="18">
        <f>Table13[[#This Row],[Price]]*0.7</f>
        <v>1211.6999999999998</v>
      </c>
      <c r="P1116" s="18">
        <f t="shared" si="121"/>
        <v>4154.4000000000015</v>
      </c>
      <c r="Q1116" s="18">
        <f t="shared" si="122"/>
        <v>0.1</v>
      </c>
      <c r="R1116" s="18">
        <f t="shared" si="123"/>
        <v>10722.76</v>
      </c>
      <c r="S1116" s="18" t="str">
        <f>IF(Table13[[#This Row],[Quantity]]&lt;=3,"Small",IF(Table13[[#This Row],[Quantity]]&lt;=6,"Medium","Bulk"))</f>
        <v>Bulk</v>
      </c>
      <c r="T1116" s="18" t="str">
        <f t="shared" si="124"/>
        <v>Normal</v>
      </c>
      <c r="U1116" s="18" t="str">
        <f t="shared" si="125"/>
        <v>Medium Value</v>
      </c>
    </row>
    <row r="1117" spans="1:21" x14ac:dyDescent="0.3">
      <c r="A1117" t="s">
        <v>1125</v>
      </c>
      <c r="B1117" s="1">
        <v>45092</v>
      </c>
      <c r="C1117" t="s">
        <v>1211</v>
      </c>
      <c r="D1117" t="s">
        <v>1215</v>
      </c>
      <c r="E1117" t="s">
        <v>1220</v>
      </c>
      <c r="F1117" t="s">
        <v>1224</v>
      </c>
      <c r="G1117" s="6">
        <v>1</v>
      </c>
      <c r="H1117">
        <v>1431</v>
      </c>
      <c r="I1117">
        <v>1431</v>
      </c>
      <c r="J1117" s="2">
        <v>330.65</v>
      </c>
      <c r="K1117" s="16">
        <f>Table13[[#This Row],[Profit]]/Table13[[#This Row],[Sales]]</f>
        <v>0.23106219426974142</v>
      </c>
      <c r="L1117" s="17" t="str">
        <f t="shared" si="119"/>
        <v>Low</v>
      </c>
      <c r="M1117" s="17" t="str">
        <f t="shared" si="120"/>
        <v>Jun</v>
      </c>
      <c r="N1117" s="18">
        <f>YEAR(Table13[[#This Row],[Order_Date]])</f>
        <v>2023</v>
      </c>
      <c r="O1117" s="18">
        <f>Table13[[#This Row],[Price]]*0.7</f>
        <v>1001.6999999999999</v>
      </c>
      <c r="P1117" s="18">
        <f t="shared" si="121"/>
        <v>429.30000000000007</v>
      </c>
      <c r="Q1117" s="18">
        <f t="shared" si="122"/>
        <v>0.05</v>
      </c>
      <c r="R1117" s="18">
        <f t="shared" si="123"/>
        <v>1100.3500000000001</v>
      </c>
      <c r="S1117" s="18" t="str">
        <f>IF(Table13[[#This Row],[Quantity]]&lt;=3,"Small",IF(Table13[[#This Row],[Quantity]]&lt;=6,"Medium","Bulk"))</f>
        <v>Small</v>
      </c>
      <c r="T1117" s="18" t="str">
        <f t="shared" si="124"/>
        <v>Normal</v>
      </c>
      <c r="U1117" s="18" t="str">
        <f t="shared" si="125"/>
        <v>low Value</v>
      </c>
    </row>
    <row r="1118" spans="1:21" x14ac:dyDescent="0.3">
      <c r="A1118" t="s">
        <v>1126</v>
      </c>
      <c r="B1118" s="1">
        <v>45258</v>
      </c>
      <c r="C1118" t="s">
        <v>1210</v>
      </c>
      <c r="D1118" t="s">
        <v>1218</v>
      </c>
      <c r="E1118" t="s">
        <v>1222</v>
      </c>
      <c r="F1118" t="s">
        <v>1234</v>
      </c>
      <c r="G1118" s="6">
        <v>4</v>
      </c>
      <c r="H1118">
        <v>1825</v>
      </c>
      <c r="I1118">
        <v>7300</v>
      </c>
      <c r="J1118" s="2">
        <v>842.47</v>
      </c>
      <c r="K1118" s="16">
        <f>Table13[[#This Row],[Profit]]/Table13[[#This Row],[Sales]]</f>
        <v>0.11540684931506849</v>
      </c>
      <c r="L1118" s="17" t="str">
        <f t="shared" si="119"/>
        <v>Low</v>
      </c>
      <c r="M1118" s="17" t="str">
        <f t="shared" si="120"/>
        <v>Nov</v>
      </c>
      <c r="N1118" s="18">
        <f>YEAR(Table13[[#This Row],[Order_Date]])</f>
        <v>2023</v>
      </c>
      <c r="O1118" s="18">
        <f>Table13[[#This Row],[Price]]*0.7</f>
        <v>1277.5</v>
      </c>
      <c r="P1118" s="18">
        <f t="shared" si="121"/>
        <v>2190</v>
      </c>
      <c r="Q1118" s="18">
        <f t="shared" si="122"/>
        <v>0.05</v>
      </c>
      <c r="R1118" s="18">
        <f t="shared" si="123"/>
        <v>6457.53</v>
      </c>
      <c r="S1118" s="18" t="str">
        <f>IF(Table13[[#This Row],[Quantity]]&lt;=3,"Small",IF(Table13[[#This Row],[Quantity]]&lt;=6,"Medium","Bulk"))</f>
        <v>Medium</v>
      </c>
      <c r="T1118" s="18" t="str">
        <f t="shared" si="124"/>
        <v>Normal</v>
      </c>
      <c r="U1118" s="18" t="str">
        <f t="shared" si="125"/>
        <v>low Value</v>
      </c>
    </row>
    <row r="1119" spans="1:21" x14ac:dyDescent="0.3">
      <c r="A1119" t="s">
        <v>1127</v>
      </c>
      <c r="B1119" s="1">
        <v>45022</v>
      </c>
      <c r="C1119" t="s">
        <v>1212</v>
      </c>
      <c r="D1119" t="s">
        <v>1217</v>
      </c>
      <c r="E1119" t="s">
        <v>1219</v>
      </c>
      <c r="F1119" t="s">
        <v>1232</v>
      </c>
      <c r="G1119" s="6">
        <v>7</v>
      </c>
      <c r="H1119">
        <v>4209</v>
      </c>
      <c r="I1119">
        <v>29463</v>
      </c>
      <c r="J1119" s="2">
        <v>6794.37</v>
      </c>
      <c r="K1119" s="16">
        <f>Table13[[#This Row],[Profit]]/Table13[[#This Row],[Sales]]</f>
        <v>0.23060686284492413</v>
      </c>
      <c r="L1119" s="17" t="str">
        <f t="shared" si="119"/>
        <v>High</v>
      </c>
      <c r="M1119" s="17" t="str">
        <f t="shared" si="120"/>
        <v>Apr</v>
      </c>
      <c r="N1119" s="18">
        <f>YEAR(Table13[[#This Row],[Order_Date]])</f>
        <v>2023</v>
      </c>
      <c r="O1119" s="18">
        <f>Table13[[#This Row],[Price]]*0.7</f>
        <v>2946.2999999999997</v>
      </c>
      <c r="P1119" s="18">
        <f t="shared" si="121"/>
        <v>8838.9000000000015</v>
      </c>
      <c r="Q1119" s="18">
        <f t="shared" si="122"/>
        <v>0.1</v>
      </c>
      <c r="R1119" s="18">
        <f t="shared" si="123"/>
        <v>22668.63</v>
      </c>
      <c r="S1119" s="18" t="str">
        <f>IF(Table13[[#This Row],[Quantity]]&lt;=3,"Small",IF(Table13[[#This Row],[Quantity]]&lt;=6,"Medium","Bulk"))</f>
        <v>Bulk</v>
      </c>
      <c r="T1119" s="18" t="str">
        <f t="shared" si="124"/>
        <v>High Demand</v>
      </c>
      <c r="U1119" s="18" t="str">
        <f t="shared" si="125"/>
        <v>High Value</v>
      </c>
    </row>
    <row r="1120" spans="1:21" x14ac:dyDescent="0.3">
      <c r="A1120" t="s">
        <v>1128</v>
      </c>
      <c r="B1120" s="1">
        <v>45089</v>
      </c>
      <c r="C1120" t="s">
        <v>1211</v>
      </c>
      <c r="D1120" t="s">
        <v>1218</v>
      </c>
      <c r="E1120" t="s">
        <v>1219</v>
      </c>
      <c r="F1120" t="s">
        <v>1223</v>
      </c>
      <c r="G1120" s="6">
        <v>6</v>
      </c>
      <c r="H1120">
        <v>435</v>
      </c>
      <c r="I1120">
        <v>2610</v>
      </c>
      <c r="J1120" s="2">
        <v>415.24</v>
      </c>
      <c r="K1120" s="16">
        <f>Table13[[#This Row],[Profit]]/Table13[[#This Row],[Sales]]</f>
        <v>0.15909578544061304</v>
      </c>
      <c r="L1120" s="17" t="str">
        <f t="shared" si="119"/>
        <v>Low</v>
      </c>
      <c r="M1120" s="17" t="str">
        <f t="shared" si="120"/>
        <v>Jun</v>
      </c>
      <c r="N1120" s="18">
        <f>YEAR(Table13[[#This Row],[Order_Date]])</f>
        <v>2023</v>
      </c>
      <c r="O1120" s="18">
        <f>Table13[[#This Row],[Price]]*0.7</f>
        <v>304.5</v>
      </c>
      <c r="P1120" s="18">
        <f t="shared" si="121"/>
        <v>783</v>
      </c>
      <c r="Q1120" s="18">
        <f t="shared" si="122"/>
        <v>0.1</v>
      </c>
      <c r="R1120" s="18">
        <f t="shared" si="123"/>
        <v>2194.7600000000002</v>
      </c>
      <c r="S1120" s="18" t="str">
        <f>IF(Table13[[#This Row],[Quantity]]&lt;=3,"Small",IF(Table13[[#This Row],[Quantity]]&lt;=6,"Medium","Bulk"))</f>
        <v>Medium</v>
      </c>
      <c r="T1120" s="18" t="str">
        <f t="shared" si="124"/>
        <v>Normal</v>
      </c>
      <c r="U1120" s="18" t="str">
        <f t="shared" si="125"/>
        <v>low Value</v>
      </c>
    </row>
    <row r="1121" spans="1:21" x14ac:dyDescent="0.3">
      <c r="A1121" t="s">
        <v>1129</v>
      </c>
      <c r="B1121" s="1">
        <v>45022</v>
      </c>
      <c r="C1121" t="s">
        <v>1211</v>
      </c>
      <c r="D1121" t="s">
        <v>1217</v>
      </c>
      <c r="E1121" t="s">
        <v>1220</v>
      </c>
      <c r="F1121" t="s">
        <v>1228</v>
      </c>
      <c r="G1121" s="6">
        <v>2</v>
      </c>
      <c r="H1121">
        <v>3927</v>
      </c>
      <c r="I1121">
        <v>7854</v>
      </c>
      <c r="J1121" s="2">
        <v>1652.2</v>
      </c>
      <c r="K1121" s="16">
        <f>Table13[[#This Row],[Profit]]/Table13[[#This Row],[Sales]]</f>
        <v>0.21036414565826331</v>
      </c>
      <c r="L1121" s="17" t="str">
        <f t="shared" si="119"/>
        <v>Low</v>
      </c>
      <c r="M1121" s="17" t="str">
        <f t="shared" si="120"/>
        <v>Apr</v>
      </c>
      <c r="N1121" s="18">
        <f>YEAR(Table13[[#This Row],[Order_Date]])</f>
        <v>2023</v>
      </c>
      <c r="O1121" s="18">
        <f>Table13[[#This Row],[Price]]*0.7</f>
        <v>2748.8999999999996</v>
      </c>
      <c r="P1121" s="18">
        <f t="shared" si="121"/>
        <v>2356.2000000000007</v>
      </c>
      <c r="Q1121" s="18">
        <f t="shared" si="122"/>
        <v>0.05</v>
      </c>
      <c r="R1121" s="18">
        <f t="shared" si="123"/>
        <v>6201.8</v>
      </c>
      <c r="S1121" s="18" t="str">
        <f>IF(Table13[[#This Row],[Quantity]]&lt;=3,"Small",IF(Table13[[#This Row],[Quantity]]&lt;=6,"Medium","Bulk"))</f>
        <v>Small</v>
      </c>
      <c r="T1121" s="18" t="str">
        <f t="shared" si="124"/>
        <v>Normal</v>
      </c>
      <c r="U1121" s="18" t="str">
        <f t="shared" si="125"/>
        <v>low Value</v>
      </c>
    </row>
    <row r="1122" spans="1:21" x14ac:dyDescent="0.3">
      <c r="A1122" t="s">
        <v>1130</v>
      </c>
      <c r="B1122" s="1">
        <v>44996</v>
      </c>
      <c r="C1122" t="s">
        <v>1210</v>
      </c>
      <c r="D1122" t="s">
        <v>1216</v>
      </c>
      <c r="E1122" t="s">
        <v>1221</v>
      </c>
      <c r="F1122" t="s">
        <v>1229</v>
      </c>
      <c r="G1122" s="6">
        <v>8</v>
      </c>
      <c r="H1122">
        <v>1043</v>
      </c>
      <c r="I1122">
        <v>8344</v>
      </c>
      <c r="J1122" s="2">
        <v>774.66</v>
      </c>
      <c r="K1122" s="16">
        <f>Table13[[#This Row],[Profit]]/Table13[[#This Row],[Sales]]</f>
        <v>9.2840364333652919E-2</v>
      </c>
      <c r="L1122" s="17" t="str">
        <f t="shared" si="119"/>
        <v>Low</v>
      </c>
      <c r="M1122" s="17" t="str">
        <f t="shared" si="120"/>
        <v>Mar</v>
      </c>
      <c r="N1122" s="18">
        <f>YEAR(Table13[[#This Row],[Order_Date]])</f>
        <v>2023</v>
      </c>
      <c r="O1122" s="18">
        <f>Table13[[#This Row],[Price]]*0.7</f>
        <v>730.09999999999991</v>
      </c>
      <c r="P1122" s="18">
        <f t="shared" si="121"/>
        <v>2503.2000000000007</v>
      </c>
      <c r="Q1122" s="18">
        <f t="shared" si="122"/>
        <v>0.1</v>
      </c>
      <c r="R1122" s="18">
        <f t="shared" si="123"/>
        <v>7569.34</v>
      </c>
      <c r="S1122" s="18" t="str">
        <f>IF(Table13[[#This Row],[Quantity]]&lt;=3,"Small",IF(Table13[[#This Row],[Quantity]]&lt;=6,"Medium","Bulk"))</f>
        <v>Bulk</v>
      </c>
      <c r="T1122" s="18" t="str">
        <f t="shared" si="124"/>
        <v>Normal</v>
      </c>
      <c r="U1122" s="18" t="str">
        <f t="shared" si="125"/>
        <v>low Value</v>
      </c>
    </row>
    <row r="1123" spans="1:21" x14ac:dyDescent="0.3">
      <c r="A1123" t="s">
        <v>1131</v>
      </c>
      <c r="B1123" s="1">
        <v>44972</v>
      </c>
      <c r="C1123" t="s">
        <v>1211</v>
      </c>
      <c r="D1123" t="s">
        <v>1214</v>
      </c>
      <c r="E1123" t="s">
        <v>1222</v>
      </c>
      <c r="F1123" t="s">
        <v>1227</v>
      </c>
      <c r="G1123" s="6">
        <v>9</v>
      </c>
      <c r="H1123">
        <v>3585</v>
      </c>
      <c r="I1123">
        <v>32265</v>
      </c>
      <c r="J1123" s="2">
        <v>3273.07</v>
      </c>
      <c r="K1123" s="16">
        <f>Table13[[#This Row],[Profit]]/Table13[[#This Row],[Sales]]</f>
        <v>0.10144335967766931</v>
      </c>
      <c r="L1123" s="17" t="str">
        <f t="shared" si="119"/>
        <v>High</v>
      </c>
      <c r="M1123" s="17" t="str">
        <f t="shared" si="120"/>
        <v>Feb</v>
      </c>
      <c r="N1123" s="18">
        <f>YEAR(Table13[[#This Row],[Order_Date]])</f>
        <v>2023</v>
      </c>
      <c r="O1123" s="18">
        <f>Table13[[#This Row],[Price]]*0.7</f>
        <v>2509.5</v>
      </c>
      <c r="P1123" s="18">
        <f t="shared" si="121"/>
        <v>9679.5</v>
      </c>
      <c r="Q1123" s="18">
        <f t="shared" si="122"/>
        <v>0.1</v>
      </c>
      <c r="R1123" s="18">
        <f t="shared" si="123"/>
        <v>28991.93</v>
      </c>
      <c r="S1123" s="18" t="str">
        <f>IF(Table13[[#This Row],[Quantity]]&lt;=3,"Small",IF(Table13[[#This Row],[Quantity]]&lt;=6,"Medium","Bulk"))</f>
        <v>Bulk</v>
      </c>
      <c r="T1123" s="18" t="str">
        <f t="shared" si="124"/>
        <v>Normal</v>
      </c>
      <c r="U1123" s="18" t="str">
        <f t="shared" si="125"/>
        <v>High Value</v>
      </c>
    </row>
    <row r="1124" spans="1:21" x14ac:dyDescent="0.3">
      <c r="A1124" t="s">
        <v>1132</v>
      </c>
      <c r="B1124" s="1">
        <v>45257</v>
      </c>
      <c r="C1124" t="s">
        <v>1211</v>
      </c>
      <c r="D1124" t="s">
        <v>1218</v>
      </c>
      <c r="E1124" t="s">
        <v>1221</v>
      </c>
      <c r="F1124" t="s">
        <v>1235</v>
      </c>
      <c r="G1124" s="6">
        <v>7</v>
      </c>
      <c r="H1124">
        <v>1516</v>
      </c>
      <c r="I1124">
        <v>10612</v>
      </c>
      <c r="J1124" s="2">
        <v>1821.69</v>
      </c>
      <c r="K1124" s="16">
        <f>Table13[[#This Row],[Profit]]/Table13[[#This Row],[Sales]]</f>
        <v>0.17166321145872598</v>
      </c>
      <c r="L1124" s="17" t="str">
        <f t="shared" si="119"/>
        <v>Medium</v>
      </c>
      <c r="M1124" s="17" t="str">
        <f t="shared" si="120"/>
        <v>Nov</v>
      </c>
      <c r="N1124" s="18">
        <f>YEAR(Table13[[#This Row],[Order_Date]])</f>
        <v>2023</v>
      </c>
      <c r="O1124" s="18">
        <f>Table13[[#This Row],[Price]]*0.7</f>
        <v>1061.2</v>
      </c>
      <c r="P1124" s="18">
        <f t="shared" si="121"/>
        <v>3183.5999999999995</v>
      </c>
      <c r="Q1124" s="18">
        <f t="shared" si="122"/>
        <v>0.1</v>
      </c>
      <c r="R1124" s="18">
        <f t="shared" si="123"/>
        <v>8790.31</v>
      </c>
      <c r="S1124" s="18" t="str">
        <f>IF(Table13[[#This Row],[Quantity]]&lt;=3,"Small",IF(Table13[[#This Row],[Quantity]]&lt;=6,"Medium","Bulk"))</f>
        <v>Bulk</v>
      </c>
      <c r="T1124" s="18" t="str">
        <f t="shared" si="124"/>
        <v>Normal</v>
      </c>
      <c r="U1124" s="18" t="str">
        <f t="shared" si="125"/>
        <v>Medium Value</v>
      </c>
    </row>
    <row r="1125" spans="1:21" x14ac:dyDescent="0.3">
      <c r="A1125" t="s">
        <v>1133</v>
      </c>
      <c r="B1125" s="1">
        <v>45039</v>
      </c>
      <c r="C1125" t="s">
        <v>1211</v>
      </c>
      <c r="D1125" t="s">
        <v>1218</v>
      </c>
      <c r="E1125" t="s">
        <v>1219</v>
      </c>
      <c r="F1125" t="s">
        <v>1238</v>
      </c>
      <c r="G1125" s="6">
        <v>6</v>
      </c>
      <c r="H1125">
        <v>2163</v>
      </c>
      <c r="I1125">
        <v>12978</v>
      </c>
      <c r="J1125" s="2">
        <v>2893.92</v>
      </c>
      <c r="K1125" s="16">
        <f>Table13[[#This Row],[Profit]]/Table13[[#This Row],[Sales]]</f>
        <v>0.22298659269533055</v>
      </c>
      <c r="L1125" s="17" t="str">
        <f t="shared" si="119"/>
        <v>Medium</v>
      </c>
      <c r="M1125" s="17" t="str">
        <f t="shared" si="120"/>
        <v>Apr</v>
      </c>
      <c r="N1125" s="18">
        <f>YEAR(Table13[[#This Row],[Order_Date]])</f>
        <v>2023</v>
      </c>
      <c r="O1125" s="18">
        <f>Table13[[#This Row],[Price]]*0.7</f>
        <v>1514.1</v>
      </c>
      <c r="P1125" s="18">
        <f t="shared" si="121"/>
        <v>3893.4000000000015</v>
      </c>
      <c r="Q1125" s="18">
        <f t="shared" si="122"/>
        <v>0.1</v>
      </c>
      <c r="R1125" s="18">
        <f t="shared" si="123"/>
        <v>10084.08</v>
      </c>
      <c r="S1125" s="18" t="str">
        <f>IF(Table13[[#This Row],[Quantity]]&lt;=3,"Small",IF(Table13[[#This Row],[Quantity]]&lt;=6,"Medium","Bulk"))</f>
        <v>Medium</v>
      </c>
      <c r="T1125" s="18" t="str">
        <f t="shared" si="124"/>
        <v>Normal</v>
      </c>
      <c r="U1125" s="18" t="str">
        <f t="shared" si="125"/>
        <v>Medium Value</v>
      </c>
    </row>
    <row r="1126" spans="1:21" x14ac:dyDescent="0.3">
      <c r="A1126" t="s">
        <v>1134</v>
      </c>
      <c r="B1126" s="1">
        <v>45054</v>
      </c>
      <c r="C1126" t="s">
        <v>1213</v>
      </c>
      <c r="D1126" t="s">
        <v>1218</v>
      </c>
      <c r="E1126" t="s">
        <v>1222</v>
      </c>
      <c r="F1126" t="s">
        <v>1227</v>
      </c>
      <c r="G1126" s="6">
        <v>6</v>
      </c>
      <c r="H1126">
        <v>1641</v>
      </c>
      <c r="I1126">
        <v>9846</v>
      </c>
      <c r="J1126" s="2">
        <v>2431.1999999999998</v>
      </c>
      <c r="K1126" s="16">
        <f>Table13[[#This Row],[Profit]]/Table13[[#This Row],[Sales]]</f>
        <v>0.24692260816575257</v>
      </c>
      <c r="L1126" s="17" t="str">
        <f t="shared" si="119"/>
        <v>Low</v>
      </c>
      <c r="M1126" s="17" t="str">
        <f t="shared" si="120"/>
        <v>May</v>
      </c>
      <c r="N1126" s="18">
        <f>YEAR(Table13[[#This Row],[Order_Date]])</f>
        <v>2023</v>
      </c>
      <c r="O1126" s="18">
        <f>Table13[[#This Row],[Price]]*0.7</f>
        <v>1148.6999999999998</v>
      </c>
      <c r="P1126" s="18">
        <f t="shared" si="121"/>
        <v>2953.8000000000011</v>
      </c>
      <c r="Q1126" s="18">
        <f t="shared" si="122"/>
        <v>0.1</v>
      </c>
      <c r="R1126" s="18">
        <f t="shared" si="123"/>
        <v>7414.8000000000011</v>
      </c>
      <c r="S1126" s="18" t="str">
        <f>IF(Table13[[#This Row],[Quantity]]&lt;=3,"Small",IF(Table13[[#This Row],[Quantity]]&lt;=6,"Medium","Bulk"))</f>
        <v>Medium</v>
      </c>
      <c r="T1126" s="18" t="str">
        <f t="shared" si="124"/>
        <v>Normal</v>
      </c>
      <c r="U1126" s="18" t="str">
        <f t="shared" si="125"/>
        <v>low Value</v>
      </c>
    </row>
    <row r="1127" spans="1:21" x14ac:dyDescent="0.3">
      <c r="A1127" t="s">
        <v>1135</v>
      </c>
      <c r="B1127" s="1">
        <v>45034</v>
      </c>
      <c r="C1127" t="s">
        <v>1210</v>
      </c>
      <c r="D1127" t="s">
        <v>1239</v>
      </c>
      <c r="E1127" t="s">
        <v>1219</v>
      </c>
      <c r="F1127" t="s">
        <v>1233</v>
      </c>
      <c r="G1127" s="6">
        <v>3</v>
      </c>
      <c r="H1127">
        <v>4807</v>
      </c>
      <c r="I1127">
        <v>14421</v>
      </c>
      <c r="J1127" s="2">
        <v>1289.4000000000001</v>
      </c>
      <c r="K1127" s="16">
        <f>Table13[[#This Row],[Profit]]/Table13[[#This Row],[Sales]]</f>
        <v>8.9411275223632208E-2</v>
      </c>
      <c r="L1127" s="17" t="str">
        <f t="shared" si="119"/>
        <v>Medium</v>
      </c>
      <c r="M1127" s="17" t="str">
        <f t="shared" si="120"/>
        <v>Apr</v>
      </c>
      <c r="N1127" s="18">
        <f>YEAR(Table13[[#This Row],[Order_Date]])</f>
        <v>2023</v>
      </c>
      <c r="O1127" s="18">
        <f>Table13[[#This Row],[Price]]*0.7</f>
        <v>3364.8999999999996</v>
      </c>
      <c r="P1127" s="18">
        <f t="shared" si="121"/>
        <v>4326.3000000000011</v>
      </c>
      <c r="Q1127" s="18">
        <f t="shared" si="122"/>
        <v>0.05</v>
      </c>
      <c r="R1127" s="18">
        <f t="shared" si="123"/>
        <v>13131.6</v>
      </c>
      <c r="S1127" s="18" t="str">
        <f>IF(Table13[[#This Row],[Quantity]]&lt;=3,"Small",IF(Table13[[#This Row],[Quantity]]&lt;=6,"Medium","Bulk"))</f>
        <v>Small</v>
      </c>
      <c r="T1127" s="18" t="str">
        <f t="shared" si="124"/>
        <v>Normal</v>
      </c>
      <c r="U1127" s="18" t="str">
        <f t="shared" si="125"/>
        <v>Medium Value</v>
      </c>
    </row>
    <row r="1128" spans="1:21" x14ac:dyDescent="0.3">
      <c r="A1128" t="s">
        <v>1136</v>
      </c>
      <c r="B1128" s="1">
        <v>45193</v>
      </c>
      <c r="C1128" t="s">
        <v>1211</v>
      </c>
      <c r="D1128" t="s">
        <v>1214</v>
      </c>
      <c r="E1128" t="s">
        <v>1220</v>
      </c>
      <c r="F1128" t="s">
        <v>1237</v>
      </c>
      <c r="G1128" s="6">
        <v>1</v>
      </c>
      <c r="H1128">
        <v>1926</v>
      </c>
      <c r="I1128">
        <v>1926</v>
      </c>
      <c r="J1128" s="2">
        <v>369.51</v>
      </c>
      <c r="K1128" s="16">
        <f>Table13[[#This Row],[Profit]]/Table13[[#This Row],[Sales]]</f>
        <v>0.19185358255451712</v>
      </c>
      <c r="L1128" s="17" t="str">
        <f t="shared" si="119"/>
        <v>Low</v>
      </c>
      <c r="M1128" s="17" t="str">
        <f t="shared" si="120"/>
        <v>Sep</v>
      </c>
      <c r="N1128" s="18">
        <f>YEAR(Table13[[#This Row],[Order_Date]])</f>
        <v>2023</v>
      </c>
      <c r="O1128" s="18">
        <f>Table13[[#This Row],[Price]]*0.7</f>
        <v>1348.1999999999998</v>
      </c>
      <c r="P1128" s="18">
        <f t="shared" si="121"/>
        <v>577.80000000000018</v>
      </c>
      <c r="Q1128" s="18">
        <f t="shared" si="122"/>
        <v>0.05</v>
      </c>
      <c r="R1128" s="18">
        <f t="shared" si="123"/>
        <v>1556.49</v>
      </c>
      <c r="S1128" s="18" t="str">
        <f>IF(Table13[[#This Row],[Quantity]]&lt;=3,"Small",IF(Table13[[#This Row],[Quantity]]&lt;=6,"Medium","Bulk"))</f>
        <v>Small</v>
      </c>
      <c r="T1128" s="18" t="str">
        <f t="shared" si="124"/>
        <v>Normal</v>
      </c>
      <c r="U1128" s="18" t="str">
        <f t="shared" si="125"/>
        <v>low Value</v>
      </c>
    </row>
    <row r="1129" spans="1:21" x14ac:dyDescent="0.3">
      <c r="A1129" t="s">
        <v>1137</v>
      </c>
      <c r="B1129" s="1">
        <v>45286</v>
      </c>
      <c r="C1129" t="s">
        <v>1211</v>
      </c>
      <c r="D1129" t="s">
        <v>1216</v>
      </c>
      <c r="E1129" t="s">
        <v>1222</v>
      </c>
      <c r="F1129" t="s">
        <v>1230</v>
      </c>
      <c r="G1129" s="6">
        <v>2</v>
      </c>
      <c r="H1129">
        <v>556</v>
      </c>
      <c r="I1129">
        <v>1112</v>
      </c>
      <c r="J1129" s="2">
        <v>206.54</v>
      </c>
      <c r="K1129" s="16">
        <f>Table13[[#This Row],[Profit]]/Table13[[#This Row],[Sales]]</f>
        <v>0.18573741007194244</v>
      </c>
      <c r="L1129" s="17" t="str">
        <f t="shared" si="119"/>
        <v>Low</v>
      </c>
      <c r="M1129" s="17" t="str">
        <f t="shared" si="120"/>
        <v>Dec</v>
      </c>
      <c r="N1129" s="18">
        <f>YEAR(Table13[[#This Row],[Order_Date]])</f>
        <v>2023</v>
      </c>
      <c r="O1129" s="18">
        <f>Table13[[#This Row],[Price]]*0.7</f>
        <v>389.2</v>
      </c>
      <c r="P1129" s="18">
        <f t="shared" si="121"/>
        <v>333.6</v>
      </c>
      <c r="Q1129" s="18">
        <f t="shared" si="122"/>
        <v>0.05</v>
      </c>
      <c r="R1129" s="18">
        <f t="shared" si="123"/>
        <v>905.46</v>
      </c>
      <c r="S1129" s="18" t="str">
        <f>IF(Table13[[#This Row],[Quantity]]&lt;=3,"Small",IF(Table13[[#This Row],[Quantity]]&lt;=6,"Medium","Bulk"))</f>
        <v>Small</v>
      </c>
      <c r="T1129" s="18" t="str">
        <f t="shared" si="124"/>
        <v>Normal</v>
      </c>
      <c r="U1129" s="18" t="str">
        <f t="shared" si="125"/>
        <v>low Value</v>
      </c>
    </row>
    <row r="1130" spans="1:21" x14ac:dyDescent="0.3">
      <c r="A1130" t="s">
        <v>1138</v>
      </c>
      <c r="B1130" s="1">
        <v>45246</v>
      </c>
      <c r="C1130" t="s">
        <v>1210</v>
      </c>
      <c r="D1130" t="s">
        <v>1217</v>
      </c>
      <c r="E1130" t="s">
        <v>1222</v>
      </c>
      <c r="F1130" t="s">
        <v>1236</v>
      </c>
      <c r="G1130" s="6">
        <v>3</v>
      </c>
      <c r="H1130">
        <v>4618</v>
      </c>
      <c r="I1130">
        <v>13854</v>
      </c>
      <c r="J1130" s="2">
        <v>2244.6799999999998</v>
      </c>
      <c r="K1130" s="16">
        <f>Table13[[#This Row],[Profit]]/Table13[[#This Row],[Sales]]</f>
        <v>0.16202396419806553</v>
      </c>
      <c r="L1130" s="17" t="str">
        <f t="shared" si="119"/>
        <v>Medium</v>
      </c>
      <c r="M1130" s="17" t="str">
        <f t="shared" si="120"/>
        <v>Nov</v>
      </c>
      <c r="N1130" s="18">
        <f>YEAR(Table13[[#This Row],[Order_Date]])</f>
        <v>2023</v>
      </c>
      <c r="O1130" s="18">
        <f>Table13[[#This Row],[Price]]*0.7</f>
        <v>3232.6</v>
      </c>
      <c r="P1130" s="18">
        <f t="shared" si="121"/>
        <v>4156.2000000000007</v>
      </c>
      <c r="Q1130" s="18">
        <f t="shared" si="122"/>
        <v>0.05</v>
      </c>
      <c r="R1130" s="18">
        <f t="shared" si="123"/>
        <v>11609.32</v>
      </c>
      <c r="S1130" s="18" t="str">
        <f>IF(Table13[[#This Row],[Quantity]]&lt;=3,"Small",IF(Table13[[#This Row],[Quantity]]&lt;=6,"Medium","Bulk"))</f>
        <v>Small</v>
      </c>
      <c r="T1130" s="18" t="str">
        <f t="shared" si="124"/>
        <v>Normal</v>
      </c>
      <c r="U1130" s="18" t="str">
        <f t="shared" si="125"/>
        <v>Medium Value</v>
      </c>
    </row>
    <row r="1131" spans="1:21" x14ac:dyDescent="0.3">
      <c r="A1131" t="s">
        <v>1139</v>
      </c>
      <c r="B1131" s="1">
        <v>45163</v>
      </c>
      <c r="C1131" t="s">
        <v>1211</v>
      </c>
      <c r="D1131" t="s">
        <v>1218</v>
      </c>
      <c r="E1131" t="s">
        <v>1221</v>
      </c>
      <c r="F1131" t="s">
        <v>1226</v>
      </c>
      <c r="G1131" s="6">
        <v>7</v>
      </c>
      <c r="H1131">
        <v>1735</v>
      </c>
      <c r="I1131">
        <v>12145</v>
      </c>
      <c r="J1131" s="2">
        <v>2447.1999999999998</v>
      </c>
      <c r="K1131" s="16">
        <f>Table13[[#This Row],[Profit]]/Table13[[#This Row],[Sales]]</f>
        <v>0.20149855907780978</v>
      </c>
      <c r="L1131" s="17" t="str">
        <f t="shared" si="119"/>
        <v>Medium</v>
      </c>
      <c r="M1131" s="17" t="str">
        <f t="shared" si="120"/>
        <v>Aug</v>
      </c>
      <c r="N1131" s="18">
        <f>YEAR(Table13[[#This Row],[Order_Date]])</f>
        <v>2023</v>
      </c>
      <c r="O1131" s="18">
        <f>Table13[[#This Row],[Price]]*0.7</f>
        <v>1214.5</v>
      </c>
      <c r="P1131" s="18">
        <f t="shared" si="121"/>
        <v>3643.5</v>
      </c>
      <c r="Q1131" s="18">
        <f t="shared" si="122"/>
        <v>0.1</v>
      </c>
      <c r="R1131" s="18">
        <f t="shared" si="123"/>
        <v>9697.8000000000011</v>
      </c>
      <c r="S1131" s="18" t="str">
        <f>IF(Table13[[#This Row],[Quantity]]&lt;=3,"Small",IF(Table13[[#This Row],[Quantity]]&lt;=6,"Medium","Bulk"))</f>
        <v>Bulk</v>
      </c>
      <c r="T1131" s="18" t="str">
        <f t="shared" si="124"/>
        <v>Normal</v>
      </c>
      <c r="U1131" s="18" t="str">
        <f t="shared" si="125"/>
        <v>Medium Value</v>
      </c>
    </row>
    <row r="1132" spans="1:21" x14ac:dyDescent="0.3">
      <c r="A1132" t="s">
        <v>1140</v>
      </c>
      <c r="B1132" s="1">
        <v>45237</v>
      </c>
      <c r="C1132" t="s">
        <v>1212</v>
      </c>
      <c r="D1132" t="s">
        <v>1217</v>
      </c>
      <c r="E1132" t="s">
        <v>1222</v>
      </c>
      <c r="F1132" t="s">
        <v>1236</v>
      </c>
      <c r="G1132" s="6">
        <v>5</v>
      </c>
      <c r="H1132">
        <v>492</v>
      </c>
      <c r="I1132">
        <v>2460</v>
      </c>
      <c r="J1132" s="2">
        <v>569.54999999999995</v>
      </c>
      <c r="K1132" s="16">
        <f>Table13[[#This Row],[Profit]]/Table13[[#This Row],[Sales]]</f>
        <v>0.23152439024390242</v>
      </c>
      <c r="L1132" s="17" t="str">
        <f t="shared" si="119"/>
        <v>Low</v>
      </c>
      <c r="M1132" s="17" t="str">
        <f t="shared" si="120"/>
        <v>Nov</v>
      </c>
      <c r="N1132" s="18">
        <f>YEAR(Table13[[#This Row],[Order_Date]])</f>
        <v>2023</v>
      </c>
      <c r="O1132" s="18">
        <f>Table13[[#This Row],[Price]]*0.7</f>
        <v>344.4</v>
      </c>
      <c r="P1132" s="18">
        <f t="shared" si="121"/>
        <v>738</v>
      </c>
      <c r="Q1132" s="18">
        <f t="shared" si="122"/>
        <v>0.05</v>
      </c>
      <c r="R1132" s="18">
        <f t="shared" si="123"/>
        <v>1890.4500000000003</v>
      </c>
      <c r="S1132" s="18" t="str">
        <f>IF(Table13[[#This Row],[Quantity]]&lt;=3,"Small",IF(Table13[[#This Row],[Quantity]]&lt;=6,"Medium","Bulk"))</f>
        <v>Medium</v>
      </c>
      <c r="T1132" s="18" t="str">
        <f t="shared" si="124"/>
        <v>High Demand</v>
      </c>
      <c r="U1132" s="18" t="str">
        <f t="shared" si="125"/>
        <v>low Value</v>
      </c>
    </row>
    <row r="1133" spans="1:21" x14ac:dyDescent="0.3">
      <c r="A1133" t="s">
        <v>1141</v>
      </c>
      <c r="B1133" s="1">
        <v>45206</v>
      </c>
      <c r="C1133" t="s">
        <v>1210</v>
      </c>
      <c r="D1133" t="s">
        <v>1218</v>
      </c>
      <c r="E1133" t="s">
        <v>1222</v>
      </c>
      <c r="F1133" t="s">
        <v>1234</v>
      </c>
      <c r="G1133" s="6">
        <v>7</v>
      </c>
      <c r="H1133">
        <v>2472</v>
      </c>
      <c r="I1133">
        <v>17304</v>
      </c>
      <c r="J1133" s="2">
        <v>4277.13</v>
      </c>
      <c r="K1133" s="16">
        <f>Table13[[#This Row],[Profit]]/Table13[[#This Row],[Sales]]</f>
        <v>0.24717579750346741</v>
      </c>
      <c r="L1133" s="17" t="str">
        <f t="shared" si="119"/>
        <v>Medium</v>
      </c>
      <c r="M1133" s="17" t="str">
        <f t="shared" si="120"/>
        <v>Oct</v>
      </c>
      <c r="N1133" s="18">
        <f>YEAR(Table13[[#This Row],[Order_Date]])</f>
        <v>2023</v>
      </c>
      <c r="O1133" s="18">
        <f>Table13[[#This Row],[Price]]*0.7</f>
        <v>1730.3999999999999</v>
      </c>
      <c r="P1133" s="18">
        <f t="shared" si="121"/>
        <v>5191.2000000000007</v>
      </c>
      <c r="Q1133" s="18">
        <f t="shared" si="122"/>
        <v>0.1</v>
      </c>
      <c r="R1133" s="18">
        <f t="shared" si="123"/>
        <v>13026.87</v>
      </c>
      <c r="S1133" s="18" t="str">
        <f>IF(Table13[[#This Row],[Quantity]]&lt;=3,"Small",IF(Table13[[#This Row],[Quantity]]&lt;=6,"Medium","Bulk"))</f>
        <v>Bulk</v>
      </c>
      <c r="T1133" s="18" t="str">
        <f t="shared" si="124"/>
        <v>Normal</v>
      </c>
      <c r="U1133" s="18" t="str">
        <f t="shared" si="125"/>
        <v>Medium Value</v>
      </c>
    </row>
    <row r="1134" spans="1:21" x14ac:dyDescent="0.3">
      <c r="A1134" t="s">
        <v>1142</v>
      </c>
      <c r="B1134" s="1">
        <v>45067</v>
      </c>
      <c r="C1134" t="s">
        <v>1210</v>
      </c>
      <c r="D1134" t="s">
        <v>1214</v>
      </c>
      <c r="E1134" t="s">
        <v>1221</v>
      </c>
      <c r="F1134" t="s">
        <v>1235</v>
      </c>
      <c r="G1134" s="6">
        <v>4</v>
      </c>
      <c r="H1134">
        <v>1963</v>
      </c>
      <c r="I1134">
        <v>7852</v>
      </c>
      <c r="J1134" s="2">
        <v>1375.16</v>
      </c>
      <c r="K1134" s="16">
        <f>Table13[[#This Row],[Profit]]/Table13[[#This Row],[Sales]]</f>
        <v>0.17513499745287825</v>
      </c>
      <c r="L1134" s="17" t="str">
        <f t="shared" si="119"/>
        <v>Low</v>
      </c>
      <c r="M1134" s="17" t="str">
        <f t="shared" si="120"/>
        <v>May</v>
      </c>
      <c r="N1134" s="18">
        <f>YEAR(Table13[[#This Row],[Order_Date]])</f>
        <v>2023</v>
      </c>
      <c r="O1134" s="18">
        <f>Table13[[#This Row],[Price]]*0.7</f>
        <v>1374.1</v>
      </c>
      <c r="P1134" s="18">
        <f t="shared" si="121"/>
        <v>2355.6000000000004</v>
      </c>
      <c r="Q1134" s="18">
        <f t="shared" si="122"/>
        <v>0.05</v>
      </c>
      <c r="R1134" s="18">
        <f t="shared" si="123"/>
        <v>6476.84</v>
      </c>
      <c r="S1134" s="18" t="str">
        <f>IF(Table13[[#This Row],[Quantity]]&lt;=3,"Small",IF(Table13[[#This Row],[Quantity]]&lt;=6,"Medium","Bulk"))</f>
        <v>Medium</v>
      </c>
      <c r="T1134" s="18" t="str">
        <f t="shared" si="124"/>
        <v>Normal</v>
      </c>
      <c r="U1134" s="18" t="str">
        <f t="shared" si="125"/>
        <v>low Value</v>
      </c>
    </row>
    <row r="1135" spans="1:21" x14ac:dyDescent="0.3">
      <c r="A1135" t="s">
        <v>1143</v>
      </c>
      <c r="B1135" s="1">
        <v>45216</v>
      </c>
      <c r="C1135" t="s">
        <v>1210</v>
      </c>
      <c r="D1135" t="s">
        <v>1214</v>
      </c>
      <c r="E1135" t="s">
        <v>1220</v>
      </c>
      <c r="F1135" t="s">
        <v>1228</v>
      </c>
      <c r="G1135" s="6">
        <v>7</v>
      </c>
      <c r="H1135">
        <v>4639</v>
      </c>
      <c r="I1135">
        <v>32473</v>
      </c>
      <c r="J1135" s="2">
        <v>6919.49</v>
      </c>
      <c r="K1135" s="16">
        <f>Table13[[#This Row],[Profit]]/Table13[[#This Row],[Sales]]</f>
        <v>0.21308440858559419</v>
      </c>
      <c r="L1135" s="17" t="str">
        <f t="shared" si="119"/>
        <v>High</v>
      </c>
      <c r="M1135" s="17" t="str">
        <f t="shared" si="120"/>
        <v>Oct</v>
      </c>
      <c r="N1135" s="18">
        <f>YEAR(Table13[[#This Row],[Order_Date]])</f>
        <v>2023</v>
      </c>
      <c r="O1135" s="18">
        <f>Table13[[#This Row],[Price]]*0.7</f>
        <v>3247.2999999999997</v>
      </c>
      <c r="P1135" s="18">
        <f t="shared" si="121"/>
        <v>9741.9000000000015</v>
      </c>
      <c r="Q1135" s="18">
        <f t="shared" si="122"/>
        <v>0.1</v>
      </c>
      <c r="R1135" s="18">
        <f t="shared" si="123"/>
        <v>25553.51</v>
      </c>
      <c r="S1135" s="18" t="str">
        <f>IF(Table13[[#This Row],[Quantity]]&lt;=3,"Small",IF(Table13[[#This Row],[Quantity]]&lt;=6,"Medium","Bulk"))</f>
        <v>Bulk</v>
      </c>
      <c r="T1135" s="18" t="str">
        <f t="shared" si="124"/>
        <v>Normal</v>
      </c>
      <c r="U1135" s="18" t="str">
        <f t="shared" si="125"/>
        <v>High Value</v>
      </c>
    </row>
    <row r="1136" spans="1:21" x14ac:dyDescent="0.3">
      <c r="A1136" t="s">
        <v>1144</v>
      </c>
      <c r="B1136" s="1">
        <v>45001</v>
      </c>
      <c r="C1136" t="s">
        <v>1211</v>
      </c>
      <c r="D1136" t="s">
        <v>1216</v>
      </c>
      <c r="E1136" t="s">
        <v>1219</v>
      </c>
      <c r="F1136" t="s">
        <v>1232</v>
      </c>
      <c r="G1136" s="6">
        <v>2</v>
      </c>
      <c r="H1136">
        <v>1582</v>
      </c>
      <c r="I1136">
        <v>3164</v>
      </c>
      <c r="J1136" s="2">
        <v>780.65</v>
      </c>
      <c r="K1136" s="16">
        <f>Table13[[#This Row],[Profit]]/Table13[[#This Row],[Sales]]</f>
        <v>0.24672882427307205</v>
      </c>
      <c r="L1136" s="17" t="str">
        <f t="shared" si="119"/>
        <v>Low</v>
      </c>
      <c r="M1136" s="17" t="str">
        <f t="shared" si="120"/>
        <v>Mar</v>
      </c>
      <c r="N1136" s="18">
        <f>YEAR(Table13[[#This Row],[Order_Date]])</f>
        <v>2023</v>
      </c>
      <c r="O1136" s="18">
        <f>Table13[[#This Row],[Price]]*0.7</f>
        <v>1107.3999999999999</v>
      </c>
      <c r="P1136" s="18">
        <f t="shared" si="121"/>
        <v>949.20000000000027</v>
      </c>
      <c r="Q1136" s="18">
        <f t="shared" si="122"/>
        <v>0.05</v>
      </c>
      <c r="R1136" s="18">
        <f t="shared" si="123"/>
        <v>2383.35</v>
      </c>
      <c r="S1136" s="18" t="str">
        <f>IF(Table13[[#This Row],[Quantity]]&lt;=3,"Small",IF(Table13[[#This Row],[Quantity]]&lt;=6,"Medium","Bulk"))</f>
        <v>Small</v>
      </c>
      <c r="T1136" s="18" t="str">
        <f t="shared" si="124"/>
        <v>Normal</v>
      </c>
      <c r="U1136" s="18" t="str">
        <f t="shared" si="125"/>
        <v>low Value</v>
      </c>
    </row>
    <row r="1137" spans="1:21" x14ac:dyDescent="0.3">
      <c r="A1137" t="s">
        <v>1145</v>
      </c>
      <c r="B1137" s="1">
        <v>45003</v>
      </c>
      <c r="C1137" t="s">
        <v>1212</v>
      </c>
      <c r="D1137" t="s">
        <v>1218</v>
      </c>
      <c r="E1137" t="s">
        <v>1219</v>
      </c>
      <c r="F1137" t="s">
        <v>1232</v>
      </c>
      <c r="G1137" s="6">
        <v>2</v>
      </c>
      <c r="H1137">
        <v>1220</v>
      </c>
      <c r="I1137">
        <v>2440</v>
      </c>
      <c r="J1137" s="2">
        <v>272.73</v>
      </c>
      <c r="K1137" s="16">
        <f>Table13[[#This Row],[Profit]]/Table13[[#This Row],[Sales]]</f>
        <v>0.11177459016393443</v>
      </c>
      <c r="L1137" s="17" t="str">
        <f t="shared" si="119"/>
        <v>Low</v>
      </c>
      <c r="M1137" s="17" t="str">
        <f t="shared" si="120"/>
        <v>Mar</v>
      </c>
      <c r="N1137" s="18">
        <f>YEAR(Table13[[#This Row],[Order_Date]])</f>
        <v>2023</v>
      </c>
      <c r="O1137" s="18">
        <f>Table13[[#This Row],[Price]]*0.7</f>
        <v>854</v>
      </c>
      <c r="P1137" s="18">
        <f t="shared" si="121"/>
        <v>732</v>
      </c>
      <c r="Q1137" s="18">
        <f t="shared" si="122"/>
        <v>0.05</v>
      </c>
      <c r="R1137" s="18">
        <f t="shared" si="123"/>
        <v>2167.27</v>
      </c>
      <c r="S1137" s="18" t="str">
        <f>IF(Table13[[#This Row],[Quantity]]&lt;=3,"Small",IF(Table13[[#This Row],[Quantity]]&lt;=6,"Medium","Bulk"))</f>
        <v>Small</v>
      </c>
      <c r="T1137" s="18" t="str">
        <f t="shared" si="124"/>
        <v>High Demand</v>
      </c>
      <c r="U1137" s="18" t="str">
        <f t="shared" si="125"/>
        <v>low Value</v>
      </c>
    </row>
    <row r="1138" spans="1:21" x14ac:dyDescent="0.3">
      <c r="A1138" t="s">
        <v>1146</v>
      </c>
      <c r="B1138" s="1">
        <v>45155</v>
      </c>
      <c r="C1138" t="s">
        <v>1211</v>
      </c>
      <c r="D1138" t="s">
        <v>1218</v>
      </c>
      <c r="E1138" t="s">
        <v>1222</v>
      </c>
      <c r="F1138" t="s">
        <v>1236</v>
      </c>
      <c r="G1138" s="6">
        <v>3</v>
      </c>
      <c r="H1138">
        <v>3885</v>
      </c>
      <c r="I1138">
        <v>11655</v>
      </c>
      <c r="J1138" s="2">
        <v>1644.63</v>
      </c>
      <c r="K1138" s="16">
        <f>Table13[[#This Row],[Profit]]/Table13[[#This Row],[Sales]]</f>
        <v>0.14110939510939513</v>
      </c>
      <c r="L1138" s="17" t="str">
        <f t="shared" si="119"/>
        <v>Medium</v>
      </c>
      <c r="M1138" s="17" t="str">
        <f t="shared" si="120"/>
        <v>Aug</v>
      </c>
      <c r="N1138" s="18">
        <f>YEAR(Table13[[#This Row],[Order_Date]])</f>
        <v>2023</v>
      </c>
      <c r="O1138" s="18">
        <f>Table13[[#This Row],[Price]]*0.7</f>
        <v>2719.5</v>
      </c>
      <c r="P1138" s="18">
        <f t="shared" si="121"/>
        <v>3496.5</v>
      </c>
      <c r="Q1138" s="18">
        <f t="shared" si="122"/>
        <v>0.05</v>
      </c>
      <c r="R1138" s="18">
        <f t="shared" si="123"/>
        <v>10010.369999999999</v>
      </c>
      <c r="S1138" s="18" t="str">
        <f>IF(Table13[[#This Row],[Quantity]]&lt;=3,"Small",IF(Table13[[#This Row],[Quantity]]&lt;=6,"Medium","Bulk"))</f>
        <v>Small</v>
      </c>
      <c r="T1138" s="18" t="str">
        <f t="shared" si="124"/>
        <v>Normal</v>
      </c>
      <c r="U1138" s="18" t="str">
        <f t="shared" si="125"/>
        <v>Medium Value</v>
      </c>
    </row>
    <row r="1139" spans="1:21" x14ac:dyDescent="0.3">
      <c r="A1139" t="s">
        <v>1147</v>
      </c>
      <c r="B1139" s="1">
        <v>44997</v>
      </c>
      <c r="C1139" t="s">
        <v>1212</v>
      </c>
      <c r="D1139" t="s">
        <v>1214</v>
      </c>
      <c r="E1139" t="s">
        <v>1220</v>
      </c>
      <c r="F1139" t="s">
        <v>1237</v>
      </c>
      <c r="G1139" s="6">
        <v>8</v>
      </c>
      <c r="H1139">
        <v>4237</v>
      </c>
      <c r="I1139">
        <v>33896</v>
      </c>
      <c r="J1139" s="2">
        <v>2764.11</v>
      </c>
      <c r="K1139" s="16">
        <f>Table13[[#This Row],[Profit]]/Table13[[#This Row],[Sales]]</f>
        <v>8.1546790181732359E-2</v>
      </c>
      <c r="L1139" s="17" t="str">
        <f t="shared" si="119"/>
        <v>High</v>
      </c>
      <c r="M1139" s="17" t="str">
        <f t="shared" si="120"/>
        <v>Mar</v>
      </c>
      <c r="N1139" s="18">
        <f>YEAR(Table13[[#This Row],[Order_Date]])</f>
        <v>2023</v>
      </c>
      <c r="O1139" s="18">
        <f>Table13[[#This Row],[Price]]*0.7</f>
        <v>2965.8999999999996</v>
      </c>
      <c r="P1139" s="18">
        <f t="shared" si="121"/>
        <v>10168.800000000003</v>
      </c>
      <c r="Q1139" s="18">
        <f t="shared" si="122"/>
        <v>0.1</v>
      </c>
      <c r="R1139" s="18">
        <f t="shared" si="123"/>
        <v>31131.89</v>
      </c>
      <c r="S1139" s="18" t="str">
        <f>IF(Table13[[#This Row],[Quantity]]&lt;=3,"Small",IF(Table13[[#This Row],[Quantity]]&lt;=6,"Medium","Bulk"))</f>
        <v>Bulk</v>
      </c>
      <c r="T1139" s="18" t="str">
        <f t="shared" si="124"/>
        <v>High Demand</v>
      </c>
      <c r="U1139" s="18" t="str">
        <f t="shared" si="125"/>
        <v>High Value</v>
      </c>
    </row>
    <row r="1140" spans="1:21" x14ac:dyDescent="0.3">
      <c r="A1140" t="s">
        <v>1148</v>
      </c>
      <c r="B1140" s="1">
        <v>45112</v>
      </c>
      <c r="C1140" t="s">
        <v>1211</v>
      </c>
      <c r="D1140" t="s">
        <v>1218</v>
      </c>
      <c r="E1140" t="s">
        <v>1220</v>
      </c>
      <c r="F1140" t="s">
        <v>1237</v>
      </c>
      <c r="G1140" s="6">
        <v>7</v>
      </c>
      <c r="H1140">
        <v>3977</v>
      </c>
      <c r="I1140">
        <v>27839</v>
      </c>
      <c r="J1140" s="2">
        <v>5099.7</v>
      </c>
      <c r="K1140" s="16">
        <f>Table13[[#This Row],[Profit]]/Table13[[#This Row],[Sales]]</f>
        <v>0.18318545924781782</v>
      </c>
      <c r="L1140" s="17" t="str">
        <f t="shared" si="119"/>
        <v>High</v>
      </c>
      <c r="M1140" s="17" t="str">
        <f t="shared" si="120"/>
        <v>Jul</v>
      </c>
      <c r="N1140" s="18">
        <f>YEAR(Table13[[#This Row],[Order_Date]])</f>
        <v>2023</v>
      </c>
      <c r="O1140" s="18">
        <f>Table13[[#This Row],[Price]]*0.7</f>
        <v>2783.8999999999996</v>
      </c>
      <c r="P1140" s="18">
        <f t="shared" si="121"/>
        <v>8351.7000000000044</v>
      </c>
      <c r="Q1140" s="18">
        <f t="shared" si="122"/>
        <v>0.1</v>
      </c>
      <c r="R1140" s="18">
        <f t="shared" si="123"/>
        <v>22739.3</v>
      </c>
      <c r="S1140" s="18" t="str">
        <f>IF(Table13[[#This Row],[Quantity]]&lt;=3,"Small",IF(Table13[[#This Row],[Quantity]]&lt;=6,"Medium","Bulk"))</f>
        <v>Bulk</v>
      </c>
      <c r="T1140" s="18" t="str">
        <f t="shared" si="124"/>
        <v>Normal</v>
      </c>
      <c r="U1140" s="18" t="str">
        <f t="shared" si="125"/>
        <v>High Value</v>
      </c>
    </row>
    <row r="1141" spans="1:21" x14ac:dyDescent="0.3">
      <c r="A1141" t="s">
        <v>1149</v>
      </c>
      <c r="B1141" s="1">
        <v>45041</v>
      </c>
      <c r="C1141" t="s">
        <v>1211</v>
      </c>
      <c r="D1141" t="s">
        <v>1217</v>
      </c>
      <c r="E1141" t="s">
        <v>1222</v>
      </c>
      <c r="F1141" t="s">
        <v>1239</v>
      </c>
      <c r="G1141" s="6">
        <v>7</v>
      </c>
      <c r="H1141">
        <v>4008</v>
      </c>
      <c r="I1141">
        <v>28056</v>
      </c>
      <c r="J1141" s="2">
        <v>4911.29</v>
      </c>
      <c r="K1141" s="16">
        <f>Table13[[#This Row],[Profit]]/Table13[[#This Row],[Sales]]</f>
        <v>0.17505310806957514</v>
      </c>
      <c r="L1141" s="17" t="str">
        <f t="shared" si="119"/>
        <v>High</v>
      </c>
      <c r="M1141" s="17" t="str">
        <f t="shared" si="120"/>
        <v>Apr</v>
      </c>
      <c r="N1141" s="18">
        <f>YEAR(Table13[[#This Row],[Order_Date]])</f>
        <v>2023</v>
      </c>
      <c r="O1141" s="18">
        <f>Table13[[#This Row],[Price]]*0.7</f>
        <v>2805.6</v>
      </c>
      <c r="P1141" s="18">
        <f t="shared" si="121"/>
        <v>8416.7999999999993</v>
      </c>
      <c r="Q1141" s="18">
        <f t="shared" si="122"/>
        <v>0.1</v>
      </c>
      <c r="R1141" s="18">
        <f t="shared" si="123"/>
        <v>23144.71</v>
      </c>
      <c r="S1141" s="18" t="str">
        <f>IF(Table13[[#This Row],[Quantity]]&lt;=3,"Small",IF(Table13[[#This Row],[Quantity]]&lt;=6,"Medium","Bulk"))</f>
        <v>Bulk</v>
      </c>
      <c r="T1141" s="18" t="str">
        <f t="shared" si="124"/>
        <v>Normal</v>
      </c>
      <c r="U1141" s="18" t="str">
        <f t="shared" si="125"/>
        <v>High Value</v>
      </c>
    </row>
    <row r="1142" spans="1:21" x14ac:dyDescent="0.3">
      <c r="A1142" t="s">
        <v>1150</v>
      </c>
      <c r="B1142" s="1">
        <v>44978</v>
      </c>
      <c r="C1142" t="s">
        <v>1210</v>
      </c>
      <c r="D1142" t="s">
        <v>1217</v>
      </c>
      <c r="E1142" t="s">
        <v>1220</v>
      </c>
      <c r="F1142" t="s">
        <v>1224</v>
      </c>
      <c r="G1142" s="6">
        <v>1</v>
      </c>
      <c r="H1142">
        <v>3116</v>
      </c>
      <c r="I1142">
        <v>3116</v>
      </c>
      <c r="J1142" s="2">
        <v>559.51</v>
      </c>
      <c r="K1142" s="16">
        <f>Table13[[#This Row],[Profit]]/Table13[[#This Row],[Sales]]</f>
        <v>0.17956033376123234</v>
      </c>
      <c r="L1142" s="17" t="str">
        <f t="shared" si="119"/>
        <v>Low</v>
      </c>
      <c r="M1142" s="17" t="str">
        <f t="shared" si="120"/>
        <v>Feb</v>
      </c>
      <c r="N1142" s="18">
        <f>YEAR(Table13[[#This Row],[Order_Date]])</f>
        <v>2023</v>
      </c>
      <c r="O1142" s="18">
        <f>Table13[[#This Row],[Price]]*0.7</f>
        <v>2181.1999999999998</v>
      </c>
      <c r="P1142" s="18">
        <f t="shared" si="121"/>
        <v>934.80000000000018</v>
      </c>
      <c r="Q1142" s="18">
        <f t="shared" si="122"/>
        <v>0.05</v>
      </c>
      <c r="R1142" s="18">
        <f t="shared" si="123"/>
        <v>2556.4899999999998</v>
      </c>
      <c r="S1142" s="18" t="str">
        <f>IF(Table13[[#This Row],[Quantity]]&lt;=3,"Small",IF(Table13[[#This Row],[Quantity]]&lt;=6,"Medium","Bulk"))</f>
        <v>Small</v>
      </c>
      <c r="T1142" s="18" t="str">
        <f t="shared" si="124"/>
        <v>Normal</v>
      </c>
      <c r="U1142" s="18" t="str">
        <f t="shared" si="125"/>
        <v>low Value</v>
      </c>
    </row>
    <row r="1143" spans="1:21" x14ac:dyDescent="0.3">
      <c r="A1143" t="s">
        <v>1151</v>
      </c>
      <c r="B1143" s="1">
        <v>45235</v>
      </c>
      <c r="C1143" t="s">
        <v>1212</v>
      </c>
      <c r="D1143" t="s">
        <v>1215</v>
      </c>
      <c r="E1143" t="s">
        <v>1222</v>
      </c>
      <c r="F1143" t="s">
        <v>1230</v>
      </c>
      <c r="G1143" s="6">
        <v>1</v>
      </c>
      <c r="H1143">
        <v>4149</v>
      </c>
      <c r="I1143">
        <v>4149</v>
      </c>
      <c r="J1143" s="2">
        <v>864.4</v>
      </c>
      <c r="K1143" s="16">
        <f>Table13[[#This Row],[Profit]]/Table13[[#This Row],[Sales]]</f>
        <v>0.20833935888165822</v>
      </c>
      <c r="L1143" s="17" t="str">
        <f t="shared" si="119"/>
        <v>Low</v>
      </c>
      <c r="M1143" s="17" t="str">
        <f t="shared" si="120"/>
        <v>Nov</v>
      </c>
      <c r="N1143" s="18">
        <f>YEAR(Table13[[#This Row],[Order_Date]])</f>
        <v>2023</v>
      </c>
      <c r="O1143" s="18">
        <f>Table13[[#This Row],[Price]]*0.7</f>
        <v>2904.2999999999997</v>
      </c>
      <c r="P1143" s="18">
        <f t="shared" si="121"/>
        <v>1244.7000000000003</v>
      </c>
      <c r="Q1143" s="18">
        <f t="shared" si="122"/>
        <v>0.05</v>
      </c>
      <c r="R1143" s="18">
        <f t="shared" si="123"/>
        <v>3284.6</v>
      </c>
      <c r="S1143" s="18" t="str">
        <f>IF(Table13[[#This Row],[Quantity]]&lt;=3,"Small",IF(Table13[[#This Row],[Quantity]]&lt;=6,"Medium","Bulk"))</f>
        <v>Small</v>
      </c>
      <c r="T1143" s="18" t="str">
        <f t="shared" si="124"/>
        <v>High Demand</v>
      </c>
      <c r="U1143" s="18" t="str">
        <f t="shared" si="125"/>
        <v>low Value</v>
      </c>
    </row>
    <row r="1144" spans="1:21" x14ac:dyDescent="0.3">
      <c r="A1144" t="s">
        <v>1152</v>
      </c>
      <c r="B1144" s="1">
        <v>45090</v>
      </c>
      <c r="C1144" t="s">
        <v>1211</v>
      </c>
      <c r="D1144" t="s">
        <v>1216</v>
      </c>
      <c r="E1144" t="s">
        <v>1222</v>
      </c>
      <c r="F1144" t="s">
        <v>1230</v>
      </c>
      <c r="G1144" s="6">
        <v>7</v>
      </c>
      <c r="H1144">
        <v>2077</v>
      </c>
      <c r="I1144">
        <v>14539</v>
      </c>
      <c r="J1144" s="2">
        <v>1545.83</v>
      </c>
      <c r="K1144" s="16">
        <f>Table13[[#This Row],[Profit]]/Table13[[#This Row],[Sales]]</f>
        <v>0.10632299332828943</v>
      </c>
      <c r="L1144" s="17" t="str">
        <f t="shared" si="119"/>
        <v>Medium</v>
      </c>
      <c r="M1144" s="17" t="str">
        <f t="shared" si="120"/>
        <v>Jun</v>
      </c>
      <c r="N1144" s="18">
        <f>YEAR(Table13[[#This Row],[Order_Date]])</f>
        <v>2023</v>
      </c>
      <c r="O1144" s="18">
        <f>Table13[[#This Row],[Price]]*0.7</f>
        <v>1453.8999999999999</v>
      </c>
      <c r="P1144" s="18">
        <f t="shared" si="121"/>
        <v>4361.7000000000007</v>
      </c>
      <c r="Q1144" s="18">
        <f t="shared" si="122"/>
        <v>0.1</v>
      </c>
      <c r="R1144" s="18">
        <f t="shared" si="123"/>
        <v>12993.17</v>
      </c>
      <c r="S1144" s="18" t="str">
        <f>IF(Table13[[#This Row],[Quantity]]&lt;=3,"Small",IF(Table13[[#This Row],[Quantity]]&lt;=6,"Medium","Bulk"))</f>
        <v>Bulk</v>
      </c>
      <c r="T1144" s="18" t="str">
        <f t="shared" si="124"/>
        <v>Normal</v>
      </c>
      <c r="U1144" s="18" t="str">
        <f t="shared" si="125"/>
        <v>Medium Value</v>
      </c>
    </row>
    <row r="1145" spans="1:21" x14ac:dyDescent="0.3">
      <c r="A1145" t="s">
        <v>1153</v>
      </c>
      <c r="B1145" s="1">
        <v>45093</v>
      </c>
      <c r="C1145" t="s">
        <v>1213</v>
      </c>
      <c r="D1145" t="s">
        <v>1218</v>
      </c>
      <c r="E1145" t="s">
        <v>1222</v>
      </c>
      <c r="F1145" t="s">
        <v>1234</v>
      </c>
      <c r="G1145" s="6">
        <v>6</v>
      </c>
      <c r="H1145">
        <v>4286</v>
      </c>
      <c r="I1145">
        <v>25716</v>
      </c>
      <c r="J1145" s="2">
        <v>3894.49</v>
      </c>
      <c r="K1145" s="16">
        <f>Table13[[#This Row],[Profit]]/Table13[[#This Row],[Sales]]</f>
        <v>0.15144229273603982</v>
      </c>
      <c r="L1145" s="17" t="str">
        <f t="shared" si="119"/>
        <v>High</v>
      </c>
      <c r="M1145" s="17" t="str">
        <f t="shared" si="120"/>
        <v>Jun</v>
      </c>
      <c r="N1145" s="18">
        <f>YEAR(Table13[[#This Row],[Order_Date]])</f>
        <v>2023</v>
      </c>
      <c r="O1145" s="18">
        <f>Table13[[#This Row],[Price]]*0.7</f>
        <v>3000.2</v>
      </c>
      <c r="P1145" s="18">
        <f t="shared" si="121"/>
        <v>7714.8000000000029</v>
      </c>
      <c r="Q1145" s="18">
        <f t="shared" si="122"/>
        <v>0.1</v>
      </c>
      <c r="R1145" s="18">
        <f t="shared" si="123"/>
        <v>21821.51</v>
      </c>
      <c r="S1145" s="18" t="str">
        <f>IF(Table13[[#This Row],[Quantity]]&lt;=3,"Small",IF(Table13[[#This Row],[Quantity]]&lt;=6,"Medium","Bulk"))</f>
        <v>Medium</v>
      </c>
      <c r="T1145" s="18" t="str">
        <f t="shared" si="124"/>
        <v>Normal</v>
      </c>
      <c r="U1145" s="18" t="str">
        <f t="shared" si="125"/>
        <v>High Value</v>
      </c>
    </row>
    <row r="1146" spans="1:21" x14ac:dyDescent="0.3">
      <c r="A1146" t="s">
        <v>1154</v>
      </c>
      <c r="B1146" s="1">
        <v>45164</v>
      </c>
      <c r="C1146" t="s">
        <v>1213</v>
      </c>
      <c r="D1146" t="s">
        <v>1216</v>
      </c>
      <c r="E1146" t="s">
        <v>1220</v>
      </c>
      <c r="F1146" t="s">
        <v>1224</v>
      </c>
      <c r="G1146" s="6">
        <v>4</v>
      </c>
      <c r="H1146">
        <v>348</v>
      </c>
      <c r="I1146">
        <v>1392</v>
      </c>
      <c r="J1146" s="2">
        <v>342.03</v>
      </c>
      <c r="K1146" s="16">
        <f>Table13[[#This Row],[Profit]]/Table13[[#This Row],[Sales]]</f>
        <v>0.24571120689655171</v>
      </c>
      <c r="L1146" s="17" t="str">
        <f t="shared" si="119"/>
        <v>Low</v>
      </c>
      <c r="M1146" s="17" t="str">
        <f t="shared" si="120"/>
        <v>Aug</v>
      </c>
      <c r="N1146" s="18">
        <f>YEAR(Table13[[#This Row],[Order_Date]])</f>
        <v>2023</v>
      </c>
      <c r="O1146" s="18">
        <f>Table13[[#This Row],[Price]]*0.7</f>
        <v>243.6</v>
      </c>
      <c r="P1146" s="18">
        <f t="shared" si="121"/>
        <v>417.6</v>
      </c>
      <c r="Q1146" s="18">
        <f t="shared" si="122"/>
        <v>0.05</v>
      </c>
      <c r="R1146" s="18">
        <f t="shared" si="123"/>
        <v>1049.97</v>
      </c>
      <c r="S1146" s="18" t="str">
        <f>IF(Table13[[#This Row],[Quantity]]&lt;=3,"Small",IF(Table13[[#This Row],[Quantity]]&lt;=6,"Medium","Bulk"))</f>
        <v>Medium</v>
      </c>
      <c r="T1146" s="18" t="str">
        <f t="shared" si="124"/>
        <v>Normal</v>
      </c>
      <c r="U1146" s="18" t="str">
        <f t="shared" si="125"/>
        <v>low Value</v>
      </c>
    </row>
    <row r="1147" spans="1:21" x14ac:dyDescent="0.3">
      <c r="A1147" t="s">
        <v>1155</v>
      </c>
      <c r="B1147" s="1">
        <v>44992</v>
      </c>
      <c r="C1147" t="s">
        <v>1210</v>
      </c>
      <c r="D1147" t="s">
        <v>1216</v>
      </c>
      <c r="E1147" t="s">
        <v>1222</v>
      </c>
      <c r="F1147" t="s">
        <v>1236</v>
      </c>
      <c r="G1147" s="6">
        <v>8</v>
      </c>
      <c r="H1147">
        <v>3744</v>
      </c>
      <c r="I1147">
        <v>29952</v>
      </c>
      <c r="J1147" s="2">
        <v>5767.53</v>
      </c>
      <c r="K1147" s="16">
        <f>Table13[[#This Row],[Profit]]/Table13[[#This Row],[Sales]]</f>
        <v>0.19255909455128203</v>
      </c>
      <c r="L1147" s="17" t="str">
        <f t="shared" si="119"/>
        <v>High</v>
      </c>
      <c r="M1147" s="17" t="str">
        <f t="shared" si="120"/>
        <v>Mar</v>
      </c>
      <c r="N1147" s="18">
        <f>YEAR(Table13[[#This Row],[Order_Date]])</f>
        <v>2023</v>
      </c>
      <c r="O1147" s="18">
        <f>Table13[[#This Row],[Price]]*0.7</f>
        <v>2620.7999999999997</v>
      </c>
      <c r="P1147" s="18">
        <f t="shared" si="121"/>
        <v>8985.6000000000022</v>
      </c>
      <c r="Q1147" s="18">
        <f t="shared" si="122"/>
        <v>0.1</v>
      </c>
      <c r="R1147" s="18">
        <f t="shared" si="123"/>
        <v>24184.47</v>
      </c>
      <c r="S1147" s="18" t="str">
        <f>IF(Table13[[#This Row],[Quantity]]&lt;=3,"Small",IF(Table13[[#This Row],[Quantity]]&lt;=6,"Medium","Bulk"))</f>
        <v>Bulk</v>
      </c>
      <c r="T1147" s="18" t="str">
        <f t="shared" si="124"/>
        <v>Normal</v>
      </c>
      <c r="U1147" s="18" t="str">
        <f t="shared" si="125"/>
        <v>High Value</v>
      </c>
    </row>
    <row r="1148" spans="1:21" x14ac:dyDescent="0.3">
      <c r="A1148" t="s">
        <v>1156</v>
      </c>
      <c r="B1148" s="1">
        <v>45067</v>
      </c>
      <c r="C1148" t="s">
        <v>1212</v>
      </c>
      <c r="D1148" t="s">
        <v>1215</v>
      </c>
      <c r="E1148" t="s">
        <v>1220</v>
      </c>
      <c r="F1148" t="s">
        <v>1225</v>
      </c>
      <c r="G1148" s="6">
        <v>6</v>
      </c>
      <c r="H1148">
        <v>2805</v>
      </c>
      <c r="I1148">
        <v>16830</v>
      </c>
      <c r="J1148" s="2">
        <v>2318.29</v>
      </c>
      <c r="K1148" s="16">
        <f>Table13[[#This Row],[Profit]]/Table13[[#This Row],[Sales]]</f>
        <v>0.13774747474747476</v>
      </c>
      <c r="L1148" s="17" t="str">
        <f t="shared" si="119"/>
        <v>Medium</v>
      </c>
      <c r="M1148" s="17" t="str">
        <f t="shared" si="120"/>
        <v>May</v>
      </c>
      <c r="N1148" s="18">
        <f>YEAR(Table13[[#This Row],[Order_Date]])</f>
        <v>2023</v>
      </c>
      <c r="O1148" s="18">
        <f>Table13[[#This Row],[Price]]*0.7</f>
        <v>1963.4999999999998</v>
      </c>
      <c r="P1148" s="18">
        <f t="shared" si="121"/>
        <v>5049.0000000000018</v>
      </c>
      <c r="Q1148" s="18">
        <f t="shared" si="122"/>
        <v>0.1</v>
      </c>
      <c r="R1148" s="18">
        <f t="shared" si="123"/>
        <v>14511.710000000001</v>
      </c>
      <c r="S1148" s="18" t="str">
        <f>IF(Table13[[#This Row],[Quantity]]&lt;=3,"Small",IF(Table13[[#This Row],[Quantity]]&lt;=6,"Medium","Bulk"))</f>
        <v>Medium</v>
      </c>
      <c r="T1148" s="18" t="str">
        <f t="shared" si="124"/>
        <v>High Demand</v>
      </c>
      <c r="U1148" s="18" t="str">
        <f t="shared" si="125"/>
        <v>Medium Value</v>
      </c>
    </row>
    <row r="1149" spans="1:21" x14ac:dyDescent="0.3">
      <c r="A1149" t="s">
        <v>1157</v>
      </c>
      <c r="B1149" s="1">
        <v>45249</v>
      </c>
      <c r="C1149" t="s">
        <v>1210</v>
      </c>
      <c r="D1149" t="s">
        <v>1214</v>
      </c>
      <c r="E1149" t="s">
        <v>1220</v>
      </c>
      <c r="F1149" t="s">
        <v>1228</v>
      </c>
      <c r="G1149" s="6">
        <v>9</v>
      </c>
      <c r="H1149">
        <v>1607</v>
      </c>
      <c r="I1149">
        <v>14463</v>
      </c>
      <c r="J1149" s="2">
        <v>1592.76</v>
      </c>
      <c r="K1149" s="16">
        <f>Table13[[#This Row],[Profit]]/Table13[[#This Row],[Sales]]</f>
        <v>0.1101265297656088</v>
      </c>
      <c r="L1149" s="17" t="str">
        <f t="shared" si="119"/>
        <v>Medium</v>
      </c>
      <c r="M1149" s="17" t="str">
        <f t="shared" si="120"/>
        <v>Nov</v>
      </c>
      <c r="N1149" s="18">
        <f>YEAR(Table13[[#This Row],[Order_Date]])</f>
        <v>2023</v>
      </c>
      <c r="O1149" s="18">
        <f>Table13[[#This Row],[Price]]*0.7</f>
        <v>1124.8999999999999</v>
      </c>
      <c r="P1149" s="18">
        <f t="shared" si="121"/>
        <v>4338.9000000000015</v>
      </c>
      <c r="Q1149" s="18">
        <f t="shared" si="122"/>
        <v>0.1</v>
      </c>
      <c r="R1149" s="18">
        <f t="shared" si="123"/>
        <v>12870.24</v>
      </c>
      <c r="S1149" s="18" t="str">
        <f>IF(Table13[[#This Row],[Quantity]]&lt;=3,"Small",IF(Table13[[#This Row],[Quantity]]&lt;=6,"Medium","Bulk"))</f>
        <v>Bulk</v>
      </c>
      <c r="T1149" s="18" t="str">
        <f t="shared" si="124"/>
        <v>Normal</v>
      </c>
      <c r="U1149" s="18" t="str">
        <f t="shared" si="125"/>
        <v>Medium Value</v>
      </c>
    </row>
    <row r="1150" spans="1:21" x14ac:dyDescent="0.3">
      <c r="A1150" t="s">
        <v>1158</v>
      </c>
      <c r="B1150" s="1">
        <v>45082</v>
      </c>
      <c r="C1150" t="s">
        <v>1213</v>
      </c>
      <c r="D1150" t="s">
        <v>1215</v>
      </c>
      <c r="E1150" t="s">
        <v>1219</v>
      </c>
      <c r="F1150" t="s">
        <v>1232</v>
      </c>
      <c r="G1150" s="6">
        <v>3</v>
      </c>
      <c r="H1150">
        <v>4998</v>
      </c>
      <c r="I1150">
        <v>14994</v>
      </c>
      <c r="J1150" s="2">
        <v>1499.03</v>
      </c>
      <c r="K1150" s="16">
        <f>Table13[[#This Row],[Profit]]/Table13[[#This Row],[Sales]]</f>
        <v>9.9975323462718424E-2</v>
      </c>
      <c r="L1150" s="17" t="str">
        <f t="shared" si="119"/>
        <v>Medium</v>
      </c>
      <c r="M1150" s="17" t="str">
        <f t="shared" si="120"/>
        <v>Jun</v>
      </c>
      <c r="N1150" s="18">
        <f>YEAR(Table13[[#This Row],[Order_Date]])</f>
        <v>2023</v>
      </c>
      <c r="O1150" s="18">
        <f>Table13[[#This Row],[Price]]*0.7</f>
        <v>3498.6</v>
      </c>
      <c r="P1150" s="18">
        <f t="shared" si="121"/>
        <v>4498.2000000000007</v>
      </c>
      <c r="Q1150" s="18">
        <f t="shared" si="122"/>
        <v>0.05</v>
      </c>
      <c r="R1150" s="18">
        <f t="shared" si="123"/>
        <v>13494.97</v>
      </c>
      <c r="S1150" s="18" t="str">
        <f>IF(Table13[[#This Row],[Quantity]]&lt;=3,"Small",IF(Table13[[#This Row],[Quantity]]&lt;=6,"Medium","Bulk"))</f>
        <v>Small</v>
      </c>
      <c r="T1150" s="18" t="str">
        <f t="shared" si="124"/>
        <v>Normal</v>
      </c>
      <c r="U1150" s="18" t="str">
        <f t="shared" si="125"/>
        <v>Medium Value</v>
      </c>
    </row>
    <row r="1151" spans="1:21" x14ac:dyDescent="0.3">
      <c r="A1151" t="s">
        <v>1159</v>
      </c>
      <c r="B1151" s="1">
        <v>45269</v>
      </c>
      <c r="C1151" t="s">
        <v>1213</v>
      </c>
      <c r="D1151" t="s">
        <v>1214</v>
      </c>
      <c r="E1151" t="s">
        <v>1219</v>
      </c>
      <c r="F1151" t="s">
        <v>1232</v>
      </c>
      <c r="G1151" s="6">
        <v>8</v>
      </c>
      <c r="H1151">
        <v>2424</v>
      </c>
      <c r="I1151">
        <v>19392</v>
      </c>
      <c r="J1151" s="2">
        <v>3366.79</v>
      </c>
      <c r="K1151" s="16">
        <f>Table13[[#This Row],[Profit]]/Table13[[#This Row],[Sales]]</f>
        <v>0.1736174711221122</v>
      </c>
      <c r="L1151" s="17" t="str">
        <f t="shared" si="119"/>
        <v>Medium</v>
      </c>
      <c r="M1151" s="17" t="str">
        <f t="shared" si="120"/>
        <v>Dec</v>
      </c>
      <c r="N1151" s="18">
        <f>YEAR(Table13[[#This Row],[Order_Date]])</f>
        <v>2023</v>
      </c>
      <c r="O1151" s="18">
        <f>Table13[[#This Row],[Price]]*0.7</f>
        <v>1696.8</v>
      </c>
      <c r="P1151" s="18">
        <f t="shared" si="121"/>
        <v>5817.6</v>
      </c>
      <c r="Q1151" s="18">
        <f t="shared" si="122"/>
        <v>0.1</v>
      </c>
      <c r="R1151" s="18">
        <f t="shared" si="123"/>
        <v>16025.21</v>
      </c>
      <c r="S1151" s="18" t="str">
        <f>IF(Table13[[#This Row],[Quantity]]&lt;=3,"Small",IF(Table13[[#This Row],[Quantity]]&lt;=6,"Medium","Bulk"))</f>
        <v>Bulk</v>
      </c>
      <c r="T1151" s="18" t="str">
        <f t="shared" si="124"/>
        <v>Normal</v>
      </c>
      <c r="U1151" s="18" t="str">
        <f t="shared" si="125"/>
        <v>Medium Value</v>
      </c>
    </row>
    <row r="1152" spans="1:21" x14ac:dyDescent="0.3">
      <c r="A1152" t="s">
        <v>1160</v>
      </c>
      <c r="B1152" s="1">
        <v>45282</v>
      </c>
      <c r="C1152" t="s">
        <v>1213</v>
      </c>
      <c r="D1152" t="s">
        <v>1216</v>
      </c>
      <c r="E1152" t="s">
        <v>1222</v>
      </c>
      <c r="F1152" t="s">
        <v>1234</v>
      </c>
      <c r="G1152" s="6">
        <v>2</v>
      </c>
      <c r="H1152">
        <v>4497</v>
      </c>
      <c r="I1152">
        <v>8994</v>
      </c>
      <c r="J1152" s="2">
        <v>1114.5999999999999</v>
      </c>
      <c r="K1152" s="16">
        <f>Table13[[#This Row],[Profit]]/Table13[[#This Row],[Sales]]</f>
        <v>0.12392706248610183</v>
      </c>
      <c r="L1152" s="17" t="str">
        <f t="shared" si="119"/>
        <v>Low</v>
      </c>
      <c r="M1152" s="17" t="str">
        <f t="shared" si="120"/>
        <v>Dec</v>
      </c>
      <c r="N1152" s="18">
        <f>YEAR(Table13[[#This Row],[Order_Date]])</f>
        <v>2023</v>
      </c>
      <c r="O1152" s="18">
        <f>Table13[[#This Row],[Price]]*0.7</f>
        <v>3147.8999999999996</v>
      </c>
      <c r="P1152" s="18">
        <f t="shared" si="121"/>
        <v>2698.2000000000007</v>
      </c>
      <c r="Q1152" s="18">
        <f t="shared" si="122"/>
        <v>0.05</v>
      </c>
      <c r="R1152" s="18">
        <f t="shared" si="123"/>
        <v>7879.4</v>
      </c>
      <c r="S1152" s="18" t="str">
        <f>IF(Table13[[#This Row],[Quantity]]&lt;=3,"Small",IF(Table13[[#This Row],[Quantity]]&lt;=6,"Medium","Bulk"))</f>
        <v>Small</v>
      </c>
      <c r="T1152" s="18" t="str">
        <f t="shared" si="124"/>
        <v>Normal</v>
      </c>
      <c r="U1152" s="18" t="str">
        <f t="shared" si="125"/>
        <v>low Value</v>
      </c>
    </row>
    <row r="1153" spans="1:21" x14ac:dyDescent="0.3">
      <c r="A1153" t="s">
        <v>1161</v>
      </c>
      <c r="B1153" s="1">
        <v>45163</v>
      </c>
      <c r="C1153" t="s">
        <v>1212</v>
      </c>
      <c r="D1153" t="s">
        <v>1218</v>
      </c>
      <c r="E1153" t="s">
        <v>1219</v>
      </c>
      <c r="F1153" t="s">
        <v>1238</v>
      </c>
      <c r="G1153" s="6">
        <v>7</v>
      </c>
      <c r="H1153">
        <v>2402</v>
      </c>
      <c r="I1153">
        <v>16814</v>
      </c>
      <c r="J1153" s="2">
        <v>3529.2</v>
      </c>
      <c r="K1153" s="16">
        <f>Table13[[#This Row],[Profit]]/Table13[[#This Row],[Sales]]</f>
        <v>0.20989651480908766</v>
      </c>
      <c r="L1153" s="17" t="str">
        <f t="shared" si="119"/>
        <v>Medium</v>
      </c>
      <c r="M1153" s="17" t="str">
        <f t="shared" si="120"/>
        <v>Aug</v>
      </c>
      <c r="N1153" s="18">
        <f>YEAR(Table13[[#This Row],[Order_Date]])</f>
        <v>2023</v>
      </c>
      <c r="O1153" s="18">
        <f>Table13[[#This Row],[Price]]*0.7</f>
        <v>1681.3999999999999</v>
      </c>
      <c r="P1153" s="18">
        <f t="shared" si="121"/>
        <v>5044.2000000000007</v>
      </c>
      <c r="Q1153" s="18">
        <f t="shared" si="122"/>
        <v>0.1</v>
      </c>
      <c r="R1153" s="18">
        <f t="shared" si="123"/>
        <v>13284.8</v>
      </c>
      <c r="S1153" s="18" t="str">
        <f>IF(Table13[[#This Row],[Quantity]]&lt;=3,"Small",IF(Table13[[#This Row],[Quantity]]&lt;=6,"Medium","Bulk"))</f>
        <v>Bulk</v>
      </c>
      <c r="T1153" s="18" t="str">
        <f t="shared" si="124"/>
        <v>High Demand</v>
      </c>
      <c r="U1153" s="18" t="str">
        <f t="shared" si="125"/>
        <v>Medium Value</v>
      </c>
    </row>
    <row r="1154" spans="1:21" x14ac:dyDescent="0.3">
      <c r="A1154" t="s">
        <v>1162</v>
      </c>
      <c r="B1154" s="1">
        <v>45005</v>
      </c>
      <c r="C1154" t="s">
        <v>1211</v>
      </c>
      <c r="D1154" t="s">
        <v>1214</v>
      </c>
      <c r="E1154" t="s">
        <v>1220</v>
      </c>
      <c r="F1154" t="s">
        <v>1225</v>
      </c>
      <c r="G1154" s="6">
        <v>6</v>
      </c>
      <c r="H1154">
        <v>3871</v>
      </c>
      <c r="I1154">
        <v>23226</v>
      </c>
      <c r="J1154" s="2">
        <v>4188.32</v>
      </c>
      <c r="K1154" s="16">
        <f>Table13[[#This Row],[Profit]]/Table13[[#This Row],[Sales]]</f>
        <v>0.18032894170326358</v>
      </c>
      <c r="L1154" s="17" t="str">
        <f t="shared" ref="L1154:L1201" si="126">IF(I1154&gt;20000,"High",IF(I1154&gt;10000,"Medium","Low"))</f>
        <v>High</v>
      </c>
      <c r="M1154" s="17" t="str">
        <f t="shared" ref="M1154:M1201" si="127">TEXT(B1154,"mmm")</f>
        <v>Mar</v>
      </c>
      <c r="N1154" s="18">
        <f>YEAR(Table13[[#This Row],[Order_Date]])</f>
        <v>2023</v>
      </c>
      <c r="O1154" s="18">
        <f>Table13[[#This Row],[Price]]*0.7</f>
        <v>2709.7</v>
      </c>
      <c r="P1154" s="18">
        <f t="shared" ref="P1154:P1201" si="128">I1154 - (G1154 *O1154)</f>
        <v>6967.8000000000011</v>
      </c>
      <c r="Q1154" s="18">
        <f t="shared" ref="Q1154:Q1201" si="129">IF(G1154&gt;5,0.1,0.05)</f>
        <v>0.1</v>
      </c>
      <c r="R1154" s="18">
        <f t="shared" ref="R1154:R1201" si="130">I1154*(1-K1154)</f>
        <v>19037.68</v>
      </c>
      <c r="S1154" s="18" t="str">
        <f>IF(Table13[[#This Row],[Quantity]]&lt;=3,"Small",IF(Table13[[#This Row],[Quantity]]&lt;=6,"Medium","Bulk"))</f>
        <v>Medium</v>
      </c>
      <c r="T1154" s="18" t="str">
        <f t="shared" ref="T1154:T1201" si="131">IF(C1154="North","High Demand","Normal")</f>
        <v>Normal</v>
      </c>
      <c r="U1154" s="18" t="str">
        <f t="shared" ref="U1154:U1201" si="132">IF(I1154&gt;20000,"High Value",IF(I1154&gt;10000,"Medium Value","low Value"))</f>
        <v>High Value</v>
      </c>
    </row>
    <row r="1155" spans="1:21" x14ac:dyDescent="0.3">
      <c r="A1155" t="s">
        <v>1163</v>
      </c>
      <c r="B1155" s="1">
        <v>45153</v>
      </c>
      <c r="C1155" t="s">
        <v>1211</v>
      </c>
      <c r="D1155" t="s">
        <v>1218</v>
      </c>
      <c r="E1155" t="s">
        <v>1221</v>
      </c>
      <c r="F1155" t="s">
        <v>1226</v>
      </c>
      <c r="G1155" s="6">
        <v>6</v>
      </c>
      <c r="H1155">
        <v>452</v>
      </c>
      <c r="I1155">
        <v>2712</v>
      </c>
      <c r="J1155" s="2">
        <v>517.5</v>
      </c>
      <c r="K1155" s="16">
        <f>Table13[[#This Row],[Profit]]/Table13[[#This Row],[Sales]]</f>
        <v>0.19081858407079647</v>
      </c>
      <c r="L1155" s="17" t="str">
        <f t="shared" si="126"/>
        <v>Low</v>
      </c>
      <c r="M1155" s="17" t="str">
        <f t="shared" si="127"/>
        <v>Aug</v>
      </c>
      <c r="N1155" s="18">
        <f>YEAR(Table13[[#This Row],[Order_Date]])</f>
        <v>2023</v>
      </c>
      <c r="O1155" s="18">
        <f>Table13[[#This Row],[Price]]*0.7</f>
        <v>316.39999999999998</v>
      </c>
      <c r="P1155" s="18">
        <f t="shared" si="128"/>
        <v>813.60000000000014</v>
      </c>
      <c r="Q1155" s="18">
        <f t="shared" si="129"/>
        <v>0.1</v>
      </c>
      <c r="R1155" s="18">
        <f t="shared" si="130"/>
        <v>2194.5</v>
      </c>
      <c r="S1155" s="18" t="str">
        <f>IF(Table13[[#This Row],[Quantity]]&lt;=3,"Small",IF(Table13[[#This Row],[Quantity]]&lt;=6,"Medium","Bulk"))</f>
        <v>Medium</v>
      </c>
      <c r="T1155" s="18" t="str">
        <f t="shared" si="131"/>
        <v>Normal</v>
      </c>
      <c r="U1155" s="18" t="str">
        <f t="shared" si="132"/>
        <v>low Value</v>
      </c>
    </row>
    <row r="1156" spans="1:21" x14ac:dyDescent="0.3">
      <c r="A1156" t="s">
        <v>1164</v>
      </c>
      <c r="B1156" s="1">
        <v>45193</v>
      </c>
      <c r="C1156" t="s">
        <v>1213</v>
      </c>
      <c r="D1156" t="s">
        <v>1217</v>
      </c>
      <c r="E1156" t="s">
        <v>1221</v>
      </c>
      <c r="F1156" t="s">
        <v>1229</v>
      </c>
      <c r="G1156" s="6">
        <v>4</v>
      </c>
      <c r="H1156">
        <v>2177</v>
      </c>
      <c r="I1156">
        <v>8708</v>
      </c>
      <c r="J1156" s="2">
        <v>1892.52</v>
      </c>
      <c r="K1156" s="16">
        <f>Table13[[#This Row],[Profit]]/Table13[[#This Row],[Sales]]</f>
        <v>0.21733118971061094</v>
      </c>
      <c r="L1156" s="17" t="str">
        <f t="shared" si="126"/>
        <v>Low</v>
      </c>
      <c r="M1156" s="17" t="str">
        <f t="shared" si="127"/>
        <v>Sep</v>
      </c>
      <c r="N1156" s="18">
        <f>YEAR(Table13[[#This Row],[Order_Date]])</f>
        <v>2023</v>
      </c>
      <c r="O1156" s="18">
        <f>Table13[[#This Row],[Price]]*0.7</f>
        <v>1523.8999999999999</v>
      </c>
      <c r="P1156" s="18">
        <f t="shared" si="128"/>
        <v>2612.4000000000005</v>
      </c>
      <c r="Q1156" s="18">
        <f t="shared" si="129"/>
        <v>0.05</v>
      </c>
      <c r="R1156" s="18">
        <f t="shared" si="130"/>
        <v>6815.48</v>
      </c>
      <c r="S1156" s="18" t="str">
        <f>IF(Table13[[#This Row],[Quantity]]&lt;=3,"Small",IF(Table13[[#This Row],[Quantity]]&lt;=6,"Medium","Bulk"))</f>
        <v>Medium</v>
      </c>
      <c r="T1156" s="18" t="str">
        <f t="shared" si="131"/>
        <v>Normal</v>
      </c>
      <c r="U1156" s="18" t="str">
        <f t="shared" si="132"/>
        <v>low Value</v>
      </c>
    </row>
    <row r="1157" spans="1:21" x14ac:dyDescent="0.3">
      <c r="A1157" t="s">
        <v>1165</v>
      </c>
      <c r="B1157" s="1">
        <v>45067</v>
      </c>
      <c r="C1157" t="s">
        <v>1211</v>
      </c>
      <c r="D1157" t="s">
        <v>1218</v>
      </c>
      <c r="E1157" t="s">
        <v>1220</v>
      </c>
      <c r="F1157" t="s">
        <v>1237</v>
      </c>
      <c r="G1157" s="6">
        <v>7</v>
      </c>
      <c r="H1157">
        <v>1787</v>
      </c>
      <c r="I1157">
        <v>12509</v>
      </c>
      <c r="J1157" s="2">
        <v>2168.88</v>
      </c>
      <c r="K1157" s="16">
        <f>Table13[[#This Row],[Profit]]/Table13[[#This Row],[Sales]]</f>
        <v>0.17338556239507555</v>
      </c>
      <c r="L1157" s="17" t="str">
        <f t="shared" si="126"/>
        <v>Medium</v>
      </c>
      <c r="M1157" s="17" t="str">
        <f t="shared" si="127"/>
        <v>May</v>
      </c>
      <c r="N1157" s="18">
        <f>YEAR(Table13[[#This Row],[Order_Date]])</f>
        <v>2023</v>
      </c>
      <c r="O1157" s="18">
        <f>Table13[[#This Row],[Price]]*0.7</f>
        <v>1250.8999999999999</v>
      </c>
      <c r="P1157" s="18">
        <f t="shared" si="128"/>
        <v>3752.7000000000007</v>
      </c>
      <c r="Q1157" s="18">
        <f t="shared" si="129"/>
        <v>0.1</v>
      </c>
      <c r="R1157" s="18">
        <f t="shared" si="130"/>
        <v>10340.120000000001</v>
      </c>
      <c r="S1157" s="18" t="str">
        <f>IF(Table13[[#This Row],[Quantity]]&lt;=3,"Small",IF(Table13[[#This Row],[Quantity]]&lt;=6,"Medium","Bulk"))</f>
        <v>Bulk</v>
      </c>
      <c r="T1157" s="18" t="str">
        <f t="shared" si="131"/>
        <v>Normal</v>
      </c>
      <c r="U1157" s="18" t="str">
        <f t="shared" si="132"/>
        <v>Medium Value</v>
      </c>
    </row>
    <row r="1158" spans="1:21" x14ac:dyDescent="0.3">
      <c r="A1158" t="s">
        <v>1166</v>
      </c>
      <c r="B1158" s="1">
        <v>45237</v>
      </c>
      <c r="C1158" t="s">
        <v>1212</v>
      </c>
      <c r="D1158" t="s">
        <v>1239</v>
      </c>
      <c r="E1158" t="s">
        <v>1220</v>
      </c>
      <c r="F1158" t="s">
        <v>1224</v>
      </c>
      <c r="G1158" s="6">
        <v>8</v>
      </c>
      <c r="H1158">
        <v>912</v>
      </c>
      <c r="I1158">
        <v>7296</v>
      </c>
      <c r="J1158" s="2">
        <v>1708.48</v>
      </c>
      <c r="K1158" s="16">
        <f>Table13[[#This Row],[Profit]]/Table13[[#This Row],[Sales]]</f>
        <v>0.23416666666666666</v>
      </c>
      <c r="L1158" s="17" t="str">
        <f t="shared" si="126"/>
        <v>Low</v>
      </c>
      <c r="M1158" s="17" t="str">
        <f t="shared" si="127"/>
        <v>Nov</v>
      </c>
      <c r="N1158" s="18">
        <f>YEAR(Table13[[#This Row],[Order_Date]])</f>
        <v>2023</v>
      </c>
      <c r="O1158" s="18">
        <f>Table13[[#This Row],[Price]]*0.7</f>
        <v>638.4</v>
      </c>
      <c r="P1158" s="18">
        <f t="shared" si="128"/>
        <v>2188.8000000000002</v>
      </c>
      <c r="Q1158" s="18">
        <f t="shared" si="129"/>
        <v>0.1</v>
      </c>
      <c r="R1158" s="18">
        <f t="shared" si="130"/>
        <v>5587.52</v>
      </c>
      <c r="S1158" s="18" t="str">
        <f>IF(Table13[[#This Row],[Quantity]]&lt;=3,"Small",IF(Table13[[#This Row],[Quantity]]&lt;=6,"Medium","Bulk"))</f>
        <v>Bulk</v>
      </c>
      <c r="T1158" s="18" t="str">
        <f t="shared" si="131"/>
        <v>High Demand</v>
      </c>
      <c r="U1158" s="18" t="str">
        <f t="shared" si="132"/>
        <v>low Value</v>
      </c>
    </row>
    <row r="1159" spans="1:21" x14ac:dyDescent="0.3">
      <c r="A1159" t="s">
        <v>1167</v>
      </c>
      <c r="B1159" s="1">
        <v>45225</v>
      </c>
      <c r="C1159" t="s">
        <v>1210</v>
      </c>
      <c r="D1159" t="s">
        <v>1214</v>
      </c>
      <c r="E1159" t="s">
        <v>1220</v>
      </c>
      <c r="F1159" t="s">
        <v>1224</v>
      </c>
      <c r="G1159" s="6">
        <v>2</v>
      </c>
      <c r="H1159">
        <v>3501</v>
      </c>
      <c r="I1159">
        <v>7002</v>
      </c>
      <c r="J1159" s="2">
        <v>830.05</v>
      </c>
      <c r="K1159" s="16">
        <f>Table13[[#This Row],[Profit]]/Table13[[#This Row],[Sales]]</f>
        <v>0.11854470151385318</v>
      </c>
      <c r="L1159" s="17" t="str">
        <f t="shared" si="126"/>
        <v>Low</v>
      </c>
      <c r="M1159" s="17" t="str">
        <f t="shared" si="127"/>
        <v>Oct</v>
      </c>
      <c r="N1159" s="18">
        <f>YEAR(Table13[[#This Row],[Order_Date]])</f>
        <v>2023</v>
      </c>
      <c r="O1159" s="18">
        <f>Table13[[#This Row],[Price]]*0.7</f>
        <v>2450.6999999999998</v>
      </c>
      <c r="P1159" s="18">
        <f t="shared" si="128"/>
        <v>2100.6000000000004</v>
      </c>
      <c r="Q1159" s="18">
        <f t="shared" si="129"/>
        <v>0.05</v>
      </c>
      <c r="R1159" s="18">
        <f t="shared" si="130"/>
        <v>6171.95</v>
      </c>
      <c r="S1159" s="18" t="str">
        <f>IF(Table13[[#This Row],[Quantity]]&lt;=3,"Small",IF(Table13[[#This Row],[Quantity]]&lt;=6,"Medium","Bulk"))</f>
        <v>Small</v>
      </c>
      <c r="T1159" s="18" t="str">
        <f t="shared" si="131"/>
        <v>Normal</v>
      </c>
      <c r="U1159" s="18" t="str">
        <f t="shared" si="132"/>
        <v>low Value</v>
      </c>
    </row>
    <row r="1160" spans="1:21" x14ac:dyDescent="0.3">
      <c r="A1160" t="s">
        <v>1168</v>
      </c>
      <c r="B1160" s="1">
        <v>45229</v>
      </c>
      <c r="C1160" t="s">
        <v>1212</v>
      </c>
      <c r="D1160" t="s">
        <v>1217</v>
      </c>
      <c r="E1160" t="s">
        <v>1221</v>
      </c>
      <c r="F1160" t="s">
        <v>1235</v>
      </c>
      <c r="G1160" s="6">
        <v>4</v>
      </c>
      <c r="H1160">
        <v>803</v>
      </c>
      <c r="I1160">
        <v>3212</v>
      </c>
      <c r="J1160" s="2">
        <v>746.35</v>
      </c>
      <c r="K1160" s="16">
        <f>Table13[[#This Row],[Profit]]/Table13[[#This Row],[Sales]]</f>
        <v>0.23236301369863013</v>
      </c>
      <c r="L1160" s="17" t="str">
        <f t="shared" si="126"/>
        <v>Low</v>
      </c>
      <c r="M1160" s="17" t="str">
        <f t="shared" si="127"/>
        <v>Oct</v>
      </c>
      <c r="N1160" s="18">
        <f>YEAR(Table13[[#This Row],[Order_Date]])</f>
        <v>2023</v>
      </c>
      <c r="O1160" s="18">
        <f>Table13[[#This Row],[Price]]*0.7</f>
        <v>562.09999999999991</v>
      </c>
      <c r="P1160" s="18">
        <f t="shared" si="128"/>
        <v>963.60000000000036</v>
      </c>
      <c r="Q1160" s="18">
        <f t="shared" si="129"/>
        <v>0.05</v>
      </c>
      <c r="R1160" s="18">
        <f t="shared" si="130"/>
        <v>2465.65</v>
      </c>
      <c r="S1160" s="18" t="str">
        <f>IF(Table13[[#This Row],[Quantity]]&lt;=3,"Small",IF(Table13[[#This Row],[Quantity]]&lt;=6,"Medium","Bulk"))</f>
        <v>Medium</v>
      </c>
      <c r="T1160" s="18" t="str">
        <f t="shared" si="131"/>
        <v>High Demand</v>
      </c>
      <c r="U1160" s="18" t="str">
        <f t="shared" si="132"/>
        <v>low Value</v>
      </c>
    </row>
    <row r="1161" spans="1:21" x14ac:dyDescent="0.3">
      <c r="A1161" t="s">
        <v>1169</v>
      </c>
      <c r="B1161" s="1">
        <v>45014</v>
      </c>
      <c r="C1161" t="s">
        <v>1211</v>
      </c>
      <c r="D1161" t="s">
        <v>1216</v>
      </c>
      <c r="E1161" t="s">
        <v>1220</v>
      </c>
      <c r="F1161" t="s">
        <v>1237</v>
      </c>
      <c r="G1161" s="6">
        <v>2</v>
      </c>
      <c r="H1161">
        <v>4889</v>
      </c>
      <c r="I1161">
        <v>9778</v>
      </c>
      <c r="J1161" s="2">
        <v>1315.19</v>
      </c>
      <c r="K1161" s="16">
        <f>Table13[[#This Row],[Profit]]/Table13[[#This Row],[Sales]]</f>
        <v>0.13450501124974432</v>
      </c>
      <c r="L1161" s="17" t="str">
        <f t="shared" si="126"/>
        <v>Low</v>
      </c>
      <c r="M1161" s="17" t="str">
        <f t="shared" si="127"/>
        <v>Mar</v>
      </c>
      <c r="N1161" s="18">
        <f>YEAR(Table13[[#This Row],[Order_Date]])</f>
        <v>2023</v>
      </c>
      <c r="O1161" s="18">
        <f>Table13[[#This Row],[Price]]*0.7</f>
        <v>3422.2999999999997</v>
      </c>
      <c r="P1161" s="18">
        <f t="shared" si="128"/>
        <v>2933.4000000000005</v>
      </c>
      <c r="Q1161" s="18">
        <f t="shared" si="129"/>
        <v>0.05</v>
      </c>
      <c r="R1161" s="18">
        <f t="shared" si="130"/>
        <v>8462.81</v>
      </c>
      <c r="S1161" s="18" t="str">
        <f>IF(Table13[[#This Row],[Quantity]]&lt;=3,"Small",IF(Table13[[#This Row],[Quantity]]&lt;=6,"Medium","Bulk"))</f>
        <v>Small</v>
      </c>
      <c r="T1161" s="18" t="str">
        <f t="shared" si="131"/>
        <v>Normal</v>
      </c>
      <c r="U1161" s="18" t="str">
        <f t="shared" si="132"/>
        <v>low Value</v>
      </c>
    </row>
    <row r="1162" spans="1:21" x14ac:dyDescent="0.3">
      <c r="A1162" t="s">
        <v>1170</v>
      </c>
      <c r="B1162" s="1">
        <v>44991</v>
      </c>
      <c r="C1162" t="s">
        <v>1211</v>
      </c>
      <c r="D1162" t="s">
        <v>1218</v>
      </c>
      <c r="E1162" t="s">
        <v>1220</v>
      </c>
      <c r="F1162" t="s">
        <v>1237</v>
      </c>
      <c r="G1162" s="6">
        <v>7</v>
      </c>
      <c r="H1162">
        <v>2853</v>
      </c>
      <c r="I1162">
        <v>19971</v>
      </c>
      <c r="J1162" s="2">
        <v>2055.94</v>
      </c>
      <c r="K1162" s="16">
        <f>Table13[[#This Row],[Profit]]/Table13[[#This Row],[Sales]]</f>
        <v>0.10294627209453708</v>
      </c>
      <c r="L1162" s="17" t="str">
        <f t="shared" si="126"/>
        <v>Medium</v>
      </c>
      <c r="M1162" s="17" t="str">
        <f t="shared" si="127"/>
        <v>Mar</v>
      </c>
      <c r="N1162" s="18">
        <f>YEAR(Table13[[#This Row],[Order_Date]])</f>
        <v>2023</v>
      </c>
      <c r="O1162" s="18">
        <f>Table13[[#This Row],[Price]]*0.7</f>
        <v>1997.1</v>
      </c>
      <c r="P1162" s="18">
        <f t="shared" si="128"/>
        <v>5991.3000000000011</v>
      </c>
      <c r="Q1162" s="18">
        <f t="shared" si="129"/>
        <v>0.1</v>
      </c>
      <c r="R1162" s="18">
        <f t="shared" si="130"/>
        <v>17915.059999999998</v>
      </c>
      <c r="S1162" s="18" t="str">
        <f>IF(Table13[[#This Row],[Quantity]]&lt;=3,"Small",IF(Table13[[#This Row],[Quantity]]&lt;=6,"Medium","Bulk"))</f>
        <v>Bulk</v>
      </c>
      <c r="T1162" s="18" t="str">
        <f t="shared" si="131"/>
        <v>Normal</v>
      </c>
      <c r="U1162" s="18" t="str">
        <f t="shared" si="132"/>
        <v>Medium Value</v>
      </c>
    </row>
    <row r="1163" spans="1:21" x14ac:dyDescent="0.3">
      <c r="A1163" t="s">
        <v>1171</v>
      </c>
      <c r="B1163" s="1">
        <v>45250</v>
      </c>
      <c r="C1163" t="s">
        <v>1210</v>
      </c>
      <c r="D1163" t="s">
        <v>1216</v>
      </c>
      <c r="E1163" t="s">
        <v>1219</v>
      </c>
      <c r="F1163" t="s">
        <v>1233</v>
      </c>
      <c r="G1163" s="6">
        <v>5</v>
      </c>
      <c r="H1163">
        <v>4766</v>
      </c>
      <c r="I1163">
        <v>23830</v>
      </c>
      <c r="J1163" s="2">
        <v>3145.05</v>
      </c>
      <c r="K1163" s="16">
        <f>Table13[[#This Row],[Profit]]/Table13[[#This Row],[Sales]]</f>
        <v>0.13197859840537138</v>
      </c>
      <c r="L1163" s="17" t="str">
        <f t="shared" si="126"/>
        <v>High</v>
      </c>
      <c r="M1163" s="17" t="str">
        <f t="shared" si="127"/>
        <v>Nov</v>
      </c>
      <c r="N1163" s="18">
        <f>YEAR(Table13[[#This Row],[Order_Date]])</f>
        <v>2023</v>
      </c>
      <c r="O1163" s="18">
        <f>Table13[[#This Row],[Price]]*0.7</f>
        <v>3336.2</v>
      </c>
      <c r="P1163" s="18">
        <f t="shared" si="128"/>
        <v>7149</v>
      </c>
      <c r="Q1163" s="18">
        <f t="shared" si="129"/>
        <v>0.05</v>
      </c>
      <c r="R1163" s="18">
        <f t="shared" si="130"/>
        <v>20684.95</v>
      </c>
      <c r="S1163" s="18" t="str">
        <f>IF(Table13[[#This Row],[Quantity]]&lt;=3,"Small",IF(Table13[[#This Row],[Quantity]]&lt;=6,"Medium","Bulk"))</f>
        <v>Medium</v>
      </c>
      <c r="T1163" s="18" t="str">
        <f t="shared" si="131"/>
        <v>Normal</v>
      </c>
      <c r="U1163" s="18" t="str">
        <f t="shared" si="132"/>
        <v>High Value</v>
      </c>
    </row>
    <row r="1164" spans="1:21" x14ac:dyDescent="0.3">
      <c r="A1164" t="s">
        <v>1172</v>
      </c>
      <c r="B1164" s="1">
        <v>45279</v>
      </c>
      <c r="C1164" t="s">
        <v>1213</v>
      </c>
      <c r="D1164" t="s">
        <v>1216</v>
      </c>
      <c r="E1164" t="s">
        <v>1220</v>
      </c>
      <c r="F1164" t="s">
        <v>1224</v>
      </c>
      <c r="G1164" s="6">
        <v>2</v>
      </c>
      <c r="H1164">
        <v>1864</v>
      </c>
      <c r="I1164">
        <v>3728</v>
      </c>
      <c r="J1164" s="2">
        <v>380.83</v>
      </c>
      <c r="K1164" s="16">
        <f>Table13[[#This Row],[Profit]]/Table13[[#This Row],[Sales]]</f>
        <v>0.10215396995708154</v>
      </c>
      <c r="L1164" s="17" t="str">
        <f t="shared" si="126"/>
        <v>Low</v>
      </c>
      <c r="M1164" s="17" t="str">
        <f t="shared" si="127"/>
        <v>Dec</v>
      </c>
      <c r="N1164" s="18">
        <f>YEAR(Table13[[#This Row],[Order_Date]])</f>
        <v>2023</v>
      </c>
      <c r="O1164" s="18">
        <f>Table13[[#This Row],[Price]]*0.7</f>
        <v>1304.8</v>
      </c>
      <c r="P1164" s="18">
        <f t="shared" si="128"/>
        <v>1118.4000000000001</v>
      </c>
      <c r="Q1164" s="18">
        <f t="shared" si="129"/>
        <v>0.05</v>
      </c>
      <c r="R1164" s="18">
        <f t="shared" si="130"/>
        <v>3347.17</v>
      </c>
      <c r="S1164" s="18" t="str">
        <f>IF(Table13[[#This Row],[Quantity]]&lt;=3,"Small",IF(Table13[[#This Row],[Quantity]]&lt;=6,"Medium","Bulk"))</f>
        <v>Small</v>
      </c>
      <c r="T1164" s="18" t="str">
        <f t="shared" si="131"/>
        <v>Normal</v>
      </c>
      <c r="U1164" s="18" t="str">
        <f t="shared" si="132"/>
        <v>low Value</v>
      </c>
    </row>
    <row r="1165" spans="1:21" x14ac:dyDescent="0.3">
      <c r="A1165" t="s">
        <v>1173</v>
      </c>
      <c r="B1165" s="1">
        <v>45134</v>
      </c>
      <c r="C1165" t="s">
        <v>1213</v>
      </c>
      <c r="D1165" t="s">
        <v>1215</v>
      </c>
      <c r="E1165" t="s">
        <v>1222</v>
      </c>
      <c r="F1165" t="s">
        <v>1227</v>
      </c>
      <c r="G1165" s="6">
        <v>8</v>
      </c>
      <c r="H1165">
        <v>3203</v>
      </c>
      <c r="I1165">
        <v>25624</v>
      </c>
      <c r="J1165" s="2">
        <v>2623.66</v>
      </c>
      <c r="K1165" s="16">
        <f>Table13[[#This Row],[Profit]]/Table13[[#This Row],[Sales]]</f>
        <v>0.10239072744302216</v>
      </c>
      <c r="L1165" s="17" t="str">
        <f t="shared" si="126"/>
        <v>High</v>
      </c>
      <c r="M1165" s="17" t="str">
        <f t="shared" si="127"/>
        <v>Jul</v>
      </c>
      <c r="N1165" s="18">
        <f>YEAR(Table13[[#This Row],[Order_Date]])</f>
        <v>2023</v>
      </c>
      <c r="O1165" s="18">
        <f>Table13[[#This Row],[Price]]*0.7</f>
        <v>2242.1</v>
      </c>
      <c r="P1165" s="18">
        <f t="shared" si="128"/>
        <v>7687.2000000000007</v>
      </c>
      <c r="Q1165" s="18">
        <f t="shared" si="129"/>
        <v>0.1</v>
      </c>
      <c r="R1165" s="18">
        <f t="shared" si="130"/>
        <v>23000.34</v>
      </c>
      <c r="S1165" s="18" t="str">
        <f>IF(Table13[[#This Row],[Quantity]]&lt;=3,"Small",IF(Table13[[#This Row],[Quantity]]&lt;=6,"Medium","Bulk"))</f>
        <v>Bulk</v>
      </c>
      <c r="T1165" s="18" t="str">
        <f t="shared" si="131"/>
        <v>Normal</v>
      </c>
      <c r="U1165" s="18" t="str">
        <f t="shared" si="132"/>
        <v>High Value</v>
      </c>
    </row>
    <row r="1166" spans="1:21" x14ac:dyDescent="0.3">
      <c r="A1166" t="s">
        <v>1174</v>
      </c>
      <c r="B1166" s="1">
        <v>45001</v>
      </c>
      <c r="C1166" t="s">
        <v>1210</v>
      </c>
      <c r="D1166" t="s">
        <v>1214</v>
      </c>
      <c r="E1166" t="s">
        <v>1221</v>
      </c>
      <c r="F1166" t="s">
        <v>1229</v>
      </c>
      <c r="G1166" s="6">
        <v>2</v>
      </c>
      <c r="H1166">
        <v>621</v>
      </c>
      <c r="I1166">
        <v>1242</v>
      </c>
      <c r="J1166" s="2">
        <v>237.75</v>
      </c>
      <c r="K1166" s="16">
        <f>Table13[[#This Row],[Profit]]/Table13[[#This Row],[Sales]]</f>
        <v>0.19142512077294685</v>
      </c>
      <c r="L1166" s="17" t="str">
        <f t="shared" si="126"/>
        <v>Low</v>
      </c>
      <c r="M1166" s="17" t="str">
        <f t="shared" si="127"/>
        <v>Mar</v>
      </c>
      <c r="N1166" s="18">
        <f>YEAR(Table13[[#This Row],[Order_Date]])</f>
        <v>2023</v>
      </c>
      <c r="O1166" s="18">
        <f>Table13[[#This Row],[Price]]*0.7</f>
        <v>434.7</v>
      </c>
      <c r="P1166" s="18">
        <f t="shared" si="128"/>
        <v>372.6</v>
      </c>
      <c r="Q1166" s="18">
        <f t="shared" si="129"/>
        <v>0.05</v>
      </c>
      <c r="R1166" s="18">
        <f t="shared" si="130"/>
        <v>1004.25</v>
      </c>
      <c r="S1166" s="18" t="str">
        <f>IF(Table13[[#This Row],[Quantity]]&lt;=3,"Small",IF(Table13[[#This Row],[Quantity]]&lt;=6,"Medium","Bulk"))</f>
        <v>Small</v>
      </c>
      <c r="T1166" s="18" t="str">
        <f t="shared" si="131"/>
        <v>Normal</v>
      </c>
      <c r="U1166" s="18" t="str">
        <f t="shared" si="132"/>
        <v>low Value</v>
      </c>
    </row>
    <row r="1167" spans="1:21" x14ac:dyDescent="0.3">
      <c r="A1167" t="s">
        <v>1175</v>
      </c>
      <c r="B1167" s="1">
        <v>45064</v>
      </c>
      <c r="C1167" t="s">
        <v>1210</v>
      </c>
      <c r="D1167" t="s">
        <v>1217</v>
      </c>
      <c r="E1167" t="s">
        <v>1219</v>
      </c>
      <c r="F1167" t="s">
        <v>1232</v>
      </c>
      <c r="G1167" s="6">
        <v>5</v>
      </c>
      <c r="H1167">
        <v>2147</v>
      </c>
      <c r="I1167">
        <v>10735</v>
      </c>
      <c r="J1167" s="2">
        <v>2102.91</v>
      </c>
      <c r="K1167" s="16">
        <f>Table13[[#This Row],[Profit]]/Table13[[#This Row],[Sales]]</f>
        <v>0.19589287377736375</v>
      </c>
      <c r="L1167" s="17" t="str">
        <f t="shared" si="126"/>
        <v>Medium</v>
      </c>
      <c r="M1167" s="17" t="str">
        <f t="shared" si="127"/>
        <v>May</v>
      </c>
      <c r="N1167" s="18">
        <f>YEAR(Table13[[#This Row],[Order_Date]])</f>
        <v>2023</v>
      </c>
      <c r="O1167" s="18">
        <f>Table13[[#This Row],[Price]]*0.7</f>
        <v>1502.8999999999999</v>
      </c>
      <c r="P1167" s="18">
        <f t="shared" si="128"/>
        <v>3220.5000000000009</v>
      </c>
      <c r="Q1167" s="18">
        <f t="shared" si="129"/>
        <v>0.05</v>
      </c>
      <c r="R1167" s="18">
        <f t="shared" si="130"/>
        <v>8632.09</v>
      </c>
      <c r="S1167" s="18" t="str">
        <f>IF(Table13[[#This Row],[Quantity]]&lt;=3,"Small",IF(Table13[[#This Row],[Quantity]]&lt;=6,"Medium","Bulk"))</f>
        <v>Medium</v>
      </c>
      <c r="T1167" s="18" t="str">
        <f t="shared" si="131"/>
        <v>Normal</v>
      </c>
      <c r="U1167" s="18" t="str">
        <f t="shared" si="132"/>
        <v>Medium Value</v>
      </c>
    </row>
    <row r="1168" spans="1:21" x14ac:dyDescent="0.3">
      <c r="A1168" t="s">
        <v>1176</v>
      </c>
      <c r="B1168" s="1">
        <v>45048</v>
      </c>
      <c r="C1168" t="s">
        <v>1211</v>
      </c>
      <c r="D1168" t="s">
        <v>1217</v>
      </c>
      <c r="E1168" t="s">
        <v>1220</v>
      </c>
      <c r="F1168" t="s">
        <v>1224</v>
      </c>
      <c r="G1168" s="6">
        <v>3</v>
      </c>
      <c r="H1168">
        <v>4680</v>
      </c>
      <c r="I1168">
        <v>14040</v>
      </c>
      <c r="J1168" s="2">
        <v>1971.78</v>
      </c>
      <c r="K1168" s="16">
        <f>Table13[[#This Row],[Profit]]/Table13[[#This Row],[Sales]]</f>
        <v>0.14044017094017094</v>
      </c>
      <c r="L1168" s="17" t="str">
        <f t="shared" si="126"/>
        <v>Medium</v>
      </c>
      <c r="M1168" s="17" t="str">
        <f t="shared" si="127"/>
        <v>May</v>
      </c>
      <c r="N1168" s="18">
        <f>YEAR(Table13[[#This Row],[Order_Date]])</f>
        <v>2023</v>
      </c>
      <c r="O1168" s="18">
        <f>Table13[[#This Row],[Price]]*0.7</f>
        <v>3276</v>
      </c>
      <c r="P1168" s="18">
        <f t="shared" si="128"/>
        <v>4212</v>
      </c>
      <c r="Q1168" s="18">
        <f t="shared" si="129"/>
        <v>0.05</v>
      </c>
      <c r="R1168" s="18">
        <f t="shared" si="130"/>
        <v>12068.220000000001</v>
      </c>
      <c r="S1168" s="18" t="str">
        <f>IF(Table13[[#This Row],[Quantity]]&lt;=3,"Small",IF(Table13[[#This Row],[Quantity]]&lt;=6,"Medium","Bulk"))</f>
        <v>Small</v>
      </c>
      <c r="T1168" s="18" t="str">
        <f t="shared" si="131"/>
        <v>Normal</v>
      </c>
      <c r="U1168" s="18" t="str">
        <f t="shared" si="132"/>
        <v>Medium Value</v>
      </c>
    </row>
    <row r="1169" spans="1:21" x14ac:dyDescent="0.3">
      <c r="A1169" t="s">
        <v>1177</v>
      </c>
      <c r="B1169" s="1">
        <v>45017</v>
      </c>
      <c r="C1169" t="s">
        <v>1212</v>
      </c>
      <c r="D1169" t="s">
        <v>1217</v>
      </c>
      <c r="E1169" t="s">
        <v>1222</v>
      </c>
      <c r="F1169" t="s">
        <v>1230</v>
      </c>
      <c r="G1169" s="6">
        <v>8</v>
      </c>
      <c r="H1169">
        <v>942</v>
      </c>
      <c r="I1169">
        <v>7536</v>
      </c>
      <c r="J1169" s="2">
        <v>607.89</v>
      </c>
      <c r="K1169" s="16">
        <f>Table13[[#This Row],[Profit]]/Table13[[#This Row],[Sales]]</f>
        <v>8.0664808917197448E-2</v>
      </c>
      <c r="L1169" s="17" t="str">
        <f t="shared" si="126"/>
        <v>Low</v>
      </c>
      <c r="M1169" s="17" t="str">
        <f t="shared" si="127"/>
        <v>Apr</v>
      </c>
      <c r="N1169" s="18">
        <f>YEAR(Table13[[#This Row],[Order_Date]])</f>
        <v>2023</v>
      </c>
      <c r="O1169" s="18">
        <f>Table13[[#This Row],[Price]]*0.7</f>
        <v>659.4</v>
      </c>
      <c r="P1169" s="18">
        <f t="shared" si="128"/>
        <v>2260.8000000000002</v>
      </c>
      <c r="Q1169" s="18">
        <f t="shared" si="129"/>
        <v>0.1</v>
      </c>
      <c r="R1169" s="18">
        <f t="shared" si="130"/>
        <v>6928.1100000000006</v>
      </c>
      <c r="S1169" s="18" t="str">
        <f>IF(Table13[[#This Row],[Quantity]]&lt;=3,"Small",IF(Table13[[#This Row],[Quantity]]&lt;=6,"Medium","Bulk"))</f>
        <v>Bulk</v>
      </c>
      <c r="T1169" s="18" t="str">
        <f t="shared" si="131"/>
        <v>High Demand</v>
      </c>
      <c r="U1169" s="18" t="str">
        <f t="shared" si="132"/>
        <v>low Value</v>
      </c>
    </row>
    <row r="1170" spans="1:21" x14ac:dyDescent="0.3">
      <c r="A1170" t="s">
        <v>1178</v>
      </c>
      <c r="B1170" s="1">
        <v>45282</v>
      </c>
      <c r="C1170" t="s">
        <v>1213</v>
      </c>
      <c r="D1170" t="s">
        <v>1215</v>
      </c>
      <c r="E1170" t="s">
        <v>1220</v>
      </c>
      <c r="F1170" t="s">
        <v>1228</v>
      </c>
      <c r="G1170" s="6">
        <v>1</v>
      </c>
      <c r="H1170">
        <v>4635</v>
      </c>
      <c r="I1170">
        <v>4635</v>
      </c>
      <c r="J1170" s="2">
        <v>800.3</v>
      </c>
      <c r="K1170" s="16">
        <f>Table13[[#This Row],[Profit]]/Table13[[#This Row],[Sales]]</f>
        <v>0.17266450916936352</v>
      </c>
      <c r="L1170" s="17" t="str">
        <f t="shared" si="126"/>
        <v>Low</v>
      </c>
      <c r="M1170" s="17" t="str">
        <f t="shared" si="127"/>
        <v>Dec</v>
      </c>
      <c r="N1170" s="18">
        <f>YEAR(Table13[[#This Row],[Order_Date]])</f>
        <v>2023</v>
      </c>
      <c r="O1170" s="18">
        <f>Table13[[#This Row],[Price]]*0.7</f>
        <v>3244.5</v>
      </c>
      <c r="P1170" s="18">
        <f t="shared" si="128"/>
        <v>1390.5</v>
      </c>
      <c r="Q1170" s="18">
        <f t="shared" si="129"/>
        <v>0.05</v>
      </c>
      <c r="R1170" s="18">
        <f t="shared" si="130"/>
        <v>3834.7000000000003</v>
      </c>
      <c r="S1170" s="18" t="str">
        <f>IF(Table13[[#This Row],[Quantity]]&lt;=3,"Small",IF(Table13[[#This Row],[Quantity]]&lt;=6,"Medium","Bulk"))</f>
        <v>Small</v>
      </c>
      <c r="T1170" s="18" t="str">
        <f t="shared" si="131"/>
        <v>Normal</v>
      </c>
      <c r="U1170" s="18" t="str">
        <f t="shared" si="132"/>
        <v>low Value</v>
      </c>
    </row>
    <row r="1171" spans="1:21" x14ac:dyDescent="0.3">
      <c r="A1171" t="s">
        <v>1179</v>
      </c>
      <c r="B1171" s="1">
        <v>45130</v>
      </c>
      <c r="C1171" t="s">
        <v>1211</v>
      </c>
      <c r="D1171" t="s">
        <v>1214</v>
      </c>
      <c r="E1171" t="s">
        <v>1221</v>
      </c>
      <c r="F1171" t="s">
        <v>1231</v>
      </c>
      <c r="G1171" s="6">
        <v>9</v>
      </c>
      <c r="H1171">
        <v>2247</v>
      </c>
      <c r="I1171">
        <v>20223</v>
      </c>
      <c r="J1171" s="2">
        <v>4054.97</v>
      </c>
      <c r="K1171" s="16">
        <f>Table13[[#This Row],[Profit]]/Table13[[#This Row],[Sales]]</f>
        <v>0.20051278247539928</v>
      </c>
      <c r="L1171" s="17" t="str">
        <f t="shared" si="126"/>
        <v>High</v>
      </c>
      <c r="M1171" s="17" t="str">
        <f t="shared" si="127"/>
        <v>Jul</v>
      </c>
      <c r="N1171" s="18">
        <f>YEAR(Table13[[#This Row],[Order_Date]])</f>
        <v>2023</v>
      </c>
      <c r="O1171" s="18">
        <f>Table13[[#This Row],[Price]]*0.7</f>
        <v>1572.8999999999999</v>
      </c>
      <c r="P1171" s="18">
        <f t="shared" si="128"/>
        <v>6066.9000000000015</v>
      </c>
      <c r="Q1171" s="18">
        <f t="shared" si="129"/>
        <v>0.1</v>
      </c>
      <c r="R1171" s="18">
        <f t="shared" si="130"/>
        <v>16168.03</v>
      </c>
      <c r="S1171" s="18" t="str">
        <f>IF(Table13[[#This Row],[Quantity]]&lt;=3,"Small",IF(Table13[[#This Row],[Quantity]]&lt;=6,"Medium","Bulk"))</f>
        <v>Bulk</v>
      </c>
      <c r="T1171" s="18" t="str">
        <f t="shared" si="131"/>
        <v>Normal</v>
      </c>
      <c r="U1171" s="18" t="str">
        <f t="shared" si="132"/>
        <v>High Value</v>
      </c>
    </row>
    <row r="1172" spans="1:21" x14ac:dyDescent="0.3">
      <c r="A1172" t="s">
        <v>1180</v>
      </c>
      <c r="B1172" s="1">
        <v>45198</v>
      </c>
      <c r="C1172" t="s">
        <v>1212</v>
      </c>
      <c r="D1172" t="s">
        <v>1214</v>
      </c>
      <c r="E1172" t="s">
        <v>1219</v>
      </c>
      <c r="F1172" t="s">
        <v>1232</v>
      </c>
      <c r="G1172" s="6">
        <v>6</v>
      </c>
      <c r="H1172">
        <v>4933</v>
      </c>
      <c r="I1172">
        <v>29598</v>
      </c>
      <c r="J1172" s="2">
        <v>3593.75</v>
      </c>
      <c r="K1172" s="16">
        <f>Table13[[#This Row],[Profit]]/Table13[[#This Row],[Sales]]</f>
        <v>0.12141867693763092</v>
      </c>
      <c r="L1172" s="17" t="str">
        <f t="shared" si="126"/>
        <v>High</v>
      </c>
      <c r="M1172" s="17" t="str">
        <f t="shared" si="127"/>
        <v>Sep</v>
      </c>
      <c r="N1172" s="18">
        <f>YEAR(Table13[[#This Row],[Order_Date]])</f>
        <v>2023</v>
      </c>
      <c r="O1172" s="18">
        <f>Table13[[#This Row],[Price]]*0.7</f>
        <v>3453.1</v>
      </c>
      <c r="P1172" s="18">
        <f t="shared" si="128"/>
        <v>8879.4000000000015</v>
      </c>
      <c r="Q1172" s="18">
        <f t="shared" si="129"/>
        <v>0.1</v>
      </c>
      <c r="R1172" s="18">
        <f t="shared" si="130"/>
        <v>26004.25</v>
      </c>
      <c r="S1172" s="18" t="str">
        <f>IF(Table13[[#This Row],[Quantity]]&lt;=3,"Small",IF(Table13[[#This Row],[Quantity]]&lt;=6,"Medium","Bulk"))</f>
        <v>Medium</v>
      </c>
      <c r="T1172" s="18" t="str">
        <f t="shared" si="131"/>
        <v>High Demand</v>
      </c>
      <c r="U1172" s="18" t="str">
        <f t="shared" si="132"/>
        <v>High Value</v>
      </c>
    </row>
    <row r="1173" spans="1:21" x14ac:dyDescent="0.3">
      <c r="A1173" t="s">
        <v>1181</v>
      </c>
      <c r="B1173" s="1">
        <v>45263</v>
      </c>
      <c r="C1173" t="s">
        <v>1213</v>
      </c>
      <c r="D1173" t="s">
        <v>1217</v>
      </c>
      <c r="E1173" t="s">
        <v>1222</v>
      </c>
      <c r="F1173" t="s">
        <v>1227</v>
      </c>
      <c r="G1173" s="6">
        <v>3</v>
      </c>
      <c r="H1173">
        <v>2237</v>
      </c>
      <c r="I1173">
        <v>6711</v>
      </c>
      <c r="J1173" s="2">
        <v>1024.79</v>
      </c>
      <c r="K1173" s="16">
        <f>Table13[[#This Row],[Profit]]/Table13[[#This Row],[Sales]]</f>
        <v>0.15270302488451795</v>
      </c>
      <c r="L1173" s="17" t="str">
        <f t="shared" si="126"/>
        <v>Low</v>
      </c>
      <c r="M1173" s="17" t="str">
        <f t="shared" si="127"/>
        <v>Dec</v>
      </c>
      <c r="N1173" s="18">
        <f>YEAR(Table13[[#This Row],[Order_Date]])</f>
        <v>2023</v>
      </c>
      <c r="O1173" s="18">
        <f>Table13[[#This Row],[Price]]*0.7</f>
        <v>1565.8999999999999</v>
      </c>
      <c r="P1173" s="18">
        <f t="shared" si="128"/>
        <v>2013.3000000000002</v>
      </c>
      <c r="Q1173" s="18">
        <f t="shared" si="129"/>
        <v>0.05</v>
      </c>
      <c r="R1173" s="18">
        <f t="shared" si="130"/>
        <v>5686.21</v>
      </c>
      <c r="S1173" s="18" t="str">
        <f>IF(Table13[[#This Row],[Quantity]]&lt;=3,"Small",IF(Table13[[#This Row],[Quantity]]&lt;=6,"Medium","Bulk"))</f>
        <v>Small</v>
      </c>
      <c r="T1173" s="18" t="str">
        <f t="shared" si="131"/>
        <v>Normal</v>
      </c>
      <c r="U1173" s="18" t="str">
        <f t="shared" si="132"/>
        <v>low Value</v>
      </c>
    </row>
    <row r="1174" spans="1:21" x14ac:dyDescent="0.3">
      <c r="A1174" t="s">
        <v>1182</v>
      </c>
      <c r="B1174" s="1">
        <v>44992</v>
      </c>
      <c r="C1174" t="s">
        <v>1211</v>
      </c>
      <c r="D1174" t="s">
        <v>1216</v>
      </c>
      <c r="E1174" t="s">
        <v>1220</v>
      </c>
      <c r="F1174" t="s">
        <v>1225</v>
      </c>
      <c r="G1174" s="6">
        <v>8</v>
      </c>
      <c r="H1174">
        <v>1156</v>
      </c>
      <c r="I1174">
        <v>9248</v>
      </c>
      <c r="J1174" s="2">
        <v>1604.03</v>
      </c>
      <c r="K1174" s="16">
        <f>Table13[[#This Row],[Profit]]/Table13[[#This Row],[Sales]]</f>
        <v>0.17344615051903114</v>
      </c>
      <c r="L1174" s="17" t="str">
        <f t="shared" si="126"/>
        <v>Low</v>
      </c>
      <c r="M1174" s="17" t="str">
        <f t="shared" si="127"/>
        <v>Mar</v>
      </c>
      <c r="N1174" s="18">
        <f>YEAR(Table13[[#This Row],[Order_Date]])</f>
        <v>2023</v>
      </c>
      <c r="O1174" s="18">
        <f>Table13[[#This Row],[Price]]*0.7</f>
        <v>809.19999999999993</v>
      </c>
      <c r="P1174" s="18">
        <f t="shared" si="128"/>
        <v>2774.4000000000005</v>
      </c>
      <c r="Q1174" s="18">
        <f t="shared" si="129"/>
        <v>0.1</v>
      </c>
      <c r="R1174" s="18">
        <f t="shared" si="130"/>
        <v>7643.97</v>
      </c>
      <c r="S1174" s="18" t="str">
        <f>IF(Table13[[#This Row],[Quantity]]&lt;=3,"Small",IF(Table13[[#This Row],[Quantity]]&lt;=6,"Medium","Bulk"))</f>
        <v>Bulk</v>
      </c>
      <c r="T1174" s="18" t="str">
        <f t="shared" si="131"/>
        <v>Normal</v>
      </c>
      <c r="U1174" s="18" t="str">
        <f t="shared" si="132"/>
        <v>low Value</v>
      </c>
    </row>
    <row r="1175" spans="1:21" x14ac:dyDescent="0.3">
      <c r="A1175" t="s">
        <v>1183</v>
      </c>
      <c r="B1175" s="1">
        <v>45058</v>
      </c>
      <c r="C1175" t="s">
        <v>1212</v>
      </c>
      <c r="D1175" t="s">
        <v>1216</v>
      </c>
      <c r="E1175" t="s">
        <v>1221</v>
      </c>
      <c r="F1175" t="s">
        <v>1229</v>
      </c>
      <c r="G1175" s="6">
        <v>9</v>
      </c>
      <c r="H1175">
        <v>2449</v>
      </c>
      <c r="I1175">
        <v>22041</v>
      </c>
      <c r="J1175" s="2">
        <v>3054.47</v>
      </c>
      <c r="K1175" s="16">
        <f>Table13[[#This Row],[Profit]]/Table13[[#This Row],[Sales]]</f>
        <v>0.13858128034118233</v>
      </c>
      <c r="L1175" s="17" t="str">
        <f t="shared" si="126"/>
        <v>High</v>
      </c>
      <c r="M1175" s="17" t="str">
        <f t="shared" si="127"/>
        <v>May</v>
      </c>
      <c r="N1175" s="18">
        <f>YEAR(Table13[[#This Row],[Order_Date]])</f>
        <v>2023</v>
      </c>
      <c r="O1175" s="18">
        <f>Table13[[#This Row],[Price]]*0.7</f>
        <v>1714.3</v>
      </c>
      <c r="P1175" s="18">
        <f t="shared" si="128"/>
        <v>6612.3000000000011</v>
      </c>
      <c r="Q1175" s="18">
        <f t="shared" si="129"/>
        <v>0.1</v>
      </c>
      <c r="R1175" s="18">
        <f t="shared" si="130"/>
        <v>18986.53</v>
      </c>
      <c r="S1175" s="18" t="str">
        <f>IF(Table13[[#This Row],[Quantity]]&lt;=3,"Small",IF(Table13[[#This Row],[Quantity]]&lt;=6,"Medium","Bulk"))</f>
        <v>Bulk</v>
      </c>
      <c r="T1175" s="18" t="str">
        <f t="shared" si="131"/>
        <v>High Demand</v>
      </c>
      <c r="U1175" s="18" t="str">
        <f t="shared" si="132"/>
        <v>High Value</v>
      </c>
    </row>
    <row r="1176" spans="1:21" x14ac:dyDescent="0.3">
      <c r="A1176" t="s">
        <v>1184</v>
      </c>
      <c r="B1176" s="1">
        <v>45120</v>
      </c>
      <c r="C1176" t="s">
        <v>1213</v>
      </c>
      <c r="D1176" t="s">
        <v>1218</v>
      </c>
      <c r="E1176" t="s">
        <v>1222</v>
      </c>
      <c r="F1176" t="s">
        <v>1234</v>
      </c>
      <c r="G1176" s="6">
        <v>2</v>
      </c>
      <c r="H1176">
        <v>3012</v>
      </c>
      <c r="I1176">
        <v>6024</v>
      </c>
      <c r="J1176" s="2">
        <v>725.78</v>
      </c>
      <c r="K1176" s="16">
        <f>Table13[[#This Row],[Profit]]/Table13[[#This Row],[Sales]]</f>
        <v>0.12048140770252323</v>
      </c>
      <c r="L1176" s="17" t="str">
        <f t="shared" si="126"/>
        <v>Low</v>
      </c>
      <c r="M1176" s="17" t="str">
        <f t="shared" si="127"/>
        <v>Jul</v>
      </c>
      <c r="N1176" s="18">
        <f>YEAR(Table13[[#This Row],[Order_Date]])</f>
        <v>2023</v>
      </c>
      <c r="O1176" s="18">
        <f>Table13[[#This Row],[Price]]*0.7</f>
        <v>2108.4</v>
      </c>
      <c r="P1176" s="18">
        <f t="shared" si="128"/>
        <v>1807.1999999999998</v>
      </c>
      <c r="Q1176" s="18">
        <f t="shared" si="129"/>
        <v>0.05</v>
      </c>
      <c r="R1176" s="18">
        <f t="shared" si="130"/>
        <v>5298.22</v>
      </c>
      <c r="S1176" s="18" t="str">
        <f>IF(Table13[[#This Row],[Quantity]]&lt;=3,"Small",IF(Table13[[#This Row],[Quantity]]&lt;=6,"Medium","Bulk"))</f>
        <v>Small</v>
      </c>
      <c r="T1176" s="18" t="str">
        <f t="shared" si="131"/>
        <v>Normal</v>
      </c>
      <c r="U1176" s="18" t="str">
        <f t="shared" si="132"/>
        <v>low Value</v>
      </c>
    </row>
    <row r="1177" spans="1:21" x14ac:dyDescent="0.3">
      <c r="A1177" t="s">
        <v>1185</v>
      </c>
      <c r="B1177" s="1">
        <v>45051</v>
      </c>
      <c r="C1177" t="s">
        <v>1211</v>
      </c>
      <c r="D1177" t="s">
        <v>1218</v>
      </c>
      <c r="E1177" t="s">
        <v>1220</v>
      </c>
      <c r="F1177" t="s">
        <v>1237</v>
      </c>
      <c r="G1177" s="6">
        <v>9</v>
      </c>
      <c r="H1177">
        <v>2787</v>
      </c>
      <c r="I1177">
        <v>25083</v>
      </c>
      <c r="J1177" s="2">
        <v>4732.67</v>
      </c>
      <c r="K1177" s="16">
        <f>Table13[[#This Row],[Profit]]/Table13[[#This Row],[Sales]]</f>
        <v>0.18868038113463304</v>
      </c>
      <c r="L1177" s="17" t="str">
        <f t="shared" si="126"/>
        <v>High</v>
      </c>
      <c r="M1177" s="17" t="str">
        <f t="shared" si="127"/>
        <v>May</v>
      </c>
      <c r="N1177" s="18">
        <f>YEAR(Table13[[#This Row],[Order_Date]])</f>
        <v>2023</v>
      </c>
      <c r="O1177" s="18">
        <f>Table13[[#This Row],[Price]]*0.7</f>
        <v>1950.8999999999999</v>
      </c>
      <c r="P1177" s="18">
        <f t="shared" si="128"/>
        <v>7524.9000000000015</v>
      </c>
      <c r="Q1177" s="18">
        <f t="shared" si="129"/>
        <v>0.1</v>
      </c>
      <c r="R1177" s="18">
        <f t="shared" si="130"/>
        <v>20350.329999999998</v>
      </c>
      <c r="S1177" s="18" t="str">
        <f>IF(Table13[[#This Row],[Quantity]]&lt;=3,"Small",IF(Table13[[#This Row],[Quantity]]&lt;=6,"Medium","Bulk"))</f>
        <v>Bulk</v>
      </c>
      <c r="T1177" s="18" t="str">
        <f t="shared" si="131"/>
        <v>Normal</v>
      </c>
      <c r="U1177" s="18" t="str">
        <f t="shared" si="132"/>
        <v>High Value</v>
      </c>
    </row>
    <row r="1178" spans="1:21" x14ac:dyDescent="0.3">
      <c r="A1178" t="s">
        <v>1186</v>
      </c>
      <c r="B1178" s="1">
        <v>45251</v>
      </c>
      <c r="C1178" t="s">
        <v>1212</v>
      </c>
      <c r="D1178" t="s">
        <v>1217</v>
      </c>
      <c r="E1178" t="s">
        <v>1220</v>
      </c>
      <c r="F1178" t="s">
        <v>1228</v>
      </c>
      <c r="G1178" s="6">
        <v>9</v>
      </c>
      <c r="H1178">
        <v>4995</v>
      </c>
      <c r="I1178">
        <v>44955</v>
      </c>
      <c r="J1178" s="2">
        <v>9309.7999999999993</v>
      </c>
      <c r="K1178" s="16">
        <f>Table13[[#This Row],[Profit]]/Table13[[#This Row],[Sales]]</f>
        <v>0.20709153598042485</v>
      </c>
      <c r="L1178" s="17" t="str">
        <f t="shared" si="126"/>
        <v>High</v>
      </c>
      <c r="M1178" s="17" t="str">
        <f t="shared" si="127"/>
        <v>Nov</v>
      </c>
      <c r="N1178" s="18">
        <f>YEAR(Table13[[#This Row],[Order_Date]])</f>
        <v>2023</v>
      </c>
      <c r="O1178" s="18">
        <f>Table13[[#This Row],[Price]]*0.7</f>
        <v>3496.5</v>
      </c>
      <c r="P1178" s="18">
        <f t="shared" si="128"/>
        <v>13486.5</v>
      </c>
      <c r="Q1178" s="18">
        <f t="shared" si="129"/>
        <v>0.1</v>
      </c>
      <c r="R1178" s="18">
        <f t="shared" si="130"/>
        <v>35645.200000000004</v>
      </c>
      <c r="S1178" s="18" t="str">
        <f>IF(Table13[[#This Row],[Quantity]]&lt;=3,"Small",IF(Table13[[#This Row],[Quantity]]&lt;=6,"Medium","Bulk"))</f>
        <v>Bulk</v>
      </c>
      <c r="T1178" s="18" t="str">
        <f t="shared" si="131"/>
        <v>High Demand</v>
      </c>
      <c r="U1178" s="18" t="str">
        <f t="shared" si="132"/>
        <v>High Value</v>
      </c>
    </row>
    <row r="1179" spans="1:21" x14ac:dyDescent="0.3">
      <c r="A1179" t="s">
        <v>1187</v>
      </c>
      <c r="B1179" s="1">
        <v>45162</v>
      </c>
      <c r="C1179" t="s">
        <v>1212</v>
      </c>
      <c r="D1179" t="s">
        <v>1214</v>
      </c>
      <c r="E1179" t="s">
        <v>1220</v>
      </c>
      <c r="F1179" t="s">
        <v>1224</v>
      </c>
      <c r="G1179" s="6">
        <v>9</v>
      </c>
      <c r="H1179">
        <v>3486</v>
      </c>
      <c r="I1179">
        <v>31374</v>
      </c>
      <c r="J1179" s="2">
        <v>2971.05</v>
      </c>
      <c r="K1179" s="16">
        <f>Table13[[#This Row],[Profit]]/Table13[[#This Row],[Sales]]</f>
        <v>9.4697838974947421E-2</v>
      </c>
      <c r="L1179" s="17" t="str">
        <f t="shared" si="126"/>
        <v>High</v>
      </c>
      <c r="M1179" s="17" t="str">
        <f t="shared" si="127"/>
        <v>Aug</v>
      </c>
      <c r="N1179" s="18">
        <f>YEAR(Table13[[#This Row],[Order_Date]])</f>
        <v>2023</v>
      </c>
      <c r="O1179" s="18">
        <f>Table13[[#This Row],[Price]]*0.7</f>
        <v>2440.1999999999998</v>
      </c>
      <c r="P1179" s="18">
        <f t="shared" si="128"/>
        <v>9412.2000000000007</v>
      </c>
      <c r="Q1179" s="18">
        <f t="shared" si="129"/>
        <v>0.1</v>
      </c>
      <c r="R1179" s="18">
        <f t="shared" si="130"/>
        <v>28402.95</v>
      </c>
      <c r="S1179" s="18" t="str">
        <f>IF(Table13[[#This Row],[Quantity]]&lt;=3,"Small",IF(Table13[[#This Row],[Quantity]]&lt;=6,"Medium","Bulk"))</f>
        <v>Bulk</v>
      </c>
      <c r="T1179" s="18" t="str">
        <f t="shared" si="131"/>
        <v>High Demand</v>
      </c>
      <c r="U1179" s="18" t="str">
        <f t="shared" si="132"/>
        <v>High Value</v>
      </c>
    </row>
    <row r="1180" spans="1:21" x14ac:dyDescent="0.3">
      <c r="A1180" t="s">
        <v>1188</v>
      </c>
      <c r="B1180" s="1">
        <v>44986</v>
      </c>
      <c r="C1180" t="s">
        <v>1212</v>
      </c>
      <c r="D1180" t="s">
        <v>1218</v>
      </c>
      <c r="E1180" t="s">
        <v>1222</v>
      </c>
      <c r="F1180" t="s">
        <v>1230</v>
      </c>
      <c r="G1180" s="6">
        <v>7</v>
      </c>
      <c r="H1180">
        <v>1385</v>
      </c>
      <c r="I1180">
        <v>9695</v>
      </c>
      <c r="J1180" s="2">
        <v>2422.44</v>
      </c>
      <c r="K1180" s="16">
        <f>Table13[[#This Row],[Profit]]/Table13[[#This Row],[Sales]]</f>
        <v>0.24986487880350697</v>
      </c>
      <c r="L1180" s="17" t="str">
        <f t="shared" si="126"/>
        <v>Low</v>
      </c>
      <c r="M1180" s="17" t="str">
        <f t="shared" si="127"/>
        <v>Mar</v>
      </c>
      <c r="N1180" s="18">
        <f>YEAR(Table13[[#This Row],[Order_Date]])</f>
        <v>2023</v>
      </c>
      <c r="O1180" s="18">
        <f>Table13[[#This Row],[Price]]*0.7</f>
        <v>969.49999999999989</v>
      </c>
      <c r="P1180" s="18">
        <f t="shared" si="128"/>
        <v>2908.5000000000009</v>
      </c>
      <c r="Q1180" s="18">
        <f t="shared" si="129"/>
        <v>0.1</v>
      </c>
      <c r="R1180" s="18">
        <f t="shared" si="130"/>
        <v>7272.56</v>
      </c>
      <c r="S1180" s="18" t="str">
        <f>IF(Table13[[#This Row],[Quantity]]&lt;=3,"Small",IF(Table13[[#This Row],[Quantity]]&lt;=6,"Medium","Bulk"))</f>
        <v>Bulk</v>
      </c>
      <c r="T1180" s="18" t="str">
        <f t="shared" si="131"/>
        <v>High Demand</v>
      </c>
      <c r="U1180" s="18" t="str">
        <f t="shared" si="132"/>
        <v>low Value</v>
      </c>
    </row>
    <row r="1181" spans="1:21" x14ac:dyDescent="0.3">
      <c r="A1181" t="s">
        <v>1189</v>
      </c>
      <c r="B1181" s="1">
        <v>44940</v>
      </c>
      <c r="C1181" t="s">
        <v>1213</v>
      </c>
      <c r="D1181" t="s">
        <v>1216</v>
      </c>
      <c r="E1181" t="s">
        <v>1222</v>
      </c>
      <c r="F1181" t="s">
        <v>1227</v>
      </c>
      <c r="G1181" s="6">
        <v>6</v>
      </c>
      <c r="H1181">
        <v>4464</v>
      </c>
      <c r="I1181">
        <v>26784</v>
      </c>
      <c r="J1181" s="2">
        <v>4619.84</v>
      </c>
      <c r="K1181" s="16">
        <f>Table13[[#This Row],[Profit]]/Table13[[#This Row],[Sales]]</f>
        <v>0.17248506571087216</v>
      </c>
      <c r="L1181" s="17" t="str">
        <f t="shared" si="126"/>
        <v>High</v>
      </c>
      <c r="M1181" s="17" t="str">
        <f t="shared" si="127"/>
        <v>Jan</v>
      </c>
      <c r="N1181" s="18">
        <f>YEAR(Table13[[#This Row],[Order_Date]])</f>
        <v>2023</v>
      </c>
      <c r="O1181" s="18">
        <f>Table13[[#This Row],[Price]]*0.7</f>
        <v>3124.7999999999997</v>
      </c>
      <c r="P1181" s="18">
        <f t="shared" si="128"/>
        <v>8035.2000000000007</v>
      </c>
      <c r="Q1181" s="18">
        <f t="shared" si="129"/>
        <v>0.1</v>
      </c>
      <c r="R1181" s="18">
        <f t="shared" si="130"/>
        <v>22164.16</v>
      </c>
      <c r="S1181" s="18" t="str">
        <f>IF(Table13[[#This Row],[Quantity]]&lt;=3,"Small",IF(Table13[[#This Row],[Quantity]]&lt;=6,"Medium","Bulk"))</f>
        <v>Medium</v>
      </c>
      <c r="T1181" s="18" t="str">
        <f t="shared" si="131"/>
        <v>Normal</v>
      </c>
      <c r="U1181" s="18" t="str">
        <f t="shared" si="132"/>
        <v>High Value</v>
      </c>
    </row>
    <row r="1182" spans="1:21" x14ac:dyDescent="0.3">
      <c r="A1182" t="s">
        <v>1190</v>
      </c>
      <c r="B1182" s="1">
        <v>45011</v>
      </c>
      <c r="C1182" t="s">
        <v>1213</v>
      </c>
      <c r="D1182" t="s">
        <v>1216</v>
      </c>
      <c r="E1182" t="s">
        <v>1222</v>
      </c>
      <c r="F1182" t="s">
        <v>1227</v>
      </c>
      <c r="G1182" s="6">
        <v>8</v>
      </c>
      <c r="H1182">
        <v>1889</v>
      </c>
      <c r="I1182">
        <v>15112</v>
      </c>
      <c r="J1182" s="2">
        <v>1946.89</v>
      </c>
      <c r="K1182" s="16">
        <f>Table13[[#This Row],[Profit]]/Table13[[#This Row],[Sales]]</f>
        <v>0.12883073054526206</v>
      </c>
      <c r="L1182" s="17" t="str">
        <f t="shared" si="126"/>
        <v>Medium</v>
      </c>
      <c r="M1182" s="17" t="str">
        <f t="shared" si="127"/>
        <v>Mar</v>
      </c>
      <c r="N1182" s="18">
        <f>YEAR(Table13[[#This Row],[Order_Date]])</f>
        <v>2023</v>
      </c>
      <c r="O1182" s="18">
        <f>Table13[[#This Row],[Price]]*0.7</f>
        <v>1322.3</v>
      </c>
      <c r="P1182" s="18">
        <f t="shared" si="128"/>
        <v>4533.6000000000004</v>
      </c>
      <c r="Q1182" s="18">
        <f t="shared" si="129"/>
        <v>0.1</v>
      </c>
      <c r="R1182" s="18">
        <f t="shared" si="130"/>
        <v>13165.11</v>
      </c>
      <c r="S1182" s="18" t="str">
        <f>IF(Table13[[#This Row],[Quantity]]&lt;=3,"Small",IF(Table13[[#This Row],[Quantity]]&lt;=6,"Medium","Bulk"))</f>
        <v>Bulk</v>
      </c>
      <c r="T1182" s="18" t="str">
        <f t="shared" si="131"/>
        <v>Normal</v>
      </c>
      <c r="U1182" s="18" t="str">
        <f t="shared" si="132"/>
        <v>Medium Value</v>
      </c>
    </row>
    <row r="1183" spans="1:21" x14ac:dyDescent="0.3">
      <c r="A1183" t="s">
        <v>1191</v>
      </c>
      <c r="B1183" s="1">
        <v>45156</v>
      </c>
      <c r="C1183" t="s">
        <v>1211</v>
      </c>
      <c r="D1183" t="s">
        <v>1239</v>
      </c>
      <c r="E1183" t="s">
        <v>1220</v>
      </c>
      <c r="F1183" t="s">
        <v>1224</v>
      </c>
      <c r="G1183" s="6">
        <v>6</v>
      </c>
      <c r="H1183">
        <v>3223</v>
      </c>
      <c r="I1183">
        <v>19338</v>
      </c>
      <c r="J1183" s="2">
        <v>4199.29</v>
      </c>
      <c r="K1183" s="16">
        <f>Table13[[#This Row],[Profit]]/Table13[[#This Row],[Sales]]</f>
        <v>0.21715223911469644</v>
      </c>
      <c r="L1183" s="17" t="str">
        <f t="shared" si="126"/>
        <v>Medium</v>
      </c>
      <c r="M1183" s="17" t="str">
        <f t="shared" si="127"/>
        <v>Aug</v>
      </c>
      <c r="N1183" s="18">
        <f>YEAR(Table13[[#This Row],[Order_Date]])</f>
        <v>2023</v>
      </c>
      <c r="O1183" s="18">
        <f>Table13[[#This Row],[Price]]*0.7</f>
        <v>2256.1</v>
      </c>
      <c r="P1183" s="18">
        <f t="shared" si="128"/>
        <v>5801.4000000000015</v>
      </c>
      <c r="Q1183" s="18">
        <f t="shared" si="129"/>
        <v>0.1</v>
      </c>
      <c r="R1183" s="18">
        <f t="shared" si="130"/>
        <v>15138.71</v>
      </c>
      <c r="S1183" s="18" t="str">
        <f>IF(Table13[[#This Row],[Quantity]]&lt;=3,"Small",IF(Table13[[#This Row],[Quantity]]&lt;=6,"Medium","Bulk"))</f>
        <v>Medium</v>
      </c>
      <c r="T1183" s="18" t="str">
        <f t="shared" si="131"/>
        <v>Normal</v>
      </c>
      <c r="U1183" s="18" t="str">
        <f t="shared" si="132"/>
        <v>Medium Value</v>
      </c>
    </row>
    <row r="1184" spans="1:21" x14ac:dyDescent="0.3">
      <c r="A1184" t="s">
        <v>1192</v>
      </c>
      <c r="B1184" s="1">
        <v>45183</v>
      </c>
      <c r="C1184" t="s">
        <v>1210</v>
      </c>
      <c r="D1184" t="s">
        <v>1215</v>
      </c>
      <c r="E1184" t="s">
        <v>1222</v>
      </c>
      <c r="F1184" t="s">
        <v>1227</v>
      </c>
      <c r="G1184" s="6">
        <v>2</v>
      </c>
      <c r="H1184">
        <v>1329</v>
      </c>
      <c r="I1184">
        <v>2658</v>
      </c>
      <c r="J1184" s="2">
        <v>275.12</v>
      </c>
      <c r="K1184" s="16">
        <f>Table13[[#This Row],[Profit]]/Table13[[#This Row],[Sales]]</f>
        <v>0.10350639578630549</v>
      </c>
      <c r="L1184" s="17" t="str">
        <f t="shared" si="126"/>
        <v>Low</v>
      </c>
      <c r="M1184" s="17" t="str">
        <f t="shared" si="127"/>
        <v>Sep</v>
      </c>
      <c r="N1184" s="18">
        <f>YEAR(Table13[[#This Row],[Order_Date]])</f>
        <v>2023</v>
      </c>
      <c r="O1184" s="18">
        <f>Table13[[#This Row],[Price]]*0.7</f>
        <v>930.3</v>
      </c>
      <c r="P1184" s="18">
        <f t="shared" si="128"/>
        <v>797.40000000000009</v>
      </c>
      <c r="Q1184" s="18">
        <f t="shared" si="129"/>
        <v>0.05</v>
      </c>
      <c r="R1184" s="18">
        <f t="shared" si="130"/>
        <v>2382.88</v>
      </c>
      <c r="S1184" s="18" t="str">
        <f>IF(Table13[[#This Row],[Quantity]]&lt;=3,"Small",IF(Table13[[#This Row],[Quantity]]&lt;=6,"Medium","Bulk"))</f>
        <v>Small</v>
      </c>
      <c r="T1184" s="18" t="str">
        <f t="shared" si="131"/>
        <v>Normal</v>
      </c>
      <c r="U1184" s="18" t="str">
        <f t="shared" si="132"/>
        <v>low Value</v>
      </c>
    </row>
    <row r="1185" spans="1:21" x14ac:dyDescent="0.3">
      <c r="A1185" t="s">
        <v>1193</v>
      </c>
      <c r="B1185" s="1">
        <v>44960</v>
      </c>
      <c r="C1185" t="s">
        <v>1213</v>
      </c>
      <c r="D1185" t="s">
        <v>1218</v>
      </c>
      <c r="E1185" t="s">
        <v>1222</v>
      </c>
      <c r="F1185" t="s">
        <v>1227</v>
      </c>
      <c r="G1185" s="6">
        <v>4</v>
      </c>
      <c r="H1185">
        <v>3409</v>
      </c>
      <c r="I1185">
        <v>13636</v>
      </c>
      <c r="J1185" s="2">
        <v>2895.16</v>
      </c>
      <c r="K1185" s="16">
        <f>Table13[[#This Row],[Profit]]/Table13[[#This Row],[Sales]]</f>
        <v>0.2123173951305368</v>
      </c>
      <c r="L1185" s="17" t="str">
        <f t="shared" si="126"/>
        <v>Medium</v>
      </c>
      <c r="M1185" s="17" t="str">
        <f t="shared" si="127"/>
        <v>Feb</v>
      </c>
      <c r="N1185" s="18">
        <f>YEAR(Table13[[#This Row],[Order_Date]])</f>
        <v>2023</v>
      </c>
      <c r="O1185" s="18">
        <f>Table13[[#This Row],[Price]]*0.7</f>
        <v>2386.2999999999997</v>
      </c>
      <c r="P1185" s="18">
        <f t="shared" si="128"/>
        <v>4090.8000000000011</v>
      </c>
      <c r="Q1185" s="18">
        <f t="shared" si="129"/>
        <v>0.05</v>
      </c>
      <c r="R1185" s="18">
        <f t="shared" si="130"/>
        <v>10740.84</v>
      </c>
      <c r="S1185" s="18" t="str">
        <f>IF(Table13[[#This Row],[Quantity]]&lt;=3,"Small",IF(Table13[[#This Row],[Quantity]]&lt;=6,"Medium","Bulk"))</f>
        <v>Medium</v>
      </c>
      <c r="T1185" s="18" t="str">
        <f t="shared" si="131"/>
        <v>Normal</v>
      </c>
      <c r="U1185" s="18" t="str">
        <f t="shared" si="132"/>
        <v>Medium Value</v>
      </c>
    </row>
    <row r="1186" spans="1:21" x14ac:dyDescent="0.3">
      <c r="A1186" t="s">
        <v>1194</v>
      </c>
      <c r="B1186" s="1">
        <v>44927</v>
      </c>
      <c r="C1186" t="s">
        <v>1212</v>
      </c>
      <c r="D1186" t="s">
        <v>1218</v>
      </c>
      <c r="E1186" t="s">
        <v>1220</v>
      </c>
      <c r="F1186" t="s">
        <v>1237</v>
      </c>
      <c r="G1186" s="6">
        <v>6</v>
      </c>
      <c r="H1186">
        <v>2075</v>
      </c>
      <c r="I1186">
        <v>12450</v>
      </c>
      <c r="J1186" s="2">
        <v>1839.38</v>
      </c>
      <c r="K1186" s="16">
        <f>Table13[[#This Row],[Profit]]/Table13[[#This Row],[Sales]]</f>
        <v>0.14774136546184741</v>
      </c>
      <c r="L1186" s="17" t="str">
        <f t="shared" si="126"/>
        <v>Medium</v>
      </c>
      <c r="M1186" s="17" t="str">
        <f t="shared" si="127"/>
        <v>Jan</v>
      </c>
      <c r="N1186" s="18">
        <f>YEAR(Table13[[#This Row],[Order_Date]])</f>
        <v>2023</v>
      </c>
      <c r="O1186" s="18">
        <f>Table13[[#This Row],[Price]]*0.7</f>
        <v>1452.5</v>
      </c>
      <c r="P1186" s="18">
        <f t="shared" si="128"/>
        <v>3735</v>
      </c>
      <c r="Q1186" s="18">
        <f t="shared" si="129"/>
        <v>0.1</v>
      </c>
      <c r="R1186" s="18">
        <f t="shared" si="130"/>
        <v>10610.62</v>
      </c>
      <c r="S1186" s="18" t="str">
        <f>IF(Table13[[#This Row],[Quantity]]&lt;=3,"Small",IF(Table13[[#This Row],[Quantity]]&lt;=6,"Medium","Bulk"))</f>
        <v>Medium</v>
      </c>
      <c r="T1186" s="18" t="str">
        <f t="shared" si="131"/>
        <v>High Demand</v>
      </c>
      <c r="U1186" s="18" t="str">
        <f t="shared" si="132"/>
        <v>Medium Value</v>
      </c>
    </row>
    <row r="1187" spans="1:21" x14ac:dyDescent="0.3">
      <c r="A1187" t="s">
        <v>1195</v>
      </c>
      <c r="B1187" s="1">
        <v>45280</v>
      </c>
      <c r="C1187" t="s">
        <v>1212</v>
      </c>
      <c r="D1187" t="s">
        <v>1214</v>
      </c>
      <c r="E1187" t="s">
        <v>1221</v>
      </c>
      <c r="F1187" t="s">
        <v>1235</v>
      </c>
      <c r="G1187" s="6">
        <v>7</v>
      </c>
      <c r="H1187">
        <v>2868</v>
      </c>
      <c r="I1187">
        <v>20076</v>
      </c>
      <c r="J1187" s="2">
        <v>1940.7</v>
      </c>
      <c r="K1187" s="16">
        <f>Table13[[#This Row],[Profit]]/Table13[[#This Row],[Sales]]</f>
        <v>9.6667662881052011E-2</v>
      </c>
      <c r="L1187" s="17" t="str">
        <f t="shared" si="126"/>
        <v>High</v>
      </c>
      <c r="M1187" s="17" t="str">
        <f t="shared" si="127"/>
        <v>Dec</v>
      </c>
      <c r="N1187" s="18">
        <f>YEAR(Table13[[#This Row],[Order_Date]])</f>
        <v>2023</v>
      </c>
      <c r="O1187" s="18">
        <f>Table13[[#This Row],[Price]]*0.7</f>
        <v>2007.6</v>
      </c>
      <c r="P1187" s="18">
        <f t="shared" si="128"/>
        <v>6022.8000000000011</v>
      </c>
      <c r="Q1187" s="18">
        <f t="shared" si="129"/>
        <v>0.1</v>
      </c>
      <c r="R1187" s="18">
        <f t="shared" si="130"/>
        <v>18135.3</v>
      </c>
      <c r="S1187" s="18" t="str">
        <f>IF(Table13[[#This Row],[Quantity]]&lt;=3,"Small",IF(Table13[[#This Row],[Quantity]]&lt;=6,"Medium","Bulk"))</f>
        <v>Bulk</v>
      </c>
      <c r="T1187" s="18" t="str">
        <f t="shared" si="131"/>
        <v>High Demand</v>
      </c>
      <c r="U1187" s="18" t="str">
        <f t="shared" si="132"/>
        <v>High Value</v>
      </c>
    </row>
    <row r="1188" spans="1:21" x14ac:dyDescent="0.3">
      <c r="A1188" t="s">
        <v>1196</v>
      </c>
      <c r="B1188" s="1">
        <v>45007</v>
      </c>
      <c r="C1188" t="s">
        <v>1210</v>
      </c>
      <c r="D1188" t="s">
        <v>1218</v>
      </c>
      <c r="E1188" t="s">
        <v>1221</v>
      </c>
      <c r="F1188" t="s">
        <v>1229</v>
      </c>
      <c r="G1188" s="6">
        <v>3</v>
      </c>
      <c r="H1188">
        <v>2370</v>
      </c>
      <c r="I1188">
        <v>7110</v>
      </c>
      <c r="J1188" s="2">
        <v>1521.74</v>
      </c>
      <c r="K1188" s="16">
        <f>Table13[[#This Row],[Profit]]/Table13[[#This Row],[Sales]]</f>
        <v>0.21402812939521801</v>
      </c>
      <c r="L1188" s="17" t="str">
        <f t="shared" si="126"/>
        <v>Low</v>
      </c>
      <c r="M1188" s="17" t="str">
        <f t="shared" si="127"/>
        <v>Mar</v>
      </c>
      <c r="N1188" s="18">
        <f>YEAR(Table13[[#This Row],[Order_Date]])</f>
        <v>2023</v>
      </c>
      <c r="O1188" s="18">
        <f>Table13[[#This Row],[Price]]*0.7</f>
        <v>1659</v>
      </c>
      <c r="P1188" s="18">
        <f t="shared" si="128"/>
        <v>2133</v>
      </c>
      <c r="Q1188" s="18">
        <f t="shared" si="129"/>
        <v>0.05</v>
      </c>
      <c r="R1188" s="18">
        <f t="shared" si="130"/>
        <v>5588.26</v>
      </c>
      <c r="S1188" s="18" t="str">
        <f>IF(Table13[[#This Row],[Quantity]]&lt;=3,"Small",IF(Table13[[#This Row],[Quantity]]&lt;=6,"Medium","Bulk"))</f>
        <v>Small</v>
      </c>
      <c r="T1188" s="18" t="str">
        <f t="shared" si="131"/>
        <v>Normal</v>
      </c>
      <c r="U1188" s="18" t="str">
        <f t="shared" si="132"/>
        <v>low Value</v>
      </c>
    </row>
    <row r="1189" spans="1:21" x14ac:dyDescent="0.3">
      <c r="A1189" t="s">
        <v>1197</v>
      </c>
      <c r="B1189" s="1">
        <v>44946</v>
      </c>
      <c r="C1189" t="s">
        <v>1213</v>
      </c>
      <c r="D1189" t="s">
        <v>1218</v>
      </c>
      <c r="E1189" t="s">
        <v>1220</v>
      </c>
      <c r="F1189" t="s">
        <v>1224</v>
      </c>
      <c r="G1189" s="6">
        <v>5</v>
      </c>
      <c r="H1189">
        <v>2956</v>
      </c>
      <c r="I1189">
        <v>14780</v>
      </c>
      <c r="J1189" s="2">
        <v>1433.07</v>
      </c>
      <c r="K1189" s="16">
        <f>Table13[[#This Row],[Profit]]/Table13[[#This Row],[Sales]]</f>
        <v>9.6960081190798367E-2</v>
      </c>
      <c r="L1189" s="17" t="str">
        <f t="shared" si="126"/>
        <v>Medium</v>
      </c>
      <c r="M1189" s="17" t="str">
        <f t="shared" si="127"/>
        <v>Jan</v>
      </c>
      <c r="N1189" s="18">
        <f>YEAR(Table13[[#This Row],[Order_Date]])</f>
        <v>2023</v>
      </c>
      <c r="O1189" s="18">
        <f>Table13[[#This Row],[Price]]*0.7</f>
        <v>2069.1999999999998</v>
      </c>
      <c r="P1189" s="18">
        <f t="shared" si="128"/>
        <v>4434</v>
      </c>
      <c r="Q1189" s="18">
        <f t="shared" si="129"/>
        <v>0.05</v>
      </c>
      <c r="R1189" s="18">
        <f t="shared" si="130"/>
        <v>13346.93</v>
      </c>
      <c r="S1189" s="18" t="str">
        <f>IF(Table13[[#This Row],[Quantity]]&lt;=3,"Small",IF(Table13[[#This Row],[Quantity]]&lt;=6,"Medium","Bulk"))</f>
        <v>Medium</v>
      </c>
      <c r="T1189" s="18" t="str">
        <f t="shared" si="131"/>
        <v>Normal</v>
      </c>
      <c r="U1189" s="18" t="str">
        <f t="shared" si="132"/>
        <v>Medium Value</v>
      </c>
    </row>
    <row r="1190" spans="1:21" x14ac:dyDescent="0.3">
      <c r="A1190" t="s">
        <v>1198</v>
      </c>
      <c r="B1190" s="1">
        <v>45207</v>
      </c>
      <c r="C1190" t="s">
        <v>1210</v>
      </c>
      <c r="D1190" t="s">
        <v>1218</v>
      </c>
      <c r="E1190" t="s">
        <v>1220</v>
      </c>
      <c r="F1190" t="s">
        <v>1228</v>
      </c>
      <c r="G1190" s="6">
        <v>1</v>
      </c>
      <c r="H1190">
        <v>3403</v>
      </c>
      <c r="I1190">
        <v>3403</v>
      </c>
      <c r="J1190" s="2">
        <v>582.02</v>
      </c>
      <c r="K1190" s="16">
        <f>Table13[[#This Row],[Profit]]/Table13[[#This Row],[Sales]]</f>
        <v>0.17103144284454891</v>
      </c>
      <c r="L1190" s="17" t="str">
        <f t="shared" si="126"/>
        <v>Low</v>
      </c>
      <c r="M1190" s="17" t="str">
        <f t="shared" si="127"/>
        <v>Oct</v>
      </c>
      <c r="N1190" s="18">
        <f>YEAR(Table13[[#This Row],[Order_Date]])</f>
        <v>2023</v>
      </c>
      <c r="O1190" s="18">
        <f>Table13[[#This Row],[Price]]*0.7</f>
        <v>2382.1</v>
      </c>
      <c r="P1190" s="18">
        <f t="shared" si="128"/>
        <v>1020.9000000000001</v>
      </c>
      <c r="Q1190" s="18">
        <f t="shared" si="129"/>
        <v>0.05</v>
      </c>
      <c r="R1190" s="18">
        <f t="shared" si="130"/>
        <v>2820.98</v>
      </c>
      <c r="S1190" s="18" t="str">
        <f>IF(Table13[[#This Row],[Quantity]]&lt;=3,"Small",IF(Table13[[#This Row],[Quantity]]&lt;=6,"Medium","Bulk"))</f>
        <v>Small</v>
      </c>
      <c r="T1190" s="18" t="str">
        <f t="shared" si="131"/>
        <v>Normal</v>
      </c>
      <c r="U1190" s="18" t="str">
        <f t="shared" si="132"/>
        <v>low Value</v>
      </c>
    </row>
    <row r="1191" spans="1:21" x14ac:dyDescent="0.3">
      <c r="A1191" t="s">
        <v>1199</v>
      </c>
      <c r="B1191" s="1">
        <v>45204</v>
      </c>
      <c r="C1191" t="s">
        <v>1211</v>
      </c>
      <c r="D1191" t="s">
        <v>1217</v>
      </c>
      <c r="E1191" t="s">
        <v>1220</v>
      </c>
      <c r="F1191" t="s">
        <v>1237</v>
      </c>
      <c r="G1191" s="6">
        <v>2</v>
      </c>
      <c r="H1191">
        <v>242</v>
      </c>
      <c r="I1191">
        <v>484</v>
      </c>
      <c r="J1191" s="2">
        <v>102.09</v>
      </c>
      <c r="K1191" s="16">
        <f>Table13[[#This Row],[Profit]]/Table13[[#This Row],[Sales]]</f>
        <v>0.21092975206611572</v>
      </c>
      <c r="L1191" s="17" t="str">
        <f t="shared" si="126"/>
        <v>Low</v>
      </c>
      <c r="M1191" s="17" t="str">
        <f t="shared" si="127"/>
        <v>Oct</v>
      </c>
      <c r="N1191" s="18">
        <f>YEAR(Table13[[#This Row],[Order_Date]])</f>
        <v>2023</v>
      </c>
      <c r="O1191" s="18">
        <f>Table13[[#This Row],[Price]]*0.7</f>
        <v>169.39999999999998</v>
      </c>
      <c r="P1191" s="18">
        <f t="shared" si="128"/>
        <v>145.20000000000005</v>
      </c>
      <c r="Q1191" s="18">
        <f t="shared" si="129"/>
        <v>0.05</v>
      </c>
      <c r="R1191" s="18">
        <f t="shared" si="130"/>
        <v>381.90999999999997</v>
      </c>
      <c r="S1191" s="18" t="str">
        <f>IF(Table13[[#This Row],[Quantity]]&lt;=3,"Small",IF(Table13[[#This Row],[Quantity]]&lt;=6,"Medium","Bulk"))</f>
        <v>Small</v>
      </c>
      <c r="T1191" s="18" t="str">
        <f t="shared" si="131"/>
        <v>Normal</v>
      </c>
      <c r="U1191" s="18" t="str">
        <f t="shared" si="132"/>
        <v>low Value</v>
      </c>
    </row>
    <row r="1192" spans="1:21" x14ac:dyDescent="0.3">
      <c r="A1192" t="s">
        <v>1200</v>
      </c>
      <c r="B1192" s="1">
        <v>45130</v>
      </c>
      <c r="C1192" t="s">
        <v>1212</v>
      </c>
      <c r="D1192" t="s">
        <v>1215</v>
      </c>
      <c r="E1192" t="s">
        <v>1220</v>
      </c>
      <c r="F1192" t="s">
        <v>1225</v>
      </c>
      <c r="G1192" s="6">
        <v>2</v>
      </c>
      <c r="H1192">
        <v>1767</v>
      </c>
      <c r="I1192">
        <v>3534</v>
      </c>
      <c r="J1192" s="2">
        <v>411.01</v>
      </c>
      <c r="K1192" s="16">
        <f>Table13[[#This Row],[Profit]]/Table13[[#This Row],[Sales]]</f>
        <v>0.11630164119977363</v>
      </c>
      <c r="L1192" s="17" t="str">
        <f t="shared" si="126"/>
        <v>Low</v>
      </c>
      <c r="M1192" s="17" t="str">
        <f t="shared" si="127"/>
        <v>Jul</v>
      </c>
      <c r="N1192" s="18">
        <f>YEAR(Table13[[#This Row],[Order_Date]])</f>
        <v>2023</v>
      </c>
      <c r="O1192" s="18">
        <f>Table13[[#This Row],[Price]]*0.7</f>
        <v>1236.8999999999999</v>
      </c>
      <c r="P1192" s="18">
        <f t="shared" si="128"/>
        <v>1060.2000000000003</v>
      </c>
      <c r="Q1192" s="18">
        <f t="shared" si="129"/>
        <v>0.05</v>
      </c>
      <c r="R1192" s="18">
        <f t="shared" si="130"/>
        <v>3122.9900000000002</v>
      </c>
      <c r="S1192" s="18" t="str">
        <f>IF(Table13[[#This Row],[Quantity]]&lt;=3,"Small",IF(Table13[[#This Row],[Quantity]]&lt;=6,"Medium","Bulk"))</f>
        <v>Small</v>
      </c>
      <c r="T1192" s="18" t="str">
        <f t="shared" si="131"/>
        <v>High Demand</v>
      </c>
      <c r="U1192" s="18" t="str">
        <f t="shared" si="132"/>
        <v>low Value</v>
      </c>
    </row>
    <row r="1193" spans="1:21" x14ac:dyDescent="0.3">
      <c r="A1193" t="s">
        <v>1201</v>
      </c>
      <c r="B1193" s="1">
        <v>45040</v>
      </c>
      <c r="C1193" t="s">
        <v>1210</v>
      </c>
      <c r="D1193" t="s">
        <v>1214</v>
      </c>
      <c r="E1193" t="s">
        <v>1221</v>
      </c>
      <c r="F1193" t="s">
        <v>1226</v>
      </c>
      <c r="G1193" s="6">
        <v>2</v>
      </c>
      <c r="H1193">
        <v>3601</v>
      </c>
      <c r="I1193">
        <v>7202</v>
      </c>
      <c r="J1193" s="2">
        <v>1683.1</v>
      </c>
      <c r="K1193" s="16">
        <f>Table13[[#This Row],[Profit]]/Table13[[#This Row],[Sales]]</f>
        <v>0.23369897250763674</v>
      </c>
      <c r="L1193" s="17" t="str">
        <f t="shared" si="126"/>
        <v>Low</v>
      </c>
      <c r="M1193" s="17" t="str">
        <f t="shared" si="127"/>
        <v>Apr</v>
      </c>
      <c r="N1193" s="18">
        <f>YEAR(Table13[[#This Row],[Order_Date]])</f>
        <v>2023</v>
      </c>
      <c r="O1193" s="18">
        <f>Table13[[#This Row],[Price]]*0.7</f>
        <v>2520.6999999999998</v>
      </c>
      <c r="P1193" s="18">
        <f t="shared" si="128"/>
        <v>2160.6000000000004</v>
      </c>
      <c r="Q1193" s="18">
        <f t="shared" si="129"/>
        <v>0.05</v>
      </c>
      <c r="R1193" s="18">
        <f t="shared" si="130"/>
        <v>5518.9000000000005</v>
      </c>
      <c r="S1193" s="18" t="str">
        <f>IF(Table13[[#This Row],[Quantity]]&lt;=3,"Small",IF(Table13[[#This Row],[Quantity]]&lt;=6,"Medium","Bulk"))</f>
        <v>Small</v>
      </c>
      <c r="T1193" s="18" t="str">
        <f t="shared" si="131"/>
        <v>Normal</v>
      </c>
      <c r="U1193" s="18" t="str">
        <f t="shared" si="132"/>
        <v>low Value</v>
      </c>
    </row>
    <row r="1194" spans="1:21" x14ac:dyDescent="0.3">
      <c r="A1194" t="s">
        <v>1202</v>
      </c>
      <c r="B1194" s="1">
        <v>45239</v>
      </c>
      <c r="C1194" t="s">
        <v>1211</v>
      </c>
      <c r="D1194" t="s">
        <v>1217</v>
      </c>
      <c r="E1194" t="s">
        <v>1219</v>
      </c>
      <c r="F1194" t="s">
        <v>1232</v>
      </c>
      <c r="G1194" s="6">
        <v>4</v>
      </c>
      <c r="H1194">
        <v>2139</v>
      </c>
      <c r="I1194">
        <v>8556</v>
      </c>
      <c r="J1194" s="2">
        <v>2015</v>
      </c>
      <c r="K1194" s="16">
        <f>Table13[[#This Row],[Profit]]/Table13[[#This Row],[Sales]]</f>
        <v>0.23550724637681159</v>
      </c>
      <c r="L1194" s="17" t="str">
        <f t="shared" si="126"/>
        <v>Low</v>
      </c>
      <c r="M1194" s="17" t="str">
        <f t="shared" si="127"/>
        <v>Nov</v>
      </c>
      <c r="N1194" s="18">
        <f>YEAR(Table13[[#This Row],[Order_Date]])</f>
        <v>2023</v>
      </c>
      <c r="O1194" s="18">
        <f>Table13[[#This Row],[Price]]*0.7</f>
        <v>1497.3</v>
      </c>
      <c r="P1194" s="18">
        <f t="shared" si="128"/>
        <v>2566.8000000000002</v>
      </c>
      <c r="Q1194" s="18">
        <f t="shared" si="129"/>
        <v>0.05</v>
      </c>
      <c r="R1194" s="18">
        <f t="shared" si="130"/>
        <v>6541.0000000000009</v>
      </c>
      <c r="S1194" s="18" t="str">
        <f>IF(Table13[[#This Row],[Quantity]]&lt;=3,"Small",IF(Table13[[#This Row],[Quantity]]&lt;=6,"Medium","Bulk"))</f>
        <v>Medium</v>
      </c>
      <c r="T1194" s="18" t="str">
        <f t="shared" si="131"/>
        <v>Normal</v>
      </c>
      <c r="U1194" s="18" t="str">
        <f t="shared" si="132"/>
        <v>low Value</v>
      </c>
    </row>
    <row r="1195" spans="1:21" x14ac:dyDescent="0.3">
      <c r="A1195" t="s">
        <v>1203</v>
      </c>
      <c r="B1195" s="1">
        <v>44968</v>
      </c>
      <c r="C1195" t="s">
        <v>1210</v>
      </c>
      <c r="D1195" t="s">
        <v>1216</v>
      </c>
      <c r="E1195" t="s">
        <v>1220</v>
      </c>
      <c r="F1195" t="s">
        <v>1225</v>
      </c>
      <c r="G1195" s="6">
        <v>9</v>
      </c>
      <c r="H1195">
        <v>1077</v>
      </c>
      <c r="I1195">
        <v>9693</v>
      </c>
      <c r="J1195" s="2">
        <v>1094.5</v>
      </c>
      <c r="K1195" s="16">
        <f>Table13[[#This Row],[Profit]]/Table13[[#This Row],[Sales]]</f>
        <v>0.11291653770762405</v>
      </c>
      <c r="L1195" s="17" t="str">
        <f t="shared" si="126"/>
        <v>Low</v>
      </c>
      <c r="M1195" s="17" t="str">
        <f t="shared" si="127"/>
        <v>Feb</v>
      </c>
      <c r="N1195" s="18">
        <f>YEAR(Table13[[#This Row],[Order_Date]])</f>
        <v>2023</v>
      </c>
      <c r="O1195" s="18">
        <f>Table13[[#This Row],[Price]]*0.7</f>
        <v>753.9</v>
      </c>
      <c r="P1195" s="18">
        <f t="shared" si="128"/>
        <v>2907.9000000000005</v>
      </c>
      <c r="Q1195" s="18">
        <f t="shared" si="129"/>
        <v>0.1</v>
      </c>
      <c r="R1195" s="18">
        <f t="shared" si="130"/>
        <v>8598.5</v>
      </c>
      <c r="S1195" s="18" t="str">
        <f>IF(Table13[[#This Row],[Quantity]]&lt;=3,"Small",IF(Table13[[#This Row],[Quantity]]&lt;=6,"Medium","Bulk"))</f>
        <v>Bulk</v>
      </c>
      <c r="T1195" s="18" t="str">
        <f t="shared" si="131"/>
        <v>Normal</v>
      </c>
      <c r="U1195" s="18" t="str">
        <f t="shared" si="132"/>
        <v>low Value</v>
      </c>
    </row>
    <row r="1196" spans="1:21" x14ac:dyDescent="0.3">
      <c r="A1196" t="s">
        <v>1204</v>
      </c>
      <c r="B1196" s="1">
        <v>45285</v>
      </c>
      <c r="C1196" t="s">
        <v>1212</v>
      </c>
      <c r="D1196" t="s">
        <v>1214</v>
      </c>
      <c r="E1196" t="s">
        <v>1222</v>
      </c>
      <c r="F1196" t="s">
        <v>1234</v>
      </c>
      <c r="G1196" s="6">
        <v>6</v>
      </c>
      <c r="H1196">
        <v>2955</v>
      </c>
      <c r="I1196">
        <v>17730</v>
      </c>
      <c r="J1196" s="2">
        <v>2101.87</v>
      </c>
      <c r="K1196" s="16">
        <f>Table13[[#This Row],[Profit]]/Table13[[#This Row],[Sales]]</f>
        <v>0.11854878736604624</v>
      </c>
      <c r="L1196" s="17" t="str">
        <f t="shared" si="126"/>
        <v>Medium</v>
      </c>
      <c r="M1196" s="17" t="str">
        <f t="shared" si="127"/>
        <v>Dec</v>
      </c>
      <c r="N1196" s="18">
        <f>YEAR(Table13[[#This Row],[Order_Date]])</f>
        <v>2023</v>
      </c>
      <c r="O1196" s="18">
        <f>Table13[[#This Row],[Price]]*0.7</f>
        <v>2068.5</v>
      </c>
      <c r="P1196" s="18">
        <f t="shared" si="128"/>
        <v>5319</v>
      </c>
      <c r="Q1196" s="18">
        <f t="shared" si="129"/>
        <v>0.1</v>
      </c>
      <c r="R1196" s="18">
        <f t="shared" si="130"/>
        <v>15628.130000000001</v>
      </c>
      <c r="S1196" s="18" t="str">
        <f>IF(Table13[[#This Row],[Quantity]]&lt;=3,"Small",IF(Table13[[#This Row],[Quantity]]&lt;=6,"Medium","Bulk"))</f>
        <v>Medium</v>
      </c>
      <c r="T1196" s="18" t="str">
        <f t="shared" si="131"/>
        <v>High Demand</v>
      </c>
      <c r="U1196" s="18" t="str">
        <f t="shared" si="132"/>
        <v>Medium Value</v>
      </c>
    </row>
    <row r="1197" spans="1:21" x14ac:dyDescent="0.3">
      <c r="A1197" t="s">
        <v>1205</v>
      </c>
      <c r="B1197" s="1">
        <v>45257</v>
      </c>
      <c r="C1197" t="s">
        <v>1213</v>
      </c>
      <c r="D1197" t="s">
        <v>1218</v>
      </c>
      <c r="E1197" t="s">
        <v>1222</v>
      </c>
      <c r="F1197" t="s">
        <v>1227</v>
      </c>
      <c r="G1197" s="6">
        <v>1</v>
      </c>
      <c r="H1197">
        <v>2061</v>
      </c>
      <c r="I1197">
        <v>2061</v>
      </c>
      <c r="J1197" s="2">
        <v>279.45</v>
      </c>
      <c r="K1197" s="16">
        <f>Table13[[#This Row],[Profit]]/Table13[[#This Row],[Sales]]</f>
        <v>0.13558951965065502</v>
      </c>
      <c r="L1197" s="17" t="str">
        <f t="shared" si="126"/>
        <v>Low</v>
      </c>
      <c r="M1197" s="17" t="str">
        <f t="shared" si="127"/>
        <v>Nov</v>
      </c>
      <c r="N1197" s="18">
        <f>YEAR(Table13[[#This Row],[Order_Date]])</f>
        <v>2023</v>
      </c>
      <c r="O1197" s="18">
        <f>Table13[[#This Row],[Price]]*0.7</f>
        <v>1442.6999999999998</v>
      </c>
      <c r="P1197" s="18">
        <f t="shared" si="128"/>
        <v>618.30000000000018</v>
      </c>
      <c r="Q1197" s="18">
        <f t="shared" si="129"/>
        <v>0.05</v>
      </c>
      <c r="R1197" s="18">
        <f t="shared" si="130"/>
        <v>1781.55</v>
      </c>
      <c r="S1197" s="18" t="str">
        <f>IF(Table13[[#This Row],[Quantity]]&lt;=3,"Small",IF(Table13[[#This Row],[Quantity]]&lt;=6,"Medium","Bulk"))</f>
        <v>Small</v>
      </c>
      <c r="T1197" s="18" t="str">
        <f t="shared" si="131"/>
        <v>Normal</v>
      </c>
      <c r="U1197" s="18" t="str">
        <f t="shared" si="132"/>
        <v>low Value</v>
      </c>
    </row>
    <row r="1198" spans="1:21" x14ac:dyDescent="0.3">
      <c r="A1198" t="s">
        <v>1206</v>
      </c>
      <c r="B1198" s="1">
        <v>44945</v>
      </c>
      <c r="C1198" t="s">
        <v>1210</v>
      </c>
      <c r="D1198" t="s">
        <v>1217</v>
      </c>
      <c r="E1198" t="s">
        <v>1221</v>
      </c>
      <c r="F1198" t="s">
        <v>1235</v>
      </c>
      <c r="G1198" s="6">
        <v>7</v>
      </c>
      <c r="H1198">
        <v>4863</v>
      </c>
      <c r="I1198">
        <v>34041</v>
      </c>
      <c r="J1198" s="2">
        <v>7983.67</v>
      </c>
      <c r="K1198" s="16">
        <f>Table13[[#This Row],[Profit]]/Table13[[#This Row],[Sales]]</f>
        <v>0.23453100672718194</v>
      </c>
      <c r="L1198" s="17" t="str">
        <f t="shared" si="126"/>
        <v>High</v>
      </c>
      <c r="M1198" s="17" t="str">
        <f t="shared" si="127"/>
        <v>Jan</v>
      </c>
      <c r="N1198" s="18">
        <f>YEAR(Table13[[#This Row],[Order_Date]])</f>
        <v>2023</v>
      </c>
      <c r="O1198" s="18">
        <f>Table13[[#This Row],[Price]]*0.7</f>
        <v>3404.1</v>
      </c>
      <c r="P1198" s="18">
        <f t="shared" si="128"/>
        <v>10212.299999999999</v>
      </c>
      <c r="Q1198" s="18">
        <f t="shared" si="129"/>
        <v>0.1</v>
      </c>
      <c r="R1198" s="18">
        <f t="shared" si="130"/>
        <v>26057.329999999998</v>
      </c>
      <c r="S1198" s="18" t="str">
        <f>IF(Table13[[#This Row],[Quantity]]&lt;=3,"Small",IF(Table13[[#This Row],[Quantity]]&lt;=6,"Medium","Bulk"))</f>
        <v>Bulk</v>
      </c>
      <c r="T1198" s="18" t="str">
        <f t="shared" si="131"/>
        <v>Normal</v>
      </c>
      <c r="U1198" s="18" t="str">
        <f t="shared" si="132"/>
        <v>High Value</v>
      </c>
    </row>
    <row r="1199" spans="1:21" x14ac:dyDescent="0.3">
      <c r="A1199" t="s">
        <v>1207</v>
      </c>
      <c r="B1199" s="1">
        <v>45143</v>
      </c>
      <c r="C1199" t="s">
        <v>1211</v>
      </c>
      <c r="D1199" t="s">
        <v>1217</v>
      </c>
      <c r="E1199" t="s">
        <v>1220</v>
      </c>
      <c r="F1199" t="s">
        <v>1228</v>
      </c>
      <c r="G1199" s="6">
        <v>4</v>
      </c>
      <c r="H1199">
        <v>2270</v>
      </c>
      <c r="I1199">
        <v>9080</v>
      </c>
      <c r="J1199" s="2">
        <v>1830.29</v>
      </c>
      <c r="K1199" s="16">
        <f>Table13[[#This Row],[Profit]]/Table13[[#This Row],[Sales]]</f>
        <v>0.20157378854625549</v>
      </c>
      <c r="L1199" s="17" t="str">
        <f t="shared" si="126"/>
        <v>Low</v>
      </c>
      <c r="M1199" s="17" t="str">
        <f t="shared" si="127"/>
        <v>Aug</v>
      </c>
      <c r="N1199" s="18">
        <f>YEAR(Table13[[#This Row],[Order_Date]])</f>
        <v>2023</v>
      </c>
      <c r="O1199" s="18">
        <f>Table13[[#This Row],[Price]]*0.7</f>
        <v>1589</v>
      </c>
      <c r="P1199" s="18">
        <f t="shared" si="128"/>
        <v>2724</v>
      </c>
      <c r="Q1199" s="18">
        <f t="shared" si="129"/>
        <v>0.05</v>
      </c>
      <c r="R1199" s="18">
        <f t="shared" si="130"/>
        <v>7249.71</v>
      </c>
      <c r="S1199" s="18" t="str">
        <f>IF(Table13[[#This Row],[Quantity]]&lt;=3,"Small",IF(Table13[[#This Row],[Quantity]]&lt;=6,"Medium","Bulk"))</f>
        <v>Medium</v>
      </c>
      <c r="T1199" s="18" t="str">
        <f t="shared" si="131"/>
        <v>Normal</v>
      </c>
      <c r="U1199" s="18" t="str">
        <f t="shared" si="132"/>
        <v>low Value</v>
      </c>
    </row>
    <row r="1200" spans="1:21" x14ac:dyDescent="0.3">
      <c r="A1200" t="s">
        <v>1208</v>
      </c>
      <c r="B1200" s="1">
        <v>45011</v>
      </c>
      <c r="C1200" t="s">
        <v>1213</v>
      </c>
      <c r="D1200" t="s">
        <v>1217</v>
      </c>
      <c r="E1200" t="s">
        <v>1221</v>
      </c>
      <c r="F1200" t="s">
        <v>1231</v>
      </c>
      <c r="G1200" s="6">
        <v>3</v>
      </c>
      <c r="H1200">
        <v>880</v>
      </c>
      <c r="I1200">
        <v>2640</v>
      </c>
      <c r="J1200" s="2">
        <v>248.41</v>
      </c>
      <c r="K1200" s="16">
        <f>Table13[[#This Row],[Profit]]/Table13[[#This Row],[Sales]]</f>
        <v>9.4094696969696967E-2</v>
      </c>
      <c r="L1200" s="17" t="str">
        <f t="shared" si="126"/>
        <v>Low</v>
      </c>
      <c r="M1200" s="17" t="str">
        <f t="shared" si="127"/>
        <v>Mar</v>
      </c>
      <c r="N1200" s="18">
        <f>YEAR(Table13[[#This Row],[Order_Date]])</f>
        <v>2023</v>
      </c>
      <c r="O1200" s="18">
        <f>Table13[[#This Row],[Price]]*0.7</f>
        <v>616</v>
      </c>
      <c r="P1200" s="18">
        <f t="shared" si="128"/>
        <v>792</v>
      </c>
      <c r="Q1200" s="18">
        <f t="shared" si="129"/>
        <v>0.05</v>
      </c>
      <c r="R1200" s="18">
        <f t="shared" si="130"/>
        <v>2391.59</v>
      </c>
      <c r="S1200" s="18" t="str">
        <f>IF(Table13[[#This Row],[Quantity]]&lt;=3,"Small",IF(Table13[[#This Row],[Quantity]]&lt;=6,"Medium","Bulk"))</f>
        <v>Small</v>
      </c>
      <c r="T1200" s="18" t="str">
        <f t="shared" si="131"/>
        <v>Normal</v>
      </c>
      <c r="U1200" s="18" t="str">
        <f t="shared" si="132"/>
        <v>low Value</v>
      </c>
    </row>
    <row r="1201" spans="1:21" x14ac:dyDescent="0.3">
      <c r="A1201" t="s">
        <v>1209</v>
      </c>
      <c r="B1201" s="1">
        <v>45022</v>
      </c>
      <c r="C1201" t="s">
        <v>1211</v>
      </c>
      <c r="D1201" t="s">
        <v>1217</v>
      </c>
      <c r="E1201" t="s">
        <v>1221</v>
      </c>
      <c r="F1201" t="s">
        <v>1235</v>
      </c>
      <c r="G1201" s="6">
        <v>9</v>
      </c>
      <c r="H1201">
        <v>3383</v>
      </c>
      <c r="I1201">
        <v>30447</v>
      </c>
      <c r="J1201" s="2">
        <v>3433.9</v>
      </c>
      <c r="K1201" s="16">
        <f>Table13[[#This Row],[Profit]]/Table13[[#This Row],[Sales]]</f>
        <v>0.11278286859132262</v>
      </c>
      <c r="L1201" s="17" t="str">
        <f t="shared" si="126"/>
        <v>High</v>
      </c>
      <c r="M1201" s="17" t="str">
        <f t="shared" si="127"/>
        <v>Apr</v>
      </c>
      <c r="N1201" s="18">
        <f>YEAR(Table13[[#This Row],[Order_Date]])</f>
        <v>2023</v>
      </c>
      <c r="O1201" s="18">
        <f>Table13[[#This Row],[Price]]*0.7</f>
        <v>2368.1</v>
      </c>
      <c r="P1201" s="18">
        <f t="shared" si="128"/>
        <v>9134.1000000000022</v>
      </c>
      <c r="Q1201" s="18">
        <f t="shared" si="129"/>
        <v>0.1</v>
      </c>
      <c r="R1201" s="18">
        <f t="shared" si="130"/>
        <v>27013.100000000002</v>
      </c>
      <c r="S1201" s="18" t="str">
        <f>IF(Table13[[#This Row],[Quantity]]&lt;=3,"Small",IF(Table13[[#This Row],[Quantity]]&lt;=6,"Medium","Bulk"))</f>
        <v>Bulk</v>
      </c>
      <c r="T1201" s="18" t="str">
        <f t="shared" si="131"/>
        <v>Normal</v>
      </c>
      <c r="U1201" s="18" t="str">
        <f t="shared" si="132"/>
        <v>High Value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3F04-4F91-4A06-B3B7-9F3A05FBBF5D}">
  <dimension ref="C4:D25"/>
  <sheetViews>
    <sheetView zoomScaleNormal="100" workbookViewId="0">
      <selection activeCell="C3" sqref="C3"/>
    </sheetView>
  </sheetViews>
  <sheetFormatPr defaultRowHeight="14.4" x14ac:dyDescent="0.3"/>
  <cols>
    <col min="3" max="3" width="19.77734375" customWidth="1"/>
    <col min="4" max="4" width="74.77734375" customWidth="1"/>
    <col min="5" max="5" width="8.88671875" customWidth="1"/>
  </cols>
  <sheetData>
    <row r="4" spans="3:4" x14ac:dyDescent="0.3">
      <c r="C4" t="s">
        <v>1297</v>
      </c>
      <c r="D4" t="s">
        <v>1298</v>
      </c>
    </row>
    <row r="5" spans="3:4" x14ac:dyDescent="0.3">
      <c r="C5" t="s">
        <v>0</v>
      </c>
      <c r="D5" t="s">
        <v>1273</v>
      </c>
    </row>
    <row r="6" spans="3:4" x14ac:dyDescent="0.3">
      <c r="C6" t="s">
        <v>1</v>
      </c>
      <c r="D6" t="s">
        <v>1274</v>
      </c>
    </row>
    <row r="7" spans="3:4" x14ac:dyDescent="0.3">
      <c r="C7" s="13" t="s">
        <v>1299</v>
      </c>
      <c r="D7" t="s">
        <v>1275</v>
      </c>
    </row>
    <row r="8" spans="3:4" x14ac:dyDescent="0.3">
      <c r="C8" t="s">
        <v>3</v>
      </c>
      <c r="D8" t="s">
        <v>1276</v>
      </c>
    </row>
    <row r="9" spans="3:4" x14ac:dyDescent="0.3">
      <c r="C9" t="s">
        <v>4</v>
      </c>
      <c r="D9" t="s">
        <v>1277</v>
      </c>
    </row>
    <row r="10" spans="3:4" x14ac:dyDescent="0.3">
      <c r="C10" t="s">
        <v>5</v>
      </c>
      <c r="D10" t="s">
        <v>1278</v>
      </c>
    </row>
    <row r="11" spans="3:4" x14ac:dyDescent="0.3">
      <c r="C11" t="s">
        <v>6</v>
      </c>
      <c r="D11" t="s">
        <v>1279</v>
      </c>
    </row>
    <row r="12" spans="3:4" x14ac:dyDescent="0.3">
      <c r="C12" t="s">
        <v>7</v>
      </c>
      <c r="D12" t="s">
        <v>1280</v>
      </c>
    </row>
    <row r="13" spans="3:4" x14ac:dyDescent="0.3">
      <c r="C13" t="s">
        <v>8</v>
      </c>
      <c r="D13" t="s">
        <v>1281</v>
      </c>
    </row>
    <row r="14" spans="3:4" x14ac:dyDescent="0.3">
      <c r="C14" t="s">
        <v>9</v>
      </c>
      <c r="D14" t="s">
        <v>1282</v>
      </c>
    </row>
    <row r="15" spans="3:4" x14ac:dyDescent="0.3">
      <c r="C15" t="s">
        <v>1240</v>
      </c>
      <c r="D15" t="s">
        <v>1283</v>
      </c>
    </row>
    <row r="16" spans="3:4" x14ac:dyDescent="0.3">
      <c r="C16" t="s">
        <v>1241</v>
      </c>
      <c r="D16" t="s">
        <v>1284</v>
      </c>
    </row>
    <row r="17" spans="3:4" x14ac:dyDescent="0.3">
      <c r="C17" t="s">
        <v>1293</v>
      </c>
      <c r="D17" t="s">
        <v>1285</v>
      </c>
    </row>
    <row r="18" spans="3:4" x14ac:dyDescent="0.3">
      <c r="C18" t="s">
        <v>1243</v>
      </c>
      <c r="D18" t="s">
        <v>1286</v>
      </c>
    </row>
    <row r="19" spans="3:4" x14ac:dyDescent="0.3">
      <c r="C19" t="s">
        <v>1294</v>
      </c>
      <c r="D19" t="s">
        <v>1287</v>
      </c>
    </row>
    <row r="20" spans="3:4" x14ac:dyDescent="0.3">
      <c r="C20" t="s">
        <v>1245</v>
      </c>
      <c r="D20" t="s">
        <v>1288</v>
      </c>
    </row>
    <row r="21" spans="3:4" x14ac:dyDescent="0.3">
      <c r="C21" t="s">
        <v>1246</v>
      </c>
      <c r="D21" t="s">
        <v>1289</v>
      </c>
    </row>
    <row r="22" spans="3:4" x14ac:dyDescent="0.3">
      <c r="C22" t="s">
        <v>1247</v>
      </c>
      <c r="D22" t="s">
        <v>1290</v>
      </c>
    </row>
    <row r="23" spans="3:4" x14ac:dyDescent="0.3">
      <c r="C23" t="s">
        <v>1248</v>
      </c>
      <c r="D23" t="s">
        <v>1291</v>
      </c>
    </row>
    <row r="24" spans="3:4" x14ac:dyDescent="0.3">
      <c r="C24" t="s">
        <v>1295</v>
      </c>
      <c r="D24" t="s">
        <v>1292</v>
      </c>
    </row>
    <row r="25" spans="3:4" x14ac:dyDescent="0.3">
      <c r="C25" t="s">
        <v>1296</v>
      </c>
      <c r="D25" t="s">
        <v>1301</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4B1C-4ED9-46EA-9384-C21C09834E2D}">
  <dimension ref="C5:I43"/>
  <sheetViews>
    <sheetView showGridLines="0" workbookViewId="0">
      <selection activeCell="J14" sqref="J14"/>
    </sheetView>
  </sheetViews>
  <sheetFormatPr defaultRowHeight="14.4" x14ac:dyDescent="0.3"/>
  <cols>
    <col min="2" max="2" width="7.5546875" customWidth="1"/>
    <col min="3" max="3" width="12.5546875" bestFit="1" customWidth="1"/>
    <col min="4" max="4" width="11.6640625" bestFit="1" customWidth="1"/>
    <col min="5" max="5" width="11" bestFit="1" customWidth="1"/>
    <col min="6" max="7" width="12" bestFit="1" customWidth="1"/>
    <col min="8" max="8" width="10.77734375" bestFit="1" customWidth="1"/>
    <col min="9" max="9" width="10" bestFit="1" customWidth="1"/>
    <col min="10" max="10" width="18.77734375" bestFit="1" customWidth="1"/>
    <col min="11" max="12" width="12" bestFit="1" customWidth="1"/>
    <col min="13" max="13" width="15.21875" bestFit="1" customWidth="1"/>
    <col min="14" max="15" width="11" bestFit="1" customWidth="1"/>
    <col min="16" max="16" width="16.44140625" bestFit="1" customWidth="1"/>
    <col min="17" max="17" width="16.88671875" bestFit="1" customWidth="1"/>
    <col min="18" max="18" width="23.5546875" bestFit="1" customWidth="1"/>
    <col min="19" max="19" width="20" bestFit="1" customWidth="1"/>
    <col min="20" max="46" width="4" bestFit="1" customWidth="1"/>
    <col min="47" max="560" width="5" bestFit="1" customWidth="1"/>
    <col min="561" max="1151" width="6" bestFit="1" customWidth="1"/>
    <col min="1152" max="1152" width="10.77734375" bestFit="1" customWidth="1"/>
  </cols>
  <sheetData>
    <row r="5" spans="3:8" x14ac:dyDescent="0.3">
      <c r="C5" s="7" t="s">
        <v>1253</v>
      </c>
      <c r="D5" s="7" t="s">
        <v>1268</v>
      </c>
    </row>
    <row r="6" spans="3:8" x14ac:dyDescent="0.3">
      <c r="C6" s="7" t="s">
        <v>1251</v>
      </c>
      <c r="D6" s="11" t="s">
        <v>1210</v>
      </c>
      <c r="E6" s="11" t="s">
        <v>1212</v>
      </c>
      <c r="F6" s="11" t="s">
        <v>1211</v>
      </c>
      <c r="G6" s="11" t="s">
        <v>1213</v>
      </c>
      <c r="H6" s="11" t="s">
        <v>1252</v>
      </c>
    </row>
    <row r="7" spans="3:8" x14ac:dyDescent="0.3">
      <c r="C7" s="8" t="s">
        <v>1220</v>
      </c>
      <c r="D7" s="12">
        <v>929737</v>
      </c>
      <c r="E7" s="12">
        <v>1088719</v>
      </c>
      <c r="F7" s="12">
        <v>1184370</v>
      </c>
      <c r="G7" s="12">
        <v>853066</v>
      </c>
      <c r="H7" s="12">
        <v>4055892</v>
      </c>
    </row>
    <row r="8" spans="3:8" x14ac:dyDescent="0.3">
      <c r="C8" s="8" t="s">
        <v>1222</v>
      </c>
      <c r="D8" s="12">
        <v>878030</v>
      </c>
      <c r="E8" s="12">
        <v>1084775</v>
      </c>
      <c r="F8" s="12">
        <v>979080</v>
      </c>
      <c r="G8" s="12">
        <v>1027380</v>
      </c>
      <c r="H8" s="12">
        <v>3969265</v>
      </c>
    </row>
    <row r="9" spans="3:8" x14ac:dyDescent="0.3">
      <c r="C9" s="8" t="s">
        <v>1221</v>
      </c>
      <c r="D9" s="12">
        <v>973661</v>
      </c>
      <c r="E9" s="12">
        <v>1141430</v>
      </c>
      <c r="F9" s="12">
        <v>1001163</v>
      </c>
      <c r="G9" s="12">
        <v>799654</v>
      </c>
      <c r="H9" s="12">
        <v>3915908</v>
      </c>
    </row>
    <row r="10" spans="3:8" x14ac:dyDescent="0.3">
      <c r="C10" s="8" t="s">
        <v>1219</v>
      </c>
      <c r="D10" s="12">
        <v>836260</v>
      </c>
      <c r="E10" s="12">
        <v>1015314</v>
      </c>
      <c r="F10" s="12">
        <v>1065721</v>
      </c>
      <c r="G10" s="12">
        <v>1126623</v>
      </c>
      <c r="H10" s="12">
        <v>4043918</v>
      </c>
    </row>
    <row r="11" spans="3:8" x14ac:dyDescent="0.3">
      <c r="C11" s="8" t="s">
        <v>1252</v>
      </c>
      <c r="D11" s="12">
        <v>3617688</v>
      </c>
      <c r="E11" s="12">
        <v>4330238</v>
      </c>
      <c r="F11" s="12">
        <v>4230334</v>
      </c>
      <c r="G11" s="12">
        <v>3806723</v>
      </c>
      <c r="H11" s="12">
        <v>15984983</v>
      </c>
    </row>
    <row r="18" spans="3:9" x14ac:dyDescent="0.3">
      <c r="C18" s="7" t="s">
        <v>1254</v>
      </c>
      <c r="D18" s="7" t="s">
        <v>1268</v>
      </c>
    </row>
    <row r="19" spans="3:9" x14ac:dyDescent="0.3">
      <c r="C19" s="7" t="s">
        <v>1251</v>
      </c>
      <c r="D19" t="s">
        <v>1210</v>
      </c>
      <c r="E19" t="s">
        <v>1212</v>
      </c>
      <c r="F19" t="s">
        <v>1211</v>
      </c>
      <c r="G19" t="s">
        <v>1213</v>
      </c>
      <c r="H19" t="s">
        <v>1252</v>
      </c>
    </row>
    <row r="20" spans="3:9" x14ac:dyDescent="0.3">
      <c r="C20" s="8" t="s">
        <v>1220</v>
      </c>
      <c r="D20" s="5">
        <v>155095.71999999994</v>
      </c>
      <c r="E20" s="5">
        <v>171062.49999999997</v>
      </c>
      <c r="F20" s="5">
        <v>204334.15000000011</v>
      </c>
      <c r="G20" s="5">
        <v>139098.67000000007</v>
      </c>
      <c r="H20" s="5">
        <v>669591.04000000004</v>
      </c>
    </row>
    <row r="21" spans="3:9" x14ac:dyDescent="0.3">
      <c r="C21" s="8" t="s">
        <v>1222</v>
      </c>
      <c r="D21" s="5">
        <v>133055.35999999999</v>
      </c>
      <c r="E21" s="5">
        <v>186359.73</v>
      </c>
      <c r="F21" s="5">
        <v>149280.30999999997</v>
      </c>
      <c r="G21" s="5">
        <v>160995.93000000008</v>
      </c>
      <c r="H21" s="5">
        <v>629691.32999999996</v>
      </c>
    </row>
    <row r="22" spans="3:9" x14ac:dyDescent="0.3">
      <c r="C22" s="8" t="s">
        <v>1221</v>
      </c>
      <c r="D22" s="5">
        <v>152053.73000000004</v>
      </c>
      <c r="E22" s="5">
        <v>199326.08999999997</v>
      </c>
      <c r="F22" s="5">
        <v>165643.37000000005</v>
      </c>
      <c r="G22" s="5">
        <v>132819.28999999995</v>
      </c>
      <c r="H22" s="5">
        <v>649842.48</v>
      </c>
    </row>
    <row r="23" spans="3:9" x14ac:dyDescent="0.3">
      <c r="C23" s="8" t="s">
        <v>1219</v>
      </c>
      <c r="D23" s="5">
        <v>137405.15999999997</v>
      </c>
      <c r="E23" s="5">
        <v>165760.41000000003</v>
      </c>
      <c r="F23" s="5">
        <v>177616.13</v>
      </c>
      <c r="G23" s="5">
        <v>186578.42999999996</v>
      </c>
      <c r="H23" s="5">
        <v>667360.13</v>
      </c>
    </row>
    <row r="24" spans="3:9" x14ac:dyDescent="0.3">
      <c r="C24" s="8" t="s">
        <v>1252</v>
      </c>
      <c r="D24" s="5">
        <v>577609.97</v>
      </c>
      <c r="E24" s="5">
        <v>722508.73</v>
      </c>
      <c r="F24" s="5">
        <v>696873.9600000002</v>
      </c>
      <c r="G24" s="5">
        <v>619492.32000000007</v>
      </c>
      <c r="H24" s="5">
        <v>2616484.98</v>
      </c>
    </row>
    <row r="30" spans="3:9" ht="28.8" x14ac:dyDescent="0.3">
      <c r="C30" s="7" t="s">
        <v>1251</v>
      </c>
      <c r="D30" s="9" t="s">
        <v>1253</v>
      </c>
      <c r="E30" s="9" t="s">
        <v>1254</v>
      </c>
      <c r="F30" s="9" t="s">
        <v>1270</v>
      </c>
      <c r="G30" s="9" t="s">
        <v>1300</v>
      </c>
      <c r="H30" s="9"/>
      <c r="I30" s="9" t="s">
        <v>1302</v>
      </c>
    </row>
    <row r="31" spans="3:9" x14ac:dyDescent="0.3">
      <c r="C31" s="8" t="s">
        <v>1255</v>
      </c>
      <c r="D31" s="5">
        <v>1190565</v>
      </c>
      <c r="E31" s="5">
        <v>185897.13000000012</v>
      </c>
      <c r="F31" s="5">
        <v>13.873109290769177</v>
      </c>
      <c r="G31" s="5">
        <v>1004667.87</v>
      </c>
    </row>
    <row r="32" spans="3:9" x14ac:dyDescent="0.3">
      <c r="C32" s="8" t="s">
        <v>1256</v>
      </c>
      <c r="D32" s="5">
        <v>956368</v>
      </c>
      <c r="E32" s="5">
        <v>155476.44</v>
      </c>
      <c r="F32" s="5">
        <v>12.397177096160892</v>
      </c>
      <c r="G32" s="5">
        <v>800891.55999999982</v>
      </c>
    </row>
    <row r="33" spans="3:7" x14ac:dyDescent="0.3">
      <c r="C33" s="8" t="s">
        <v>1257</v>
      </c>
      <c r="D33" s="5">
        <v>1225919</v>
      </c>
      <c r="E33" s="5">
        <v>200259.82000000007</v>
      </c>
      <c r="F33" s="5">
        <v>15.616572462088682</v>
      </c>
      <c r="G33" s="5">
        <v>1025659.1800000002</v>
      </c>
    </row>
    <row r="34" spans="3:7" x14ac:dyDescent="0.3">
      <c r="C34" s="8" t="s">
        <v>1258</v>
      </c>
      <c r="D34" s="5">
        <v>1425191</v>
      </c>
      <c r="E34" s="5">
        <v>243989.94000000006</v>
      </c>
      <c r="F34" s="5">
        <v>17.565136737975724</v>
      </c>
      <c r="G34" s="5">
        <v>1181201.06</v>
      </c>
    </row>
    <row r="35" spans="3:7" x14ac:dyDescent="0.3">
      <c r="C35" s="8" t="s">
        <v>1259</v>
      </c>
      <c r="D35" s="5">
        <v>1531016</v>
      </c>
      <c r="E35" s="5">
        <v>242874.80000000002</v>
      </c>
      <c r="F35" s="5">
        <v>18.08452517995746</v>
      </c>
      <c r="G35" s="5">
        <v>1288141.2</v>
      </c>
    </row>
    <row r="36" spans="3:7" x14ac:dyDescent="0.3">
      <c r="C36" s="8" t="s">
        <v>1260</v>
      </c>
      <c r="D36" s="5">
        <v>1252861</v>
      </c>
      <c r="E36" s="5">
        <v>196509.88999999998</v>
      </c>
      <c r="F36" s="5">
        <v>14.453233013270422</v>
      </c>
      <c r="G36" s="5">
        <v>1056351.1099999999</v>
      </c>
    </row>
    <row r="37" spans="3:7" x14ac:dyDescent="0.3">
      <c r="C37" s="8" t="s">
        <v>1261</v>
      </c>
      <c r="D37" s="5">
        <v>1362122</v>
      </c>
      <c r="E37" s="5">
        <v>217918.36999999997</v>
      </c>
      <c r="F37" s="5">
        <v>17.290553697830774</v>
      </c>
      <c r="G37" s="5">
        <v>1144203.6299999999</v>
      </c>
    </row>
    <row r="38" spans="3:7" x14ac:dyDescent="0.3">
      <c r="C38" s="8" t="s">
        <v>1262</v>
      </c>
      <c r="D38" s="5">
        <v>1793363</v>
      </c>
      <c r="E38" s="5">
        <v>309926.06000000017</v>
      </c>
      <c r="F38" s="5">
        <v>19.447270666857204</v>
      </c>
      <c r="G38" s="5">
        <v>1483436.94</v>
      </c>
    </row>
    <row r="39" spans="3:7" x14ac:dyDescent="0.3">
      <c r="C39" s="8" t="s">
        <v>1263</v>
      </c>
      <c r="D39" s="5">
        <v>1121583</v>
      </c>
      <c r="E39" s="5">
        <v>188388.48000000004</v>
      </c>
      <c r="F39" s="5">
        <v>15.16625872587931</v>
      </c>
      <c r="G39" s="5">
        <v>933194.52</v>
      </c>
    </row>
    <row r="40" spans="3:7" x14ac:dyDescent="0.3">
      <c r="C40" s="8" t="s">
        <v>1264</v>
      </c>
      <c r="D40" s="5">
        <v>1378841</v>
      </c>
      <c r="E40" s="5">
        <v>222812.22000000006</v>
      </c>
      <c r="F40" s="5">
        <v>17.69516418481442</v>
      </c>
      <c r="G40" s="5">
        <v>1156028.78</v>
      </c>
    </row>
    <row r="41" spans="3:7" x14ac:dyDescent="0.3">
      <c r="C41" s="8" t="s">
        <v>1265</v>
      </c>
      <c r="D41" s="5">
        <v>1385053</v>
      </c>
      <c r="E41" s="5">
        <v>230570.68000000008</v>
      </c>
      <c r="F41" s="5">
        <v>18.265664117616975</v>
      </c>
      <c r="G41" s="5">
        <v>1154482.32</v>
      </c>
    </row>
    <row r="42" spans="3:7" x14ac:dyDescent="0.3">
      <c r="C42" s="8" t="s">
        <v>1266</v>
      </c>
      <c r="D42" s="5">
        <v>1362101</v>
      </c>
      <c r="E42" s="5">
        <v>221861.14999999994</v>
      </c>
      <c r="F42" s="5">
        <v>16.483217804760475</v>
      </c>
      <c r="G42" s="5">
        <v>1140239.8499999996</v>
      </c>
    </row>
    <row r="43" spans="3:7" x14ac:dyDescent="0.3">
      <c r="C43" s="8" t="s">
        <v>1252</v>
      </c>
      <c r="D43" s="5">
        <v>15984983</v>
      </c>
      <c r="E43" s="5">
        <v>2616484.9800000004</v>
      </c>
      <c r="F43" s="5">
        <v>196.33788297798151</v>
      </c>
      <c r="G43" s="5">
        <v>13368498.02</v>
      </c>
    </row>
  </sheetData>
  <conditionalFormatting pivot="1" sqref="D7:G10">
    <cfRule type="cellIs" dxfId="14" priority="4" operator="greaterThan">
      <formula>1000000</formula>
    </cfRule>
  </conditionalFormatting>
  <conditionalFormatting pivot="1" sqref="D20:G23">
    <cfRule type="cellIs" dxfId="13" priority="3" operator="greaterThan">
      <formula>160000</formula>
    </cfRule>
  </conditionalFormatting>
  <conditionalFormatting sqref="I19">
    <cfRule type="cellIs" dxfId="12" priority="2" operator="greaterThan">
      <formula>100000</formula>
    </cfRule>
  </conditionalFormatting>
  <conditionalFormatting sqref="C29:G30 C31:C43">
    <cfRule type="cellIs" dxfId="11" priority="1" operator="greaterThan">
      <formula>"100000$G$37"</formula>
    </cfRule>
  </conditionalFormatting>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6301-1FF0-4BBA-867E-1CE23AE1BEEC}">
  <dimension ref="B3:J142"/>
  <sheetViews>
    <sheetView showGridLines="0" topLeftCell="A123" zoomScale="92" zoomScaleNormal="92" workbookViewId="0">
      <selection activeCell="B136" sqref="B136"/>
    </sheetView>
  </sheetViews>
  <sheetFormatPr defaultColWidth="12.6640625" defaultRowHeight="14.4" x14ac:dyDescent="0.3"/>
  <cols>
    <col min="2" max="2" width="13.109375" bestFit="1" customWidth="1"/>
    <col min="3" max="3" width="11.77734375" bestFit="1" customWidth="1"/>
    <col min="4" max="4" width="16" bestFit="1" customWidth="1"/>
    <col min="5" max="5" width="11.77734375" bestFit="1" customWidth="1"/>
    <col min="6" max="6" width="12.21875" bestFit="1" customWidth="1"/>
    <col min="7" max="7" width="19" bestFit="1" customWidth="1"/>
    <col min="8" max="13" width="15.5546875" bestFit="1" customWidth="1"/>
    <col min="14" max="14" width="10.77734375" bestFit="1" customWidth="1"/>
  </cols>
  <sheetData>
    <row r="3" spans="2:4" ht="22.8" x14ac:dyDescent="0.4">
      <c r="B3" s="20" t="s">
        <v>1272</v>
      </c>
      <c r="C3" s="20"/>
    </row>
    <row r="4" spans="2:4" x14ac:dyDescent="0.3">
      <c r="B4" s="7" t="s">
        <v>1251</v>
      </c>
      <c r="C4" t="s">
        <v>1253</v>
      </c>
      <c r="D4" t="s">
        <v>1254</v>
      </c>
    </row>
    <row r="5" spans="2:4" x14ac:dyDescent="0.3">
      <c r="B5" s="8" t="s">
        <v>1212</v>
      </c>
      <c r="C5" s="5">
        <v>4330238</v>
      </c>
      <c r="D5" s="5">
        <v>722508.7299999994</v>
      </c>
    </row>
    <row r="6" spans="2:4" x14ac:dyDescent="0.3">
      <c r="B6" s="8" t="s">
        <v>1211</v>
      </c>
      <c r="C6" s="5">
        <v>4230334</v>
      </c>
      <c r="D6" s="5">
        <v>696873.9600000002</v>
      </c>
    </row>
    <row r="7" spans="2:4" x14ac:dyDescent="0.3">
      <c r="B7" s="8" t="s">
        <v>1213</v>
      </c>
      <c r="C7" s="5">
        <v>3806723</v>
      </c>
      <c r="D7" s="5">
        <v>619492.32000000007</v>
      </c>
    </row>
    <row r="8" spans="2:4" x14ac:dyDescent="0.3">
      <c r="B8" s="8" t="s">
        <v>1210</v>
      </c>
      <c r="C8" s="5">
        <v>3617688</v>
      </c>
      <c r="D8" s="5">
        <v>577609.97000000032</v>
      </c>
    </row>
    <row r="9" spans="2:4" x14ac:dyDescent="0.3">
      <c r="B9" s="8" t="s">
        <v>1252</v>
      </c>
      <c r="C9" s="5">
        <v>15984983</v>
      </c>
      <c r="D9" s="5">
        <v>2616484.98</v>
      </c>
    </row>
    <row r="12" spans="2:4" ht="17.399999999999999" x14ac:dyDescent="0.3">
      <c r="B12" s="21"/>
      <c r="C12" s="21"/>
    </row>
    <row r="14" spans="2:4" x14ac:dyDescent="0.3">
      <c r="B14" s="7" t="s">
        <v>1251</v>
      </c>
      <c r="C14" t="s">
        <v>1253</v>
      </c>
    </row>
    <row r="15" spans="2:4" x14ac:dyDescent="0.3">
      <c r="B15" s="8" t="s">
        <v>1220</v>
      </c>
      <c r="C15" s="5">
        <v>4055892</v>
      </c>
    </row>
    <row r="16" spans="2:4" x14ac:dyDescent="0.3">
      <c r="B16" s="8" t="s">
        <v>1219</v>
      </c>
      <c r="C16" s="5">
        <v>4043918</v>
      </c>
    </row>
    <row r="17" spans="2:4" x14ac:dyDescent="0.3">
      <c r="B17" s="8" t="s">
        <v>1222</v>
      </c>
      <c r="C17" s="5">
        <v>3969265</v>
      </c>
    </row>
    <row r="18" spans="2:4" x14ac:dyDescent="0.3">
      <c r="B18" s="8" t="s">
        <v>1221</v>
      </c>
      <c r="C18" s="5">
        <v>3915908</v>
      </c>
    </row>
    <row r="19" spans="2:4" x14ac:dyDescent="0.3">
      <c r="B19" s="8" t="s">
        <v>1252</v>
      </c>
      <c r="C19" s="5">
        <v>15984983</v>
      </c>
    </row>
    <row r="23" spans="2:4" ht="20.399999999999999" x14ac:dyDescent="0.35">
      <c r="B23" s="22"/>
      <c r="C23" s="22"/>
    </row>
    <row r="24" spans="2:4" x14ac:dyDescent="0.3">
      <c r="B24" s="7" t="s">
        <v>1251</v>
      </c>
      <c r="C24" t="s">
        <v>1253</v>
      </c>
      <c r="D24" t="s">
        <v>1254</v>
      </c>
    </row>
    <row r="25" spans="2:4" x14ac:dyDescent="0.3">
      <c r="B25" s="8" t="s">
        <v>1255</v>
      </c>
      <c r="C25" s="5">
        <v>1190565</v>
      </c>
      <c r="D25" s="5">
        <v>185897.13000000012</v>
      </c>
    </row>
    <row r="26" spans="2:4" x14ac:dyDescent="0.3">
      <c r="B26" s="8" t="s">
        <v>1256</v>
      </c>
      <c r="C26" s="5">
        <v>956368</v>
      </c>
      <c r="D26" s="5">
        <v>155476.44</v>
      </c>
    </row>
    <row r="27" spans="2:4" x14ac:dyDescent="0.3">
      <c r="B27" s="8" t="s">
        <v>1257</v>
      </c>
      <c r="C27" s="5">
        <v>1225919</v>
      </c>
      <c r="D27" s="5">
        <v>200259.82000000007</v>
      </c>
    </row>
    <row r="28" spans="2:4" x14ac:dyDescent="0.3">
      <c r="B28" s="8" t="s">
        <v>1258</v>
      </c>
      <c r="C28" s="5">
        <v>1425191</v>
      </c>
      <c r="D28" s="5">
        <v>243989.94000000006</v>
      </c>
    </row>
    <row r="29" spans="2:4" x14ac:dyDescent="0.3">
      <c r="B29" s="8" t="s">
        <v>1259</v>
      </c>
      <c r="C29" s="5">
        <v>1531016</v>
      </c>
      <c r="D29" s="5">
        <v>242874.80000000002</v>
      </c>
    </row>
    <row r="30" spans="2:4" x14ac:dyDescent="0.3">
      <c r="B30" s="8" t="s">
        <v>1260</v>
      </c>
      <c r="C30" s="5">
        <v>1252861</v>
      </c>
      <c r="D30" s="5">
        <v>196509.88999999998</v>
      </c>
    </row>
    <row r="31" spans="2:4" x14ac:dyDescent="0.3">
      <c r="B31" s="8" t="s">
        <v>1261</v>
      </c>
      <c r="C31" s="5">
        <v>1362122</v>
      </c>
      <c r="D31" s="5">
        <v>217918.36999999997</v>
      </c>
    </row>
    <row r="32" spans="2:4" x14ac:dyDescent="0.3">
      <c r="B32" s="8" t="s">
        <v>1262</v>
      </c>
      <c r="C32" s="5">
        <v>1793363</v>
      </c>
      <c r="D32" s="5">
        <v>309926.06000000017</v>
      </c>
    </row>
    <row r="33" spans="2:4" x14ac:dyDescent="0.3">
      <c r="B33" s="8" t="s">
        <v>1263</v>
      </c>
      <c r="C33" s="5">
        <v>1121583</v>
      </c>
      <c r="D33" s="5">
        <v>188388.48000000004</v>
      </c>
    </row>
    <row r="34" spans="2:4" x14ac:dyDescent="0.3">
      <c r="B34" s="8" t="s">
        <v>1264</v>
      </c>
      <c r="C34" s="5">
        <v>1378841</v>
      </c>
      <c r="D34" s="5">
        <v>222812.22000000006</v>
      </c>
    </row>
    <row r="35" spans="2:4" x14ac:dyDescent="0.3">
      <c r="B35" s="8" t="s">
        <v>1265</v>
      </c>
      <c r="C35" s="5">
        <v>1385053</v>
      </c>
      <c r="D35" s="5">
        <v>230570.68000000008</v>
      </c>
    </row>
    <row r="36" spans="2:4" x14ac:dyDescent="0.3">
      <c r="B36" s="8" t="s">
        <v>1266</v>
      </c>
      <c r="C36" s="5">
        <v>1362101</v>
      </c>
      <c r="D36" s="5">
        <v>221861.14999999994</v>
      </c>
    </row>
    <row r="37" spans="2:4" x14ac:dyDescent="0.3">
      <c r="B37" s="8" t="s">
        <v>1252</v>
      </c>
      <c r="C37" s="5">
        <v>15984983</v>
      </c>
      <c r="D37" s="5">
        <v>2616484.9800000004</v>
      </c>
    </row>
    <row r="43" spans="2:4" x14ac:dyDescent="0.3">
      <c r="B43" s="7" t="s">
        <v>1251</v>
      </c>
      <c r="C43" t="s">
        <v>1253</v>
      </c>
    </row>
    <row r="44" spans="2:4" x14ac:dyDescent="0.3">
      <c r="B44" s="8" t="s">
        <v>1234</v>
      </c>
      <c r="C44" s="5">
        <v>1154879</v>
      </c>
    </row>
    <row r="45" spans="2:4" x14ac:dyDescent="0.3">
      <c r="B45" s="8" t="s">
        <v>1224</v>
      </c>
      <c r="C45" s="5">
        <v>1132656</v>
      </c>
    </row>
    <row r="46" spans="2:4" x14ac:dyDescent="0.3">
      <c r="B46" s="8" t="s">
        <v>1237</v>
      </c>
      <c r="C46" s="5">
        <v>1126317</v>
      </c>
    </row>
    <row r="47" spans="2:4" x14ac:dyDescent="0.3">
      <c r="B47" s="8" t="s">
        <v>1232</v>
      </c>
      <c r="C47" s="5">
        <v>1081958</v>
      </c>
    </row>
    <row r="48" spans="2:4" x14ac:dyDescent="0.3">
      <c r="B48" s="8" t="s">
        <v>1223</v>
      </c>
      <c r="C48" s="5">
        <v>1006399</v>
      </c>
    </row>
    <row r="49" spans="2:4" x14ac:dyDescent="0.3">
      <c r="B49" s="8" t="s">
        <v>1229</v>
      </c>
      <c r="C49" s="5">
        <v>1005005</v>
      </c>
    </row>
    <row r="50" spans="2:4" x14ac:dyDescent="0.3">
      <c r="B50" s="8" t="s">
        <v>1235</v>
      </c>
      <c r="C50" s="5">
        <v>999676</v>
      </c>
    </row>
    <row r="51" spans="2:4" x14ac:dyDescent="0.3">
      <c r="B51" s="8" t="s">
        <v>1227</v>
      </c>
      <c r="C51" s="5">
        <v>989415</v>
      </c>
    </row>
    <row r="52" spans="2:4" x14ac:dyDescent="0.3">
      <c r="B52" s="8" t="s">
        <v>1230</v>
      </c>
      <c r="C52" s="5">
        <v>969490</v>
      </c>
    </row>
    <row r="53" spans="2:4" x14ac:dyDescent="0.3">
      <c r="B53" s="8" t="s">
        <v>1238</v>
      </c>
      <c r="C53" s="5">
        <v>963182</v>
      </c>
    </row>
    <row r="54" spans="2:4" x14ac:dyDescent="0.3">
      <c r="B54" s="8" t="s">
        <v>1252</v>
      </c>
      <c r="C54" s="5">
        <v>10428977</v>
      </c>
    </row>
    <row r="62" spans="2:4" ht="28.8" x14ac:dyDescent="0.3">
      <c r="B62" s="7" t="s">
        <v>1251</v>
      </c>
      <c r="C62" t="s">
        <v>1254</v>
      </c>
      <c r="D62" s="9" t="s">
        <v>1267</v>
      </c>
    </row>
    <row r="63" spans="2:4" x14ac:dyDescent="0.3">
      <c r="B63" s="8" t="s">
        <v>1220</v>
      </c>
      <c r="C63" s="5">
        <v>669591.04000000039</v>
      </c>
      <c r="D63" s="5">
        <v>0.1634091675769038</v>
      </c>
    </row>
    <row r="64" spans="2:4" x14ac:dyDescent="0.3">
      <c r="B64" s="8" t="s">
        <v>1222</v>
      </c>
      <c r="C64" s="5">
        <v>629691.32999999973</v>
      </c>
      <c r="D64" s="5">
        <v>0.16085119774976414</v>
      </c>
    </row>
    <row r="65" spans="2:7" x14ac:dyDescent="0.3">
      <c r="B65" s="8" t="s">
        <v>1221</v>
      </c>
      <c r="C65" s="5">
        <v>649842.47999999952</v>
      </c>
      <c r="D65" s="5">
        <v>0.16474179818278101</v>
      </c>
    </row>
    <row r="66" spans="2:7" x14ac:dyDescent="0.3">
      <c r="B66" s="8" t="s">
        <v>1219</v>
      </c>
      <c r="C66" s="5">
        <v>667360.13</v>
      </c>
      <c r="D66" s="5">
        <v>0.16552112682500622</v>
      </c>
    </row>
    <row r="67" spans="2:7" x14ac:dyDescent="0.3">
      <c r="B67" s="8" t="s">
        <v>1252</v>
      </c>
      <c r="C67" s="5">
        <v>2616484.9799999991</v>
      </c>
      <c r="D67" s="5">
        <v>0.16361490248165123</v>
      </c>
    </row>
    <row r="73" spans="2:7" x14ac:dyDescent="0.3">
      <c r="B73" s="7" t="s">
        <v>1251</v>
      </c>
      <c r="C73" t="s">
        <v>1269</v>
      </c>
      <c r="D73" t="s">
        <v>1271</v>
      </c>
      <c r="E73" t="s">
        <v>1253</v>
      </c>
      <c r="F73" t="s">
        <v>1254</v>
      </c>
      <c r="G73" t="s">
        <v>1270</v>
      </c>
    </row>
    <row r="74" spans="2:7" x14ac:dyDescent="0.3">
      <c r="B74" s="8" t="s">
        <v>1255</v>
      </c>
      <c r="C74" s="5">
        <v>430</v>
      </c>
      <c r="D74" s="5">
        <v>161024.49999999997</v>
      </c>
      <c r="E74" s="5">
        <v>1190565</v>
      </c>
      <c r="F74" s="5">
        <v>185897.13000000012</v>
      </c>
      <c r="G74" s="5">
        <v>13.873109290769177</v>
      </c>
    </row>
    <row r="75" spans="2:7" x14ac:dyDescent="0.3">
      <c r="B75" s="8" t="s">
        <v>1256</v>
      </c>
      <c r="C75" s="5">
        <v>404</v>
      </c>
      <c r="D75" s="5">
        <v>127819.3</v>
      </c>
      <c r="E75" s="5">
        <v>956368</v>
      </c>
      <c r="F75" s="5">
        <v>155476.44</v>
      </c>
      <c r="G75" s="5">
        <v>12.397177096160892</v>
      </c>
    </row>
    <row r="76" spans="2:7" x14ac:dyDescent="0.3">
      <c r="B76" s="8" t="s">
        <v>1257</v>
      </c>
      <c r="C76" s="5">
        <v>494</v>
      </c>
      <c r="D76" s="5">
        <v>163432.50000000003</v>
      </c>
      <c r="E76" s="5">
        <v>1225919</v>
      </c>
      <c r="F76" s="5">
        <v>200259.82000000007</v>
      </c>
      <c r="G76" s="5">
        <v>15.616572462088682</v>
      </c>
    </row>
    <row r="77" spans="2:7" x14ac:dyDescent="0.3">
      <c r="B77" s="8" t="s">
        <v>1258</v>
      </c>
      <c r="C77" s="5">
        <v>467</v>
      </c>
      <c r="D77" s="5">
        <v>228844.69999999987</v>
      </c>
      <c r="E77" s="5">
        <v>1425191</v>
      </c>
      <c r="F77" s="5">
        <v>243989.94000000006</v>
      </c>
      <c r="G77" s="5">
        <v>17.565136737975724</v>
      </c>
    </row>
    <row r="78" spans="2:7" x14ac:dyDescent="0.3">
      <c r="B78" s="8" t="s">
        <v>1259</v>
      </c>
      <c r="C78" s="5">
        <v>566</v>
      </c>
      <c r="D78" s="5">
        <v>219325.39999999994</v>
      </c>
      <c r="E78" s="5">
        <v>1531016</v>
      </c>
      <c r="F78" s="5">
        <v>242874.80000000002</v>
      </c>
      <c r="G78" s="5">
        <v>18.08452517995746</v>
      </c>
    </row>
    <row r="79" spans="2:7" x14ac:dyDescent="0.3">
      <c r="B79" s="8" t="s">
        <v>1260</v>
      </c>
      <c r="C79" s="5">
        <v>486</v>
      </c>
      <c r="D79" s="5">
        <v>166364.79999999996</v>
      </c>
      <c r="E79" s="5">
        <v>1252861</v>
      </c>
      <c r="F79" s="5">
        <v>196509.88999999998</v>
      </c>
      <c r="G79" s="5">
        <v>14.453233013270422</v>
      </c>
    </row>
    <row r="80" spans="2:7" x14ac:dyDescent="0.3">
      <c r="B80" s="8" t="s">
        <v>1261</v>
      </c>
      <c r="C80" s="5">
        <v>534</v>
      </c>
      <c r="D80" s="5">
        <v>188955.89999999991</v>
      </c>
      <c r="E80" s="5">
        <v>1362122</v>
      </c>
      <c r="F80" s="5">
        <v>217918.36999999997</v>
      </c>
      <c r="G80" s="5">
        <v>17.290553697830774</v>
      </c>
    </row>
    <row r="81" spans="2:7" x14ac:dyDescent="0.3">
      <c r="B81" s="8" t="s">
        <v>1262</v>
      </c>
      <c r="C81" s="5">
        <v>612</v>
      </c>
      <c r="D81" s="5">
        <v>228079.6</v>
      </c>
      <c r="E81" s="5">
        <v>1793363</v>
      </c>
      <c r="F81" s="5">
        <v>309926.06000000017</v>
      </c>
      <c r="G81" s="5">
        <v>19.447270666857204</v>
      </c>
    </row>
    <row r="82" spans="2:7" x14ac:dyDescent="0.3">
      <c r="B82" s="8" t="s">
        <v>1263</v>
      </c>
      <c r="C82" s="5">
        <v>426</v>
      </c>
      <c r="D82" s="5">
        <v>171736.6</v>
      </c>
      <c r="E82" s="5">
        <v>1121583</v>
      </c>
      <c r="F82" s="5">
        <v>188388.48000000004</v>
      </c>
      <c r="G82" s="5">
        <v>15.16625872587931</v>
      </c>
    </row>
    <row r="83" spans="2:7" x14ac:dyDescent="0.3">
      <c r="B83" s="8" t="s">
        <v>1264</v>
      </c>
      <c r="C83" s="5">
        <v>493</v>
      </c>
      <c r="D83" s="5">
        <v>217693.70000000007</v>
      </c>
      <c r="E83" s="5">
        <v>1378841</v>
      </c>
      <c r="F83" s="5">
        <v>222812.22000000006</v>
      </c>
      <c r="G83" s="5">
        <v>17.69516418481442</v>
      </c>
    </row>
    <row r="84" spans="2:7" x14ac:dyDescent="0.3">
      <c r="B84" s="8" t="s">
        <v>1265</v>
      </c>
      <c r="C84" s="5">
        <v>558</v>
      </c>
      <c r="D84" s="5">
        <v>191768.50000000006</v>
      </c>
      <c r="E84" s="5">
        <v>1385053</v>
      </c>
      <c r="F84" s="5">
        <v>230570.68000000008</v>
      </c>
      <c r="G84" s="5">
        <v>18.265664117616975</v>
      </c>
    </row>
    <row r="85" spans="2:7" x14ac:dyDescent="0.3">
      <c r="B85" s="8" t="s">
        <v>1266</v>
      </c>
      <c r="C85" s="5">
        <v>496</v>
      </c>
      <c r="D85" s="5">
        <v>181973.39999999997</v>
      </c>
      <c r="E85" s="5">
        <v>1362101</v>
      </c>
      <c r="F85" s="5">
        <v>221861.14999999994</v>
      </c>
      <c r="G85" s="5">
        <v>16.483217804760475</v>
      </c>
    </row>
    <row r="86" spans="2:7" x14ac:dyDescent="0.3">
      <c r="B86" s="8" t="s">
        <v>1252</v>
      </c>
      <c r="C86" s="5">
        <v>5966</v>
      </c>
      <c r="D86" s="5">
        <v>2247018.9</v>
      </c>
      <c r="E86" s="5">
        <v>15984983</v>
      </c>
      <c r="F86" s="5">
        <v>2616484.9800000004</v>
      </c>
      <c r="G86" s="5">
        <v>196.33788297798151</v>
      </c>
    </row>
    <row r="90" spans="2:7" ht="28.8" x14ac:dyDescent="0.3">
      <c r="B90" s="9" t="s">
        <v>1267</v>
      </c>
    </row>
    <row r="91" spans="2:7" x14ac:dyDescent="0.3">
      <c r="B91" s="14">
        <v>0.16361490248165139</v>
      </c>
    </row>
    <row r="93" spans="2:7" x14ac:dyDescent="0.3">
      <c r="B93" t="s">
        <v>1253</v>
      </c>
    </row>
    <row r="94" spans="2:7" x14ac:dyDescent="0.3">
      <c r="B94" s="5">
        <v>15984983</v>
      </c>
    </row>
    <row r="98" spans="2:3" x14ac:dyDescent="0.3">
      <c r="B98" t="s">
        <v>1254</v>
      </c>
    </row>
    <row r="99" spans="2:3" x14ac:dyDescent="0.3">
      <c r="B99" s="5">
        <v>2616484.9799999991</v>
      </c>
    </row>
    <row r="107" spans="2:3" x14ac:dyDescent="0.3">
      <c r="B107" s="7" t="s">
        <v>1251</v>
      </c>
      <c r="C107" t="s">
        <v>1253</v>
      </c>
    </row>
    <row r="108" spans="2:3" x14ac:dyDescent="0.3">
      <c r="B108" s="8" t="s">
        <v>1212</v>
      </c>
      <c r="C108" s="5">
        <v>4330238</v>
      </c>
    </row>
    <row r="109" spans="2:3" x14ac:dyDescent="0.3">
      <c r="B109" s="8" t="s">
        <v>1211</v>
      </c>
      <c r="C109" s="5">
        <v>4230334</v>
      </c>
    </row>
    <row r="110" spans="2:3" x14ac:dyDescent="0.3">
      <c r="B110" s="8" t="s">
        <v>1213</v>
      </c>
      <c r="C110" s="5">
        <v>3806723</v>
      </c>
    </row>
    <row r="111" spans="2:3" x14ac:dyDescent="0.3">
      <c r="B111" s="8" t="s">
        <v>1210</v>
      </c>
      <c r="C111" s="5">
        <v>3617688</v>
      </c>
    </row>
    <row r="112" spans="2:3" x14ac:dyDescent="0.3">
      <c r="B112" s="8" t="s">
        <v>1252</v>
      </c>
      <c r="C112" s="5">
        <v>15984983</v>
      </c>
    </row>
    <row r="119" spans="2:3" x14ac:dyDescent="0.3">
      <c r="B119" s="7" t="s">
        <v>1251</v>
      </c>
      <c r="C119" t="s">
        <v>1254</v>
      </c>
    </row>
    <row r="120" spans="2:3" x14ac:dyDescent="0.3">
      <c r="B120" s="8" t="s">
        <v>1220</v>
      </c>
      <c r="C120" s="5">
        <v>669591.04000000039</v>
      </c>
    </row>
    <row r="121" spans="2:3" x14ac:dyDescent="0.3">
      <c r="B121" s="8" t="s">
        <v>1222</v>
      </c>
      <c r="C121" s="5">
        <v>629691.32999999973</v>
      </c>
    </row>
    <row r="122" spans="2:3" x14ac:dyDescent="0.3">
      <c r="B122" s="8" t="s">
        <v>1221</v>
      </c>
      <c r="C122" s="5">
        <v>649842.47999999952</v>
      </c>
    </row>
    <row r="123" spans="2:3" x14ac:dyDescent="0.3">
      <c r="B123" s="8" t="s">
        <v>1219</v>
      </c>
      <c r="C123" s="5">
        <v>667360.13</v>
      </c>
    </row>
    <row r="124" spans="2:3" x14ac:dyDescent="0.3">
      <c r="B124" s="8" t="s">
        <v>1252</v>
      </c>
      <c r="C124" s="5">
        <v>2616484.9799999995</v>
      </c>
    </row>
    <row r="129" spans="6:10" x14ac:dyDescent="0.3">
      <c r="J129" t="s">
        <v>1302</v>
      </c>
    </row>
    <row r="142" spans="6:10" x14ac:dyDescent="0.3">
      <c r="F142" t="s">
        <v>1303</v>
      </c>
    </row>
  </sheetData>
  <mergeCells count="3">
    <mergeCell ref="B3:C3"/>
    <mergeCell ref="B12:C12"/>
    <mergeCell ref="B23:C23"/>
  </mergeCells>
  <pageMargins left="0.7" right="0.7" top="0.75" bottom="0.75" header="0.3" footer="0.3"/>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37FA-DB12-480D-8096-1FAD2ECF3C07}">
  <dimension ref="A1"/>
  <sheetViews>
    <sheetView showGridLines="0" tabSelected="1" zoomScale="90" zoomScaleNormal="90" workbookViewId="0">
      <pane xSplit="3" ySplit="4" topLeftCell="D5" activePane="bottomRight" state="frozen"/>
      <selection pane="topRight" activeCell="D1" sqref="D1"/>
      <selection pane="bottomLeft" activeCell="A5" sqref="A5"/>
      <selection pane="bottomRight" activeCell="Q11" sqref="Q11"/>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9BF8-6C7B-4650-9A0F-261A9AA686D3}">
  <dimension ref="Y67"/>
  <sheetViews>
    <sheetView showGridLines="0" zoomScale="80" zoomScaleNormal="80" workbookViewId="0">
      <selection activeCell="AC14" sqref="AC14"/>
    </sheetView>
  </sheetViews>
  <sheetFormatPr defaultRowHeight="14.4" x14ac:dyDescent="0.3"/>
  <cols>
    <col min="1" max="16384" width="8.88671875" style="19"/>
  </cols>
  <sheetData>
    <row r="67" spans="25:25" x14ac:dyDescent="0.3">
      <c r="Y67" s="19" t="s">
        <v>1302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04E227-1CFC-4BC3-8CCF-C7F4407815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Tables</vt:lpstr>
      <vt:lpstr>Dictionary</vt:lpstr>
      <vt:lpstr>Conditional Fomatting</vt:lpstr>
      <vt:lpstr>Pivot Table</vt:lpstr>
      <vt:lpstr>Dashboard</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Harshit Sinha</cp:lastModifiedBy>
  <dcterms:created xsi:type="dcterms:W3CDTF">2026-03-30T06:10:24Z</dcterms:created>
  <dcterms:modified xsi:type="dcterms:W3CDTF">2026-05-07T04:41:22Z</dcterms:modified>
</cp:coreProperties>
</file>